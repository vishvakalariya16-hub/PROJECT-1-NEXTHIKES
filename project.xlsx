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queryTables/queryTable4.xml" ContentType="application/vnd.openxmlformats-officedocument.spreadsheetml.query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4.xml" ContentType="application/vnd.openxmlformats-officedocument.drawing+xml"/>
  <Override PartName="/xl/tables/table15.xml" ContentType="application/vnd.openxmlformats-officedocument.spreadsheetml.tab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5.xml" ContentType="application/vnd.openxmlformats-officedocument.drawing+xml"/>
  <Override PartName="/xl/tables/table16.xml" ContentType="application/vnd.openxmlformats-officedocument.spreadsheetml.tab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9200" windowHeight="7050" firstSheet="6" activeTab="7"/>
  </bookViews>
  <sheets>
    <sheet name="DATASET 1" sheetId="2" r:id="rId1"/>
    <sheet name="DATASET 2" sheetId="7" r:id="rId2"/>
    <sheet name="DATASETA  1 + 2" sheetId="5" r:id="rId3"/>
    <sheet name="DATASET 3" sheetId="4" r:id="rId4"/>
    <sheet name="FINAL RESULT" sheetId="10" r:id="rId5"/>
    <sheet name="PIVOT TABLE &amp; CHARTS" sheetId="17" r:id="rId6"/>
    <sheet name="STATISTICAL SUMMARY" sheetId="26" r:id="rId7"/>
    <sheet name="DASHBOARD" sheetId="27" r:id="rId8"/>
    <sheet name="FORECASTING" sheetId="29" r:id="rId9"/>
    <sheet name="ANOMALY DETECTION" sheetId="30" r:id="rId10"/>
  </sheets>
  <definedNames>
    <definedName name="ExternalData_1" localSheetId="0" hidden="1">'DATASET 1'!$A$1:$J$611</definedName>
    <definedName name="ExternalData_1" localSheetId="1" hidden="1">'DATASET 2'!$A$1:$G$611</definedName>
    <definedName name="ExternalData_1" localSheetId="3" hidden="1">'DATASET 3'!$A$1:$P$391</definedName>
    <definedName name="ExternalData_1" localSheetId="2" hidden="1">'DATASETA  1 + 2'!$A$1:$M$612</definedName>
    <definedName name="NativeTimeline_Date">#N/A</definedName>
    <definedName name="Slicer_Date">#N/A</definedName>
    <definedName name="Slicer_Holiday">#N/A</definedName>
    <definedName name="Slicer_Hour">#N/A</definedName>
    <definedName name="Slicer_Temperature">#N/A</definedName>
    <definedName name="Slicer_Weathersit">#N/A</definedName>
    <definedName name="Slicer_Weekday">#N/A</definedName>
  </definedNames>
  <calcPr calcId="162913"/>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001" i="30" l="1"/>
  <c r="A1001" i="30"/>
  <c r="B1000" i="30"/>
  <c r="A1000" i="30"/>
  <c r="B999" i="30"/>
  <c r="A999" i="30"/>
  <c r="B998" i="30"/>
  <c r="A998" i="30"/>
  <c r="B997" i="30"/>
  <c r="A997" i="30"/>
  <c r="B996" i="30"/>
  <c r="A996" i="30"/>
  <c r="B995" i="30"/>
  <c r="A995" i="30"/>
  <c r="B994" i="30"/>
  <c r="A994" i="30"/>
  <c r="B993" i="30"/>
  <c r="A993" i="30"/>
  <c r="B992" i="30"/>
  <c r="A992" i="30"/>
  <c r="B991" i="30"/>
  <c r="A991" i="30"/>
  <c r="B990" i="30"/>
  <c r="A990" i="30"/>
  <c r="B989" i="30"/>
  <c r="A989" i="30"/>
  <c r="B988" i="30"/>
  <c r="A988" i="30"/>
  <c r="B987" i="30"/>
  <c r="A987" i="30"/>
  <c r="B986" i="30"/>
  <c r="A986" i="30"/>
  <c r="B985" i="30"/>
  <c r="A985" i="30"/>
  <c r="B984" i="30"/>
  <c r="A984" i="30"/>
  <c r="B983" i="30"/>
  <c r="A983" i="30"/>
  <c r="B982" i="30"/>
  <c r="A982" i="30"/>
  <c r="B981" i="30"/>
  <c r="A981" i="30"/>
  <c r="B980" i="30"/>
  <c r="A980" i="30"/>
  <c r="B979" i="30"/>
  <c r="A979" i="30"/>
  <c r="B978" i="30"/>
  <c r="A978" i="30"/>
  <c r="B977" i="30"/>
  <c r="A977" i="30"/>
  <c r="B976" i="30"/>
  <c r="A976" i="30"/>
  <c r="B975" i="30"/>
  <c r="A975" i="30"/>
  <c r="B974" i="30"/>
  <c r="A974" i="30"/>
  <c r="B973" i="30"/>
  <c r="A973" i="30"/>
  <c r="B972" i="30"/>
  <c r="A972" i="30"/>
  <c r="B971" i="30"/>
  <c r="A971" i="30"/>
  <c r="B970" i="30"/>
  <c r="A970" i="30"/>
  <c r="B969" i="30"/>
  <c r="A969" i="30"/>
  <c r="B968" i="30"/>
  <c r="A968" i="30"/>
  <c r="B967" i="30"/>
  <c r="A967" i="30"/>
  <c r="B966" i="30"/>
  <c r="A966" i="30"/>
  <c r="B965" i="30"/>
  <c r="A965" i="30"/>
  <c r="B964" i="30"/>
  <c r="A964" i="30"/>
  <c r="B963" i="30"/>
  <c r="A963" i="30"/>
  <c r="B962" i="30"/>
  <c r="A962" i="30"/>
  <c r="B961" i="30"/>
  <c r="A961" i="30"/>
  <c r="B960" i="30"/>
  <c r="A960" i="30"/>
  <c r="B959" i="30"/>
  <c r="A959" i="30"/>
  <c r="B958" i="30"/>
  <c r="A958" i="30"/>
  <c r="B957" i="30"/>
  <c r="A957" i="30"/>
  <c r="B956" i="30"/>
  <c r="A956" i="30"/>
  <c r="B955" i="30"/>
  <c r="A955" i="30"/>
  <c r="B954" i="30"/>
  <c r="A954" i="30"/>
  <c r="B953" i="30"/>
  <c r="A953" i="30"/>
  <c r="B952" i="30"/>
  <c r="A952" i="30"/>
  <c r="B951" i="30"/>
  <c r="A951" i="30"/>
  <c r="B950" i="30"/>
  <c r="A950" i="30"/>
  <c r="B949" i="30"/>
  <c r="A949" i="30"/>
  <c r="B948" i="30"/>
  <c r="A948" i="30"/>
  <c r="B947" i="30"/>
  <c r="A947" i="30"/>
  <c r="B946" i="30"/>
  <c r="A946" i="30"/>
  <c r="B945" i="30"/>
  <c r="A945" i="30"/>
  <c r="B944" i="30"/>
  <c r="A944" i="30"/>
  <c r="B943" i="30"/>
  <c r="A943" i="30"/>
  <c r="B942" i="30"/>
  <c r="A942" i="30"/>
  <c r="B941" i="30"/>
  <c r="A941" i="30"/>
  <c r="B940" i="30"/>
  <c r="A940" i="30"/>
  <c r="B939" i="30"/>
  <c r="A939" i="30"/>
  <c r="B938" i="30"/>
  <c r="A938" i="30"/>
  <c r="B937" i="30"/>
  <c r="A937" i="30"/>
  <c r="B936" i="30"/>
  <c r="A936" i="30"/>
  <c r="B935" i="30"/>
  <c r="A935" i="30"/>
  <c r="B934" i="30"/>
  <c r="A934" i="30"/>
  <c r="B933" i="30"/>
  <c r="A933" i="30"/>
  <c r="B932" i="30"/>
  <c r="A932" i="30"/>
  <c r="B931" i="30"/>
  <c r="A931" i="30"/>
  <c r="B930" i="30"/>
  <c r="A930" i="30"/>
  <c r="B929" i="30"/>
  <c r="A929" i="30"/>
  <c r="B928" i="30"/>
  <c r="A928" i="30"/>
  <c r="B927" i="30"/>
  <c r="A927" i="30"/>
  <c r="B926" i="30"/>
  <c r="A926" i="30"/>
  <c r="B925" i="30"/>
  <c r="A925" i="30"/>
  <c r="B924" i="30"/>
  <c r="A924" i="30"/>
  <c r="B923" i="30"/>
  <c r="A923" i="30"/>
  <c r="B922" i="30"/>
  <c r="A922" i="30"/>
  <c r="B921" i="30"/>
  <c r="A921" i="30"/>
  <c r="B920" i="30"/>
  <c r="A920" i="30"/>
  <c r="B919" i="30"/>
  <c r="A919" i="30"/>
  <c r="B918" i="30"/>
  <c r="A918" i="30"/>
  <c r="B917" i="30"/>
  <c r="A917" i="30"/>
  <c r="B916" i="30"/>
  <c r="A916" i="30"/>
  <c r="B915" i="30"/>
  <c r="A915" i="30"/>
  <c r="B914" i="30"/>
  <c r="A914" i="30"/>
  <c r="B913" i="30"/>
  <c r="A913" i="30"/>
  <c r="B912" i="30"/>
  <c r="A912" i="30"/>
  <c r="B911" i="30"/>
  <c r="A911" i="30"/>
  <c r="B910" i="30"/>
  <c r="A910" i="30"/>
  <c r="B909" i="30"/>
  <c r="A909" i="30"/>
  <c r="B908" i="30"/>
  <c r="A908" i="30"/>
  <c r="B907" i="30"/>
  <c r="A907" i="30"/>
  <c r="B906" i="30"/>
  <c r="A906" i="30"/>
  <c r="B905" i="30"/>
  <c r="A905" i="30"/>
  <c r="B904" i="30"/>
  <c r="A904" i="30"/>
  <c r="B903" i="30"/>
  <c r="A903" i="30"/>
  <c r="B902" i="30"/>
  <c r="A902" i="30"/>
  <c r="B901" i="30"/>
  <c r="A901" i="30"/>
  <c r="B900" i="30"/>
  <c r="A900" i="30"/>
  <c r="B899" i="30"/>
  <c r="A899" i="30"/>
  <c r="B898" i="30"/>
  <c r="A898" i="30"/>
  <c r="B897" i="30"/>
  <c r="A897" i="30"/>
  <c r="B896" i="30"/>
  <c r="A896" i="30"/>
  <c r="B895" i="30"/>
  <c r="A895" i="30"/>
  <c r="B894" i="30"/>
  <c r="A894" i="30"/>
  <c r="B893" i="30"/>
  <c r="A893" i="30"/>
  <c r="B892" i="30"/>
  <c r="A892" i="30"/>
  <c r="B891" i="30"/>
  <c r="A891" i="30"/>
  <c r="B890" i="30"/>
  <c r="A890" i="30"/>
  <c r="B889" i="30"/>
  <c r="A889" i="30"/>
  <c r="B888" i="30"/>
  <c r="A888" i="30"/>
  <c r="B887" i="30"/>
  <c r="A887" i="30"/>
  <c r="B886" i="30"/>
  <c r="A886" i="30"/>
  <c r="B885" i="30"/>
  <c r="A885" i="30"/>
  <c r="B884" i="30"/>
  <c r="A884" i="30"/>
  <c r="B883" i="30"/>
  <c r="A883" i="30"/>
  <c r="B882" i="30"/>
  <c r="A882" i="30"/>
  <c r="B881" i="30"/>
  <c r="A881" i="30"/>
  <c r="B880" i="30"/>
  <c r="A880" i="30"/>
  <c r="B879" i="30"/>
  <c r="A879" i="30"/>
  <c r="B878" i="30"/>
  <c r="A878" i="30"/>
  <c r="B877" i="30"/>
  <c r="A877" i="30"/>
  <c r="B876" i="30"/>
  <c r="A876" i="30"/>
  <c r="B875" i="30"/>
  <c r="A875" i="30"/>
  <c r="B874" i="30"/>
  <c r="A874" i="30"/>
  <c r="B873" i="30"/>
  <c r="A873" i="30"/>
  <c r="B872" i="30"/>
  <c r="A872" i="30"/>
  <c r="B871" i="30"/>
  <c r="A871" i="30"/>
  <c r="B870" i="30"/>
  <c r="A870" i="30"/>
  <c r="B869" i="30"/>
  <c r="A869" i="30"/>
  <c r="B868" i="30"/>
  <c r="A868" i="30"/>
  <c r="B867" i="30"/>
  <c r="A867" i="30"/>
  <c r="B866" i="30"/>
  <c r="A866" i="30"/>
  <c r="B865" i="30"/>
  <c r="A865" i="30"/>
  <c r="B864" i="30"/>
  <c r="A864" i="30"/>
  <c r="B863" i="30"/>
  <c r="A863" i="30"/>
  <c r="B862" i="30"/>
  <c r="A862" i="30"/>
  <c r="B861" i="30"/>
  <c r="A861" i="30"/>
  <c r="B860" i="30"/>
  <c r="A860" i="30"/>
  <c r="B859" i="30"/>
  <c r="A859" i="30"/>
  <c r="B858" i="30"/>
  <c r="A858" i="30"/>
  <c r="B857" i="30"/>
  <c r="A857" i="30"/>
  <c r="B856" i="30"/>
  <c r="A856" i="30"/>
  <c r="B855" i="30"/>
  <c r="A855" i="30"/>
  <c r="B854" i="30"/>
  <c r="A854" i="30"/>
  <c r="B853" i="30"/>
  <c r="A853" i="30"/>
  <c r="B852" i="30"/>
  <c r="A852" i="30"/>
  <c r="B851" i="30"/>
  <c r="A851" i="30"/>
  <c r="B850" i="30"/>
  <c r="A850" i="30"/>
  <c r="B849" i="30"/>
  <c r="A849" i="30"/>
  <c r="B848" i="30"/>
  <c r="A848" i="30"/>
  <c r="B847" i="30"/>
  <c r="A847" i="30"/>
  <c r="B846" i="30"/>
  <c r="A846" i="30"/>
  <c r="B845" i="30"/>
  <c r="A845" i="30"/>
  <c r="B844" i="30"/>
  <c r="A844" i="30"/>
  <c r="B843" i="30"/>
  <c r="A843" i="30"/>
  <c r="B842" i="30"/>
  <c r="A842" i="30"/>
  <c r="B841" i="30"/>
  <c r="A841" i="30"/>
  <c r="B840" i="30"/>
  <c r="A840" i="30"/>
  <c r="B839" i="30"/>
  <c r="A839" i="30"/>
  <c r="B838" i="30"/>
  <c r="A838" i="30"/>
  <c r="B837" i="30"/>
  <c r="A837" i="30"/>
  <c r="B836" i="30"/>
  <c r="A836" i="30"/>
  <c r="B835" i="30"/>
  <c r="A835" i="30"/>
  <c r="B834" i="30"/>
  <c r="A834" i="30"/>
  <c r="B833" i="30"/>
  <c r="A833" i="30"/>
  <c r="B832" i="30"/>
  <c r="A832" i="30"/>
  <c r="B831" i="30"/>
  <c r="A831" i="30"/>
  <c r="B830" i="30"/>
  <c r="A830" i="30"/>
  <c r="B829" i="30"/>
  <c r="A829" i="30"/>
  <c r="B828" i="30"/>
  <c r="A828" i="30"/>
  <c r="B827" i="30"/>
  <c r="A827" i="30"/>
  <c r="B826" i="30"/>
  <c r="A826" i="30"/>
  <c r="B825" i="30"/>
  <c r="A825" i="30"/>
  <c r="B824" i="30"/>
  <c r="A824" i="30"/>
  <c r="B823" i="30"/>
  <c r="A823" i="30"/>
  <c r="B822" i="30"/>
  <c r="A822" i="30"/>
  <c r="B821" i="30"/>
  <c r="A821" i="30"/>
  <c r="B820" i="30"/>
  <c r="A820" i="30"/>
  <c r="B819" i="30"/>
  <c r="A819" i="30"/>
  <c r="B818" i="30"/>
  <c r="A818" i="30"/>
  <c r="B817" i="30"/>
  <c r="A817" i="30"/>
  <c r="B816" i="30"/>
  <c r="A816" i="30"/>
  <c r="B815" i="30"/>
  <c r="A815" i="30"/>
  <c r="B814" i="30"/>
  <c r="A814" i="30"/>
  <c r="B813" i="30"/>
  <c r="A813" i="30"/>
  <c r="B812" i="30"/>
  <c r="A812" i="30"/>
  <c r="B811" i="30"/>
  <c r="A811" i="30"/>
  <c r="B810" i="30"/>
  <c r="A810" i="30"/>
  <c r="B809" i="30"/>
  <c r="A809" i="30"/>
  <c r="B808" i="30"/>
  <c r="A808" i="30"/>
  <c r="B807" i="30"/>
  <c r="A807" i="30"/>
  <c r="B806" i="30"/>
  <c r="A806" i="30"/>
  <c r="B805" i="30"/>
  <c r="A805" i="30"/>
  <c r="B804" i="30"/>
  <c r="A804" i="30"/>
  <c r="B803" i="30"/>
  <c r="A803" i="30"/>
  <c r="B802" i="30"/>
  <c r="A802" i="30"/>
  <c r="B801" i="30"/>
  <c r="A801" i="30"/>
  <c r="B800" i="30"/>
  <c r="A800" i="30"/>
  <c r="B799" i="30"/>
  <c r="A799" i="30"/>
  <c r="B798" i="30"/>
  <c r="A798" i="30"/>
  <c r="B797" i="30"/>
  <c r="A797" i="30"/>
  <c r="B796" i="30"/>
  <c r="A796" i="30"/>
  <c r="B795" i="30"/>
  <c r="A795" i="30"/>
  <c r="B794" i="30"/>
  <c r="A794" i="30"/>
  <c r="B793" i="30"/>
  <c r="A793" i="30"/>
  <c r="B792" i="30"/>
  <c r="A792" i="30"/>
  <c r="B791" i="30"/>
  <c r="A791" i="30"/>
  <c r="B790" i="30"/>
  <c r="A790" i="30"/>
  <c r="B789" i="30"/>
  <c r="A789" i="30"/>
  <c r="B788" i="30"/>
  <c r="A788" i="30"/>
  <c r="B787" i="30"/>
  <c r="A787" i="30"/>
  <c r="B786" i="30"/>
  <c r="A786" i="30"/>
  <c r="B785" i="30"/>
  <c r="A785" i="30"/>
  <c r="B784" i="30"/>
  <c r="A784" i="30"/>
  <c r="B783" i="30"/>
  <c r="A783" i="30"/>
  <c r="B782" i="30"/>
  <c r="A782" i="30"/>
  <c r="B781" i="30"/>
  <c r="A781" i="30"/>
  <c r="B780" i="30"/>
  <c r="A780" i="30"/>
  <c r="B779" i="30"/>
  <c r="A779" i="30"/>
  <c r="B778" i="30"/>
  <c r="A778" i="30"/>
  <c r="B777" i="30"/>
  <c r="A777" i="30"/>
  <c r="B776" i="30"/>
  <c r="A776" i="30"/>
  <c r="B775" i="30"/>
  <c r="A775" i="30"/>
  <c r="B774" i="30"/>
  <c r="A774" i="30"/>
  <c r="B773" i="30"/>
  <c r="A773" i="30"/>
  <c r="B772" i="30"/>
  <c r="A772" i="30"/>
  <c r="B771" i="30"/>
  <c r="A771" i="30"/>
  <c r="B770" i="30"/>
  <c r="A770" i="30"/>
  <c r="B769" i="30"/>
  <c r="A769" i="30"/>
  <c r="B768" i="30"/>
  <c r="A768" i="30"/>
  <c r="B767" i="30"/>
  <c r="A767" i="30"/>
  <c r="B766" i="30"/>
  <c r="A766" i="30"/>
  <c r="B765" i="30"/>
  <c r="A765" i="30"/>
  <c r="B764" i="30"/>
  <c r="A764" i="30"/>
  <c r="B763" i="30"/>
  <c r="A763" i="30"/>
  <c r="B762" i="30"/>
  <c r="A762" i="30"/>
  <c r="B761" i="30"/>
  <c r="A761" i="30"/>
  <c r="B760" i="30"/>
  <c r="A760" i="30"/>
  <c r="B759" i="30"/>
  <c r="A759" i="30"/>
  <c r="B758" i="30"/>
  <c r="A758" i="30"/>
  <c r="B757" i="30"/>
  <c r="A757" i="30"/>
  <c r="B756" i="30"/>
  <c r="A756" i="30"/>
  <c r="B755" i="30"/>
  <c r="A755" i="30"/>
  <c r="B754" i="30"/>
  <c r="A754" i="30"/>
  <c r="B753" i="30"/>
  <c r="A753" i="30"/>
  <c r="B752" i="30"/>
  <c r="A752" i="30"/>
  <c r="B751" i="30"/>
  <c r="A751" i="30"/>
  <c r="B750" i="30"/>
  <c r="A750" i="30"/>
  <c r="B749" i="30"/>
  <c r="A749" i="30"/>
  <c r="B748" i="30"/>
  <c r="A748" i="30"/>
  <c r="B747" i="30"/>
  <c r="A747" i="30"/>
  <c r="B746" i="30"/>
  <c r="A746" i="30"/>
  <c r="B745" i="30"/>
  <c r="A745" i="30"/>
  <c r="B744" i="30"/>
  <c r="A744" i="30"/>
  <c r="B743" i="30"/>
  <c r="A743" i="30"/>
  <c r="B742" i="30"/>
  <c r="A742" i="30"/>
  <c r="B741" i="30"/>
  <c r="A741" i="30"/>
  <c r="B740" i="30"/>
  <c r="A740" i="30"/>
  <c r="B739" i="30"/>
  <c r="A739" i="30"/>
  <c r="B738" i="30"/>
  <c r="A738" i="30"/>
  <c r="B737" i="30"/>
  <c r="A737" i="30"/>
  <c r="B736" i="30"/>
  <c r="A736" i="30"/>
  <c r="B735" i="30"/>
  <c r="A735" i="30"/>
  <c r="B734" i="30"/>
  <c r="A734" i="30"/>
  <c r="B733" i="30"/>
  <c r="A733" i="30"/>
  <c r="B732" i="30"/>
  <c r="A732" i="30"/>
  <c r="B731" i="30"/>
  <c r="A731" i="30"/>
  <c r="B730" i="30"/>
  <c r="A730" i="30"/>
  <c r="B729" i="30"/>
  <c r="A729" i="30"/>
  <c r="B728" i="30"/>
  <c r="A728" i="30"/>
  <c r="B727" i="30"/>
  <c r="A727" i="30"/>
  <c r="B726" i="30"/>
  <c r="A726" i="30"/>
  <c r="B725" i="30"/>
  <c r="A725" i="30"/>
  <c r="B724" i="30"/>
  <c r="A724" i="30"/>
  <c r="B723" i="30"/>
  <c r="A723" i="30"/>
  <c r="B722" i="30"/>
  <c r="A722" i="30"/>
  <c r="B721" i="30"/>
  <c r="A721" i="30"/>
  <c r="B720" i="30"/>
  <c r="A720" i="30"/>
  <c r="B719" i="30"/>
  <c r="A719" i="30"/>
  <c r="B718" i="30"/>
  <c r="A718" i="30"/>
  <c r="B717" i="30"/>
  <c r="A717" i="30"/>
  <c r="B716" i="30"/>
  <c r="A716" i="30"/>
  <c r="B715" i="30"/>
  <c r="A715" i="30"/>
  <c r="B714" i="30"/>
  <c r="A714" i="30"/>
  <c r="B713" i="30"/>
  <c r="A713" i="30"/>
  <c r="B712" i="30"/>
  <c r="A712" i="30"/>
  <c r="B711" i="30"/>
  <c r="A711" i="30"/>
  <c r="B710" i="30"/>
  <c r="A710" i="30"/>
  <c r="B709" i="30"/>
  <c r="A709" i="30"/>
  <c r="B708" i="30"/>
  <c r="A708" i="30"/>
  <c r="B707" i="30"/>
  <c r="A707" i="30"/>
  <c r="B706" i="30"/>
  <c r="A706" i="30"/>
  <c r="B705" i="30"/>
  <c r="A705" i="30"/>
  <c r="B704" i="30"/>
  <c r="A704" i="30"/>
  <c r="B703" i="30"/>
  <c r="A703" i="30"/>
  <c r="B702" i="30"/>
  <c r="A702" i="30"/>
  <c r="B701" i="30"/>
  <c r="A701" i="30"/>
  <c r="B700" i="30"/>
  <c r="A700" i="30"/>
  <c r="B699" i="30"/>
  <c r="A699" i="30"/>
  <c r="B698" i="30"/>
  <c r="A698" i="30"/>
  <c r="B697" i="30"/>
  <c r="A697" i="30"/>
  <c r="B696" i="30"/>
  <c r="A696" i="30"/>
  <c r="B695" i="30"/>
  <c r="A695" i="30"/>
  <c r="B694" i="30"/>
  <c r="A694" i="30"/>
  <c r="B693" i="30"/>
  <c r="A693" i="30"/>
  <c r="B692" i="30"/>
  <c r="A692" i="30"/>
  <c r="B691" i="30"/>
  <c r="A691" i="30"/>
  <c r="B690" i="30"/>
  <c r="A690" i="30"/>
  <c r="B689" i="30"/>
  <c r="A689" i="30"/>
  <c r="B688" i="30"/>
  <c r="A688" i="30"/>
  <c r="B687" i="30"/>
  <c r="A687" i="30"/>
  <c r="B686" i="30"/>
  <c r="A686" i="30"/>
  <c r="B685" i="30"/>
  <c r="A685" i="30"/>
  <c r="B684" i="30"/>
  <c r="A684" i="30"/>
  <c r="B683" i="30"/>
  <c r="A683" i="30"/>
  <c r="B682" i="30"/>
  <c r="A682" i="30"/>
  <c r="B681" i="30"/>
  <c r="A681" i="30"/>
  <c r="B680" i="30"/>
  <c r="A680" i="30"/>
  <c r="B679" i="30"/>
  <c r="A679" i="30"/>
  <c r="B678" i="30"/>
  <c r="A678" i="30"/>
  <c r="B677" i="30"/>
  <c r="A677" i="30"/>
  <c r="B676" i="30"/>
  <c r="A676" i="30"/>
  <c r="B675" i="30"/>
  <c r="A675" i="30"/>
  <c r="B674" i="30"/>
  <c r="A674" i="30"/>
  <c r="B673" i="30"/>
  <c r="A673" i="30"/>
  <c r="B672" i="30"/>
  <c r="A672" i="30"/>
  <c r="B671" i="30"/>
  <c r="A671" i="30"/>
  <c r="B670" i="30"/>
  <c r="A670" i="30"/>
  <c r="B669" i="30"/>
  <c r="A669" i="30"/>
  <c r="B668" i="30"/>
  <c r="A668" i="30"/>
  <c r="B667" i="30"/>
  <c r="A667" i="30"/>
  <c r="B666" i="30"/>
  <c r="A666" i="30"/>
  <c r="B665" i="30"/>
  <c r="A665" i="30"/>
  <c r="B664" i="30"/>
  <c r="A664" i="30"/>
  <c r="B663" i="30"/>
  <c r="A663" i="30"/>
  <c r="B662" i="30"/>
  <c r="A662" i="30"/>
  <c r="B661" i="30"/>
  <c r="A661" i="30"/>
  <c r="B660" i="30"/>
  <c r="A660" i="30"/>
  <c r="B659" i="30"/>
  <c r="A659" i="30"/>
  <c r="B658" i="30"/>
  <c r="A658" i="30"/>
  <c r="B657" i="30"/>
  <c r="A657" i="30"/>
  <c r="B656" i="30"/>
  <c r="A656" i="30"/>
  <c r="B655" i="30"/>
  <c r="A655" i="30"/>
  <c r="B654" i="30"/>
  <c r="A654" i="30"/>
  <c r="B653" i="30"/>
  <c r="A653" i="30"/>
  <c r="B652" i="30"/>
  <c r="A652" i="30"/>
  <c r="B651" i="30"/>
  <c r="A651" i="30"/>
  <c r="B650" i="30"/>
  <c r="A650" i="30"/>
  <c r="B649" i="30"/>
  <c r="A649" i="30"/>
  <c r="B648" i="30"/>
  <c r="A648" i="30"/>
  <c r="B647" i="30"/>
  <c r="A647" i="30"/>
  <c r="B646" i="30"/>
  <c r="A646" i="30"/>
  <c r="B645" i="30"/>
  <c r="A645" i="30"/>
  <c r="B644" i="30"/>
  <c r="A644" i="30"/>
  <c r="B643" i="30"/>
  <c r="A643" i="30"/>
  <c r="B642" i="30"/>
  <c r="A642" i="30"/>
  <c r="B641" i="30"/>
  <c r="A641" i="30"/>
  <c r="B640" i="30"/>
  <c r="A640" i="30"/>
  <c r="B639" i="30"/>
  <c r="A639" i="30"/>
  <c r="B638" i="30"/>
  <c r="A638" i="30"/>
  <c r="B637" i="30"/>
  <c r="A637" i="30"/>
  <c r="B636" i="30"/>
  <c r="A636" i="30"/>
  <c r="B635" i="30"/>
  <c r="A635" i="30"/>
  <c r="B634" i="30"/>
  <c r="A634" i="30"/>
  <c r="B633" i="30"/>
  <c r="A633" i="30"/>
  <c r="B632" i="30"/>
  <c r="A632" i="30"/>
  <c r="B631" i="30"/>
  <c r="A631" i="30"/>
  <c r="B630" i="30"/>
  <c r="A630" i="30"/>
  <c r="B629" i="30"/>
  <c r="A629" i="30"/>
  <c r="B628" i="30"/>
  <c r="A628" i="30"/>
  <c r="B627" i="30"/>
  <c r="A627" i="30"/>
  <c r="B626" i="30"/>
  <c r="A626" i="30"/>
  <c r="B625" i="30"/>
  <c r="A625" i="30"/>
  <c r="B624" i="30"/>
  <c r="A624" i="30"/>
  <c r="B623" i="30"/>
  <c r="A623" i="30"/>
  <c r="B622" i="30"/>
  <c r="A622" i="30"/>
  <c r="B621" i="30"/>
  <c r="A621" i="30"/>
  <c r="B620" i="30"/>
  <c r="A620" i="30"/>
  <c r="B619" i="30"/>
  <c r="A619" i="30"/>
  <c r="B618" i="30"/>
  <c r="A618" i="30"/>
  <c r="B617" i="30"/>
  <c r="A617" i="30"/>
  <c r="B616" i="30"/>
  <c r="A616" i="30"/>
  <c r="B615" i="30"/>
  <c r="A615" i="30"/>
  <c r="B614" i="30"/>
  <c r="A614" i="30"/>
  <c r="B613" i="30"/>
  <c r="A613" i="30"/>
  <c r="B612" i="30"/>
  <c r="A612" i="30"/>
  <c r="B611" i="30"/>
  <c r="A611" i="30"/>
  <c r="B610" i="30"/>
  <c r="A610" i="30"/>
  <c r="B609" i="30"/>
  <c r="A609" i="30"/>
  <c r="B608" i="30"/>
  <c r="A608" i="30"/>
  <c r="B607" i="30"/>
  <c r="A607" i="30"/>
  <c r="B606" i="30"/>
  <c r="A606" i="30"/>
  <c r="B605" i="30"/>
  <c r="A605" i="30"/>
  <c r="B604" i="30"/>
  <c r="A604" i="30"/>
  <c r="B603" i="30"/>
  <c r="A603" i="30"/>
  <c r="B602" i="30"/>
  <c r="A602" i="30"/>
  <c r="B601" i="30"/>
  <c r="A601" i="30"/>
  <c r="B600" i="30"/>
  <c r="A600" i="30"/>
  <c r="B599" i="30"/>
  <c r="A599" i="30"/>
  <c r="B598" i="30"/>
  <c r="A598" i="30"/>
  <c r="B597" i="30"/>
  <c r="A597" i="30"/>
  <c r="B596" i="30"/>
  <c r="A596" i="30"/>
  <c r="B595" i="30"/>
  <c r="A595" i="30"/>
  <c r="B594" i="30"/>
  <c r="A594" i="30"/>
  <c r="B593" i="30"/>
  <c r="A593" i="30"/>
  <c r="B592" i="30"/>
  <c r="A592" i="30"/>
  <c r="B591" i="30"/>
  <c r="A591" i="30"/>
  <c r="B590" i="30"/>
  <c r="A590" i="30"/>
  <c r="B589" i="30"/>
  <c r="A589" i="30"/>
  <c r="B588" i="30"/>
  <c r="A588" i="30"/>
  <c r="B587" i="30"/>
  <c r="A587" i="30"/>
  <c r="B586" i="30"/>
  <c r="A586" i="30"/>
  <c r="B585" i="30"/>
  <c r="A585" i="30"/>
  <c r="B584" i="30"/>
  <c r="A584" i="30"/>
  <c r="B583" i="30"/>
  <c r="A583" i="30"/>
  <c r="B582" i="30"/>
  <c r="A582" i="30"/>
  <c r="B581" i="30"/>
  <c r="A581" i="30"/>
  <c r="B580" i="30"/>
  <c r="A580" i="30"/>
  <c r="B579" i="30"/>
  <c r="A579" i="30"/>
  <c r="B578" i="30"/>
  <c r="A578" i="30"/>
  <c r="B577" i="30"/>
  <c r="A577" i="30"/>
  <c r="B576" i="30"/>
  <c r="A576" i="30"/>
  <c r="B575" i="30"/>
  <c r="A575" i="30"/>
  <c r="B574" i="30"/>
  <c r="A574" i="30"/>
  <c r="B573" i="30"/>
  <c r="A573" i="30"/>
  <c r="B572" i="30"/>
  <c r="A572" i="30"/>
  <c r="B571" i="30"/>
  <c r="A571" i="30"/>
  <c r="B570" i="30"/>
  <c r="A570" i="30"/>
  <c r="B569" i="30"/>
  <c r="A569" i="30"/>
  <c r="B568" i="30"/>
  <c r="A568" i="30"/>
  <c r="B567" i="30"/>
  <c r="A567" i="30"/>
  <c r="B566" i="30"/>
  <c r="A566" i="30"/>
  <c r="B565" i="30"/>
  <c r="A565" i="30"/>
  <c r="B564" i="30"/>
  <c r="A564" i="30"/>
  <c r="B563" i="30"/>
  <c r="A563" i="30"/>
  <c r="B562" i="30"/>
  <c r="A562" i="30"/>
  <c r="B561" i="30"/>
  <c r="A561" i="30"/>
  <c r="B560" i="30"/>
  <c r="A560" i="30"/>
  <c r="B559" i="30"/>
  <c r="A559" i="30"/>
  <c r="B558" i="30"/>
  <c r="A558" i="30"/>
  <c r="B557" i="30"/>
  <c r="A557" i="30"/>
  <c r="B556" i="30"/>
  <c r="A556" i="30"/>
  <c r="B555" i="30"/>
  <c r="A555" i="30"/>
  <c r="B554" i="30"/>
  <c r="A554" i="30"/>
  <c r="B553" i="30"/>
  <c r="A553" i="30"/>
  <c r="B552" i="30"/>
  <c r="A552" i="30"/>
  <c r="B551" i="30"/>
  <c r="A551" i="30"/>
  <c r="B550" i="30"/>
  <c r="A550" i="30"/>
  <c r="B549" i="30"/>
  <c r="A549" i="30"/>
  <c r="B548" i="30"/>
  <c r="A548" i="30"/>
  <c r="B547" i="30"/>
  <c r="A547" i="30"/>
  <c r="B546" i="30"/>
  <c r="A546" i="30"/>
  <c r="B545" i="30"/>
  <c r="A545" i="30"/>
  <c r="B544" i="30"/>
  <c r="A544" i="30"/>
  <c r="B543" i="30"/>
  <c r="A543" i="30"/>
  <c r="B542" i="30"/>
  <c r="A542" i="30"/>
  <c r="B541" i="30"/>
  <c r="A541" i="30"/>
  <c r="B540" i="30"/>
  <c r="A540" i="30"/>
  <c r="B539" i="30"/>
  <c r="A539" i="30"/>
  <c r="B538" i="30"/>
  <c r="A538" i="30"/>
  <c r="B537" i="30"/>
  <c r="A537" i="30"/>
  <c r="B536" i="30"/>
  <c r="A536" i="30"/>
  <c r="B535" i="30"/>
  <c r="A535" i="30"/>
  <c r="B534" i="30"/>
  <c r="A534" i="30"/>
  <c r="B533" i="30"/>
  <c r="A533" i="30"/>
  <c r="B532" i="30"/>
  <c r="A532" i="30"/>
  <c r="B531" i="30"/>
  <c r="A531" i="30"/>
  <c r="B530" i="30"/>
  <c r="A530" i="30"/>
  <c r="B529" i="30"/>
  <c r="A529" i="30"/>
  <c r="B528" i="30"/>
  <c r="A528" i="30"/>
  <c r="B527" i="30"/>
  <c r="A527" i="30"/>
  <c r="B526" i="30"/>
  <c r="A526" i="30"/>
  <c r="B525" i="30"/>
  <c r="A525" i="30"/>
  <c r="B524" i="30"/>
  <c r="A524" i="30"/>
  <c r="B523" i="30"/>
  <c r="A523" i="30"/>
  <c r="B522" i="30"/>
  <c r="A522" i="30"/>
  <c r="B521" i="30"/>
  <c r="A521" i="30"/>
  <c r="B520" i="30"/>
  <c r="A520" i="30"/>
  <c r="B519" i="30"/>
  <c r="A519" i="30"/>
  <c r="B518" i="30"/>
  <c r="A518" i="30"/>
  <c r="B517" i="30"/>
  <c r="A517" i="30"/>
  <c r="B516" i="30"/>
  <c r="A516" i="30"/>
  <c r="B515" i="30"/>
  <c r="A515" i="30"/>
  <c r="B514" i="30"/>
  <c r="A514" i="30"/>
  <c r="B513" i="30"/>
  <c r="A513" i="30"/>
  <c r="B512" i="30"/>
  <c r="A512" i="30"/>
  <c r="B511" i="30"/>
  <c r="A511" i="30"/>
  <c r="B510" i="30"/>
  <c r="A510" i="30"/>
  <c r="B509" i="30"/>
  <c r="A509" i="30"/>
  <c r="B508" i="30"/>
  <c r="A508" i="30"/>
  <c r="B507" i="30"/>
  <c r="A507" i="30"/>
  <c r="B506" i="30"/>
  <c r="A506" i="30"/>
  <c r="B505" i="30"/>
  <c r="A505" i="30"/>
  <c r="B504" i="30"/>
  <c r="A504" i="30"/>
  <c r="B503" i="30"/>
  <c r="A503" i="30"/>
  <c r="B502" i="30"/>
  <c r="A502" i="30"/>
  <c r="B501" i="30"/>
  <c r="A501" i="30"/>
  <c r="B500" i="30"/>
  <c r="A500" i="30"/>
  <c r="B499" i="30"/>
  <c r="A499" i="30"/>
  <c r="B498" i="30"/>
  <c r="A498" i="30"/>
  <c r="B497" i="30"/>
  <c r="A497" i="30"/>
  <c r="B496" i="30"/>
  <c r="A496" i="30"/>
  <c r="B495" i="30"/>
  <c r="A495" i="30"/>
  <c r="B494" i="30"/>
  <c r="A494" i="30"/>
  <c r="B493" i="30"/>
  <c r="A493" i="30"/>
  <c r="B492" i="30"/>
  <c r="A492" i="30"/>
  <c r="B491" i="30"/>
  <c r="A491" i="30"/>
  <c r="B490" i="30"/>
  <c r="A490" i="30"/>
  <c r="B489" i="30"/>
  <c r="A489" i="30"/>
  <c r="B488" i="30"/>
  <c r="A488" i="30"/>
  <c r="B487" i="30"/>
  <c r="A487" i="30"/>
  <c r="B486" i="30"/>
  <c r="A486" i="30"/>
  <c r="B485" i="30"/>
  <c r="A485" i="30"/>
  <c r="B484" i="30"/>
  <c r="A484" i="30"/>
  <c r="B483" i="30"/>
  <c r="A483" i="30"/>
  <c r="B482" i="30"/>
  <c r="A482" i="30"/>
  <c r="B481" i="30"/>
  <c r="A481" i="30"/>
  <c r="B480" i="30"/>
  <c r="A480" i="30"/>
  <c r="B479" i="30"/>
  <c r="A479" i="30"/>
  <c r="B478" i="30"/>
  <c r="A478" i="30"/>
  <c r="B477" i="30"/>
  <c r="A477" i="30"/>
  <c r="B476" i="30"/>
  <c r="A476" i="30"/>
  <c r="B475" i="30"/>
  <c r="A475" i="30"/>
  <c r="B474" i="30"/>
  <c r="A474" i="30"/>
  <c r="B473" i="30"/>
  <c r="A473" i="30"/>
  <c r="B472" i="30"/>
  <c r="A472" i="30"/>
  <c r="B471" i="30"/>
  <c r="A471" i="30"/>
  <c r="B470" i="30"/>
  <c r="A470" i="30"/>
  <c r="B469" i="30"/>
  <c r="A469" i="30"/>
  <c r="B468" i="30"/>
  <c r="A468" i="30"/>
  <c r="B467" i="30"/>
  <c r="A467" i="30"/>
  <c r="B466" i="30"/>
  <c r="A466" i="30"/>
  <c r="B465" i="30"/>
  <c r="A465" i="30"/>
  <c r="B464" i="30"/>
  <c r="A464" i="30"/>
  <c r="B463" i="30"/>
  <c r="A463" i="30"/>
  <c r="B462" i="30"/>
  <c r="A462" i="30"/>
  <c r="B461" i="30"/>
  <c r="A461" i="30"/>
  <c r="B460" i="30"/>
  <c r="A460" i="30"/>
  <c r="B459" i="30"/>
  <c r="A459" i="30"/>
  <c r="B458" i="30"/>
  <c r="A458" i="30"/>
  <c r="B457" i="30"/>
  <c r="A457" i="30"/>
  <c r="B456" i="30"/>
  <c r="A456" i="30"/>
  <c r="B455" i="30"/>
  <c r="A455" i="30"/>
  <c r="B454" i="30"/>
  <c r="A454" i="30"/>
  <c r="B453" i="30"/>
  <c r="A453" i="30"/>
  <c r="B452" i="30"/>
  <c r="A452" i="30"/>
  <c r="B451" i="30"/>
  <c r="A451" i="30"/>
  <c r="B450" i="30"/>
  <c r="A450" i="30"/>
  <c r="B449" i="30"/>
  <c r="A449" i="30"/>
  <c r="B448" i="30"/>
  <c r="A448" i="30"/>
  <c r="B447" i="30"/>
  <c r="A447" i="30"/>
  <c r="B446" i="30"/>
  <c r="A446" i="30"/>
  <c r="B445" i="30"/>
  <c r="A445" i="30"/>
  <c r="B444" i="30"/>
  <c r="A444" i="30"/>
  <c r="B443" i="30"/>
  <c r="A443" i="30"/>
  <c r="B442" i="30"/>
  <c r="A442" i="30"/>
  <c r="B441" i="30"/>
  <c r="A441" i="30"/>
  <c r="B440" i="30"/>
  <c r="A440" i="30"/>
  <c r="B439" i="30"/>
  <c r="A439" i="30"/>
  <c r="B438" i="30"/>
  <c r="A438" i="30"/>
  <c r="B437" i="30"/>
  <c r="A437" i="30"/>
  <c r="B436" i="30"/>
  <c r="A436" i="30"/>
  <c r="B435" i="30"/>
  <c r="A435" i="30"/>
  <c r="B434" i="30"/>
  <c r="A434" i="30"/>
  <c r="B433" i="30"/>
  <c r="A433" i="30"/>
  <c r="B432" i="30"/>
  <c r="A432" i="30"/>
  <c r="B431" i="30"/>
  <c r="A431" i="30"/>
  <c r="B430" i="30"/>
  <c r="A430" i="30"/>
  <c r="B429" i="30"/>
  <c r="A429" i="30"/>
  <c r="B428" i="30"/>
  <c r="A428" i="30"/>
  <c r="B427" i="30"/>
  <c r="A427" i="30"/>
  <c r="B426" i="30"/>
  <c r="A426" i="30"/>
  <c r="B425" i="30"/>
  <c r="A425" i="30"/>
  <c r="B424" i="30"/>
  <c r="A424" i="30"/>
  <c r="B423" i="30"/>
  <c r="A423" i="30"/>
  <c r="B422" i="30"/>
  <c r="A422" i="30"/>
  <c r="B421" i="30"/>
  <c r="A421" i="30"/>
  <c r="B420" i="30"/>
  <c r="A420" i="30"/>
  <c r="B419" i="30"/>
  <c r="A419" i="30"/>
  <c r="B418" i="30"/>
  <c r="A418" i="30"/>
  <c r="B417" i="30"/>
  <c r="A417" i="30"/>
  <c r="B416" i="30"/>
  <c r="A416" i="30"/>
  <c r="B415" i="30"/>
  <c r="A415" i="30"/>
  <c r="B414" i="30"/>
  <c r="A414" i="30"/>
  <c r="B413" i="30"/>
  <c r="A413" i="30"/>
  <c r="B412" i="30"/>
  <c r="A412" i="30"/>
  <c r="B411" i="30"/>
  <c r="A411" i="30"/>
  <c r="B410" i="30"/>
  <c r="A410" i="30"/>
  <c r="B409" i="30"/>
  <c r="A409" i="30"/>
  <c r="B408" i="30"/>
  <c r="A408" i="30"/>
  <c r="B407" i="30"/>
  <c r="A407" i="30"/>
  <c r="B406" i="30"/>
  <c r="A406" i="30"/>
  <c r="B405" i="30"/>
  <c r="A405" i="30"/>
  <c r="B404" i="30"/>
  <c r="A404" i="30"/>
  <c r="B403" i="30"/>
  <c r="A403" i="30"/>
  <c r="B402" i="30"/>
  <c r="A402" i="30"/>
  <c r="B401" i="30"/>
  <c r="A401" i="30"/>
  <c r="B400" i="30"/>
  <c r="A400" i="30"/>
  <c r="B399" i="30"/>
  <c r="A399" i="30"/>
  <c r="B398" i="30"/>
  <c r="A398" i="30"/>
  <c r="B397" i="30"/>
  <c r="A397" i="30"/>
  <c r="B396" i="30"/>
  <c r="A396" i="30"/>
  <c r="B395" i="30"/>
  <c r="A395" i="30"/>
  <c r="B394" i="30"/>
  <c r="A394" i="30"/>
  <c r="B393" i="30"/>
  <c r="A393" i="30"/>
  <c r="B392" i="30"/>
  <c r="A392" i="30"/>
  <c r="B391" i="30"/>
  <c r="A391" i="30"/>
  <c r="B390" i="30"/>
  <c r="A390" i="30"/>
  <c r="B389" i="30"/>
  <c r="A389" i="30"/>
  <c r="B388" i="30"/>
  <c r="A388" i="30"/>
  <c r="B387" i="30"/>
  <c r="A387" i="30"/>
  <c r="B386" i="30"/>
  <c r="A386" i="30"/>
  <c r="B385" i="30"/>
  <c r="A385" i="30"/>
  <c r="B384" i="30"/>
  <c r="A384" i="30"/>
  <c r="B383" i="30"/>
  <c r="A383" i="30"/>
  <c r="B382" i="30"/>
  <c r="A382" i="30"/>
  <c r="B381" i="30"/>
  <c r="A381" i="30"/>
  <c r="B380" i="30"/>
  <c r="A380" i="30"/>
  <c r="B379" i="30"/>
  <c r="A379" i="30"/>
  <c r="B378" i="30"/>
  <c r="A378" i="30"/>
  <c r="B377" i="30"/>
  <c r="A377" i="30"/>
  <c r="B376" i="30"/>
  <c r="A376" i="30"/>
  <c r="B375" i="30"/>
  <c r="A375" i="30"/>
  <c r="B374" i="30"/>
  <c r="A374" i="30"/>
  <c r="B373" i="30"/>
  <c r="A373" i="30"/>
  <c r="B372" i="30"/>
  <c r="A372" i="30"/>
  <c r="B371" i="30"/>
  <c r="A371" i="30"/>
  <c r="B370" i="30"/>
  <c r="A370" i="30"/>
  <c r="B369" i="30"/>
  <c r="A369" i="30"/>
  <c r="B368" i="30"/>
  <c r="A368" i="30"/>
  <c r="B367" i="30"/>
  <c r="A367" i="30"/>
  <c r="B366" i="30"/>
  <c r="A366" i="30"/>
  <c r="B365" i="30"/>
  <c r="A365" i="30"/>
  <c r="B364" i="30"/>
  <c r="A364" i="30"/>
  <c r="B363" i="30"/>
  <c r="A363" i="30"/>
  <c r="B362" i="30"/>
  <c r="A362" i="30"/>
  <c r="B361" i="30"/>
  <c r="A361" i="30"/>
  <c r="B360" i="30"/>
  <c r="A360" i="30"/>
  <c r="B359" i="30"/>
  <c r="A359" i="30"/>
  <c r="B358" i="30"/>
  <c r="A358" i="30"/>
  <c r="B357" i="30"/>
  <c r="A357" i="30"/>
  <c r="B356" i="30"/>
  <c r="A356" i="30"/>
  <c r="B355" i="30"/>
  <c r="A355" i="30"/>
  <c r="B354" i="30"/>
  <c r="A354" i="30"/>
  <c r="B353" i="30"/>
  <c r="A353" i="30"/>
  <c r="B352" i="30"/>
  <c r="A352" i="30"/>
  <c r="B351" i="30"/>
  <c r="A351" i="30"/>
  <c r="B350" i="30"/>
  <c r="A350" i="30"/>
  <c r="B349" i="30"/>
  <c r="A349" i="30"/>
  <c r="B348" i="30"/>
  <c r="A348" i="30"/>
  <c r="B347" i="30"/>
  <c r="A347" i="30"/>
  <c r="B346" i="30"/>
  <c r="A346" i="30"/>
  <c r="B345" i="30"/>
  <c r="A345" i="30"/>
  <c r="B344" i="30"/>
  <c r="A344" i="30"/>
  <c r="B343" i="30"/>
  <c r="A343" i="30"/>
  <c r="B342" i="30"/>
  <c r="A342" i="30"/>
  <c r="B341" i="30"/>
  <c r="A341" i="30"/>
  <c r="B340" i="30"/>
  <c r="A340" i="30"/>
  <c r="B339" i="30"/>
  <c r="A339" i="30"/>
  <c r="B338" i="30"/>
  <c r="A338" i="30"/>
  <c r="B337" i="30"/>
  <c r="A337" i="30"/>
  <c r="B336" i="30"/>
  <c r="A336" i="30"/>
  <c r="B335" i="30"/>
  <c r="A335" i="30"/>
  <c r="B334" i="30"/>
  <c r="A334" i="30"/>
  <c r="B333" i="30"/>
  <c r="A333" i="30"/>
  <c r="B332" i="30"/>
  <c r="A332" i="30"/>
  <c r="B331" i="30"/>
  <c r="A331" i="30"/>
  <c r="B330" i="30"/>
  <c r="A330" i="30"/>
  <c r="B329" i="30"/>
  <c r="A329" i="30"/>
  <c r="B328" i="30"/>
  <c r="A328" i="30"/>
  <c r="B327" i="30"/>
  <c r="A327" i="30"/>
  <c r="B326" i="30"/>
  <c r="A326" i="30"/>
  <c r="B325" i="30"/>
  <c r="A325" i="30"/>
  <c r="B324" i="30"/>
  <c r="A324" i="30"/>
  <c r="B323" i="30"/>
  <c r="A323" i="30"/>
  <c r="B322" i="30"/>
  <c r="A322" i="30"/>
  <c r="B321" i="30"/>
  <c r="A321" i="30"/>
  <c r="B320" i="30"/>
  <c r="A320" i="30"/>
  <c r="B319" i="30"/>
  <c r="A319" i="30"/>
  <c r="B318" i="30"/>
  <c r="A318" i="30"/>
  <c r="B317" i="30"/>
  <c r="A317" i="30"/>
  <c r="B316" i="30"/>
  <c r="A316" i="30"/>
  <c r="B315" i="30"/>
  <c r="A315" i="30"/>
  <c r="B314" i="30"/>
  <c r="A314" i="30"/>
  <c r="B313" i="30"/>
  <c r="A313" i="30"/>
  <c r="B312" i="30"/>
  <c r="A312" i="30"/>
  <c r="B311" i="30"/>
  <c r="A311" i="30"/>
  <c r="B310" i="30"/>
  <c r="A310" i="30"/>
  <c r="B309" i="30"/>
  <c r="A309" i="30"/>
  <c r="B308" i="30"/>
  <c r="A308" i="30"/>
  <c r="B307" i="30"/>
  <c r="A307" i="30"/>
  <c r="B306" i="30"/>
  <c r="A306" i="30"/>
  <c r="B305" i="30"/>
  <c r="A305" i="30"/>
  <c r="B304" i="30"/>
  <c r="A304" i="30"/>
  <c r="B303" i="30"/>
  <c r="A303" i="30"/>
  <c r="B302" i="30"/>
  <c r="A302" i="30"/>
  <c r="B301" i="30"/>
  <c r="A301" i="30"/>
  <c r="B300" i="30"/>
  <c r="A300" i="30"/>
  <c r="B299" i="30"/>
  <c r="A299" i="30"/>
  <c r="B298" i="30"/>
  <c r="A298" i="30"/>
  <c r="B297" i="30"/>
  <c r="A297" i="30"/>
  <c r="B296" i="30"/>
  <c r="A296" i="30"/>
  <c r="B295" i="30"/>
  <c r="A295" i="30"/>
  <c r="B294" i="30"/>
  <c r="A294" i="30"/>
  <c r="B293" i="30"/>
  <c r="A293" i="30"/>
  <c r="B292" i="30"/>
  <c r="A292" i="30"/>
  <c r="B291" i="30"/>
  <c r="A291" i="30"/>
  <c r="B290" i="30"/>
  <c r="A290" i="30"/>
  <c r="B289" i="30"/>
  <c r="A289" i="30"/>
  <c r="B288" i="30"/>
  <c r="A288" i="30"/>
  <c r="B287" i="30"/>
  <c r="A287" i="30"/>
  <c r="B286" i="30"/>
  <c r="A286" i="30"/>
  <c r="B285" i="30"/>
  <c r="A285" i="30"/>
  <c r="B284" i="30"/>
  <c r="A284" i="30"/>
  <c r="B283" i="30"/>
  <c r="A283" i="30"/>
  <c r="B282" i="30"/>
  <c r="A282" i="30"/>
  <c r="B281" i="30"/>
  <c r="A281" i="30"/>
  <c r="B280" i="30"/>
  <c r="A280" i="30"/>
  <c r="B279" i="30"/>
  <c r="A279" i="30"/>
  <c r="B278" i="30"/>
  <c r="A278" i="30"/>
  <c r="B277" i="30"/>
  <c r="A277" i="30"/>
  <c r="B276" i="30"/>
  <c r="A276" i="30"/>
  <c r="B275" i="30"/>
  <c r="A275" i="30"/>
  <c r="B274" i="30"/>
  <c r="A274" i="30"/>
  <c r="B273" i="30"/>
  <c r="A273" i="30"/>
  <c r="B272" i="30"/>
  <c r="A272" i="30"/>
  <c r="B271" i="30"/>
  <c r="A271" i="30"/>
  <c r="B270" i="30"/>
  <c r="A270" i="30"/>
  <c r="B269" i="30"/>
  <c r="A269" i="30"/>
  <c r="B268" i="30"/>
  <c r="A268" i="30"/>
  <c r="B267" i="30"/>
  <c r="A267" i="30"/>
  <c r="B266" i="30"/>
  <c r="A266" i="30"/>
  <c r="B265" i="30"/>
  <c r="A265" i="30"/>
  <c r="B264" i="30"/>
  <c r="A264" i="30"/>
  <c r="B263" i="30"/>
  <c r="A263" i="30"/>
  <c r="B262" i="30"/>
  <c r="A262" i="30"/>
  <c r="B261" i="30"/>
  <c r="A261" i="30"/>
  <c r="B260" i="30"/>
  <c r="A260" i="30"/>
  <c r="B259" i="30"/>
  <c r="A259" i="30"/>
  <c r="B258" i="30"/>
  <c r="A258" i="30"/>
  <c r="B257" i="30"/>
  <c r="A257" i="30"/>
  <c r="B256" i="30"/>
  <c r="A256" i="30"/>
  <c r="B255" i="30"/>
  <c r="A255" i="30"/>
  <c r="B254" i="30"/>
  <c r="A254" i="30"/>
  <c r="B253" i="30"/>
  <c r="A253" i="30"/>
  <c r="B252" i="30"/>
  <c r="A252" i="30"/>
  <c r="B251" i="30"/>
  <c r="A251" i="30"/>
  <c r="B250" i="30"/>
  <c r="A250" i="30"/>
  <c r="B249" i="30"/>
  <c r="A249" i="30"/>
  <c r="B248" i="30"/>
  <c r="A248" i="30"/>
  <c r="B247" i="30"/>
  <c r="A247" i="30"/>
  <c r="B246" i="30"/>
  <c r="A246" i="30"/>
  <c r="B245" i="30"/>
  <c r="A245" i="30"/>
  <c r="B244" i="30"/>
  <c r="A244" i="30"/>
  <c r="B243" i="30"/>
  <c r="A243" i="30"/>
  <c r="B242" i="30"/>
  <c r="A242" i="30"/>
  <c r="B241" i="30"/>
  <c r="A241" i="30"/>
  <c r="B240" i="30"/>
  <c r="A240" i="30"/>
  <c r="B239" i="30"/>
  <c r="A239" i="30"/>
  <c r="B238" i="30"/>
  <c r="A238" i="30"/>
  <c r="B237" i="30"/>
  <c r="A237" i="30"/>
  <c r="B236" i="30"/>
  <c r="A236" i="30"/>
  <c r="B235" i="30"/>
  <c r="A235" i="30"/>
  <c r="B234" i="30"/>
  <c r="A234" i="30"/>
  <c r="B233" i="30"/>
  <c r="A233" i="30"/>
  <c r="B232" i="30"/>
  <c r="A232" i="30"/>
  <c r="B231" i="30"/>
  <c r="A231" i="30"/>
  <c r="B230" i="30"/>
  <c r="A230" i="30"/>
  <c r="B229" i="30"/>
  <c r="A229" i="30"/>
  <c r="B228" i="30"/>
  <c r="A228" i="30"/>
  <c r="B227" i="30"/>
  <c r="A227" i="30"/>
  <c r="B226" i="30"/>
  <c r="A226" i="30"/>
  <c r="B225" i="30"/>
  <c r="A225" i="30"/>
  <c r="B224" i="30"/>
  <c r="A224" i="30"/>
  <c r="B223" i="30"/>
  <c r="A223" i="30"/>
  <c r="B222" i="30"/>
  <c r="A222" i="30"/>
  <c r="B221" i="30"/>
  <c r="A221" i="30"/>
  <c r="B220" i="30"/>
  <c r="A220" i="30"/>
  <c r="B219" i="30"/>
  <c r="A219" i="30"/>
  <c r="B218" i="30"/>
  <c r="A218" i="30"/>
  <c r="B217" i="30"/>
  <c r="A217" i="30"/>
  <c r="B216" i="30"/>
  <c r="A216" i="30"/>
  <c r="B215" i="30"/>
  <c r="A215" i="30"/>
  <c r="B214" i="30"/>
  <c r="A214" i="30"/>
  <c r="B213" i="30"/>
  <c r="A213" i="30"/>
  <c r="B212" i="30"/>
  <c r="A212" i="30"/>
  <c r="B211" i="30"/>
  <c r="A211" i="30"/>
  <c r="B210" i="30"/>
  <c r="A210" i="30"/>
  <c r="B209" i="30"/>
  <c r="A209" i="30"/>
  <c r="B208" i="30"/>
  <c r="A208" i="30"/>
  <c r="B207" i="30"/>
  <c r="A207" i="30"/>
  <c r="B206" i="30"/>
  <c r="A206" i="30"/>
  <c r="B205" i="30"/>
  <c r="A205" i="30"/>
  <c r="B204" i="30"/>
  <c r="A204" i="30"/>
  <c r="B203" i="30"/>
  <c r="A203" i="30"/>
  <c r="B202" i="30"/>
  <c r="A202" i="30"/>
  <c r="B201" i="30"/>
  <c r="A201" i="30"/>
  <c r="B200" i="30"/>
  <c r="A200" i="30"/>
  <c r="B199" i="30"/>
  <c r="A199" i="30"/>
  <c r="B198" i="30"/>
  <c r="A198" i="30"/>
  <c r="B197" i="30"/>
  <c r="A197" i="30"/>
  <c r="B196" i="30"/>
  <c r="A196" i="30"/>
  <c r="B195" i="30"/>
  <c r="A195" i="30"/>
  <c r="B194" i="30"/>
  <c r="A194" i="30"/>
  <c r="B193" i="30"/>
  <c r="A193" i="30"/>
  <c r="B192" i="30"/>
  <c r="A192" i="30"/>
  <c r="B191" i="30"/>
  <c r="A191" i="30"/>
  <c r="B190" i="30"/>
  <c r="A190" i="30"/>
  <c r="B189" i="30"/>
  <c r="A189" i="30"/>
  <c r="B188" i="30"/>
  <c r="A188" i="30"/>
  <c r="B187" i="30"/>
  <c r="A187" i="30"/>
  <c r="B186" i="30"/>
  <c r="A186" i="30"/>
  <c r="B185" i="30"/>
  <c r="A185" i="30"/>
  <c r="B184" i="30"/>
  <c r="A184" i="30"/>
  <c r="B183" i="30"/>
  <c r="A183" i="30"/>
  <c r="B182" i="30"/>
  <c r="A182" i="30"/>
  <c r="B181" i="30"/>
  <c r="A181" i="30"/>
  <c r="B180" i="30"/>
  <c r="A180" i="30"/>
  <c r="B179" i="30"/>
  <c r="A179" i="30"/>
  <c r="B178" i="30"/>
  <c r="A178" i="30"/>
  <c r="B177" i="30"/>
  <c r="A177" i="30"/>
  <c r="B176" i="30"/>
  <c r="A176" i="30"/>
  <c r="B175" i="30"/>
  <c r="A175" i="30"/>
  <c r="B174" i="30"/>
  <c r="A174" i="30"/>
  <c r="B173" i="30"/>
  <c r="A173" i="30"/>
  <c r="B172" i="30"/>
  <c r="A172" i="30"/>
  <c r="B171" i="30"/>
  <c r="A171" i="30"/>
  <c r="B170" i="30"/>
  <c r="A170" i="30"/>
  <c r="B169" i="30"/>
  <c r="A169" i="30"/>
  <c r="B168" i="30"/>
  <c r="A168" i="30"/>
  <c r="B167" i="30"/>
  <c r="A167" i="30"/>
  <c r="B166" i="30"/>
  <c r="A166" i="30"/>
  <c r="B165" i="30"/>
  <c r="A165" i="30"/>
  <c r="B164" i="30"/>
  <c r="A164" i="30"/>
  <c r="B163" i="30"/>
  <c r="A163" i="30"/>
  <c r="B162" i="30"/>
  <c r="A162" i="30"/>
  <c r="B161" i="30"/>
  <c r="A161" i="30"/>
  <c r="B160" i="30"/>
  <c r="A160" i="30"/>
  <c r="B159" i="30"/>
  <c r="A159" i="30"/>
  <c r="B158" i="30"/>
  <c r="A158" i="30"/>
  <c r="B157" i="30"/>
  <c r="A157" i="30"/>
  <c r="B156" i="30"/>
  <c r="A156" i="30"/>
  <c r="B155" i="30"/>
  <c r="A155" i="30"/>
  <c r="B154" i="30"/>
  <c r="A154" i="30"/>
  <c r="B153" i="30"/>
  <c r="A153" i="30"/>
  <c r="B152" i="30"/>
  <c r="A152" i="30"/>
  <c r="B151" i="30"/>
  <c r="A151" i="30"/>
  <c r="B150" i="30"/>
  <c r="A150" i="30"/>
  <c r="B149" i="30"/>
  <c r="A149" i="30"/>
  <c r="B148" i="30"/>
  <c r="A148" i="30"/>
  <c r="B147" i="30"/>
  <c r="A147" i="30"/>
  <c r="B146" i="30"/>
  <c r="A146" i="30"/>
  <c r="B145" i="30"/>
  <c r="A145" i="30"/>
  <c r="B144" i="30"/>
  <c r="A144" i="30"/>
  <c r="B143" i="30"/>
  <c r="A143" i="30"/>
  <c r="B142" i="30"/>
  <c r="A142" i="30"/>
  <c r="B141" i="30"/>
  <c r="A141" i="30"/>
  <c r="B140" i="30"/>
  <c r="A140" i="30"/>
  <c r="B139" i="30"/>
  <c r="A139" i="30"/>
  <c r="B138" i="30"/>
  <c r="A138" i="30"/>
  <c r="B137" i="30"/>
  <c r="A137" i="30"/>
  <c r="B136" i="30"/>
  <c r="A136" i="30"/>
  <c r="B135" i="30"/>
  <c r="A135" i="30"/>
  <c r="B134" i="30"/>
  <c r="A134" i="30"/>
  <c r="B133" i="30"/>
  <c r="A133" i="30"/>
  <c r="B132" i="30"/>
  <c r="A132" i="30"/>
  <c r="B131" i="30"/>
  <c r="A131" i="30"/>
  <c r="B130" i="30"/>
  <c r="A130" i="30"/>
  <c r="B129" i="30"/>
  <c r="A129" i="30"/>
  <c r="B128" i="30"/>
  <c r="A128" i="30"/>
  <c r="B127" i="30"/>
  <c r="A127" i="30"/>
  <c r="B126" i="30"/>
  <c r="A126" i="30"/>
  <c r="B125" i="30"/>
  <c r="A125" i="30"/>
  <c r="B124" i="30"/>
  <c r="A124" i="30"/>
  <c r="B123" i="30"/>
  <c r="A123" i="30"/>
  <c r="B122" i="30"/>
  <c r="A122" i="30"/>
  <c r="B121" i="30"/>
  <c r="A121" i="30"/>
  <c r="B120" i="30"/>
  <c r="A120" i="30"/>
  <c r="B119" i="30"/>
  <c r="A119" i="30"/>
  <c r="B118" i="30"/>
  <c r="A118" i="30"/>
  <c r="B117" i="30"/>
  <c r="A117" i="30"/>
  <c r="B116" i="30"/>
  <c r="A116" i="30"/>
  <c r="B115" i="30"/>
  <c r="A115" i="30"/>
  <c r="B114" i="30"/>
  <c r="A114" i="30"/>
  <c r="B113" i="30"/>
  <c r="A113" i="30"/>
  <c r="B112" i="30"/>
  <c r="A112" i="30"/>
  <c r="B111" i="30"/>
  <c r="A111" i="30"/>
  <c r="B110" i="30"/>
  <c r="A110" i="30"/>
  <c r="B109" i="30"/>
  <c r="A109" i="30"/>
  <c r="B108" i="30"/>
  <c r="A108" i="30"/>
  <c r="B107" i="30"/>
  <c r="A107" i="30"/>
  <c r="B106" i="30"/>
  <c r="A106" i="30"/>
  <c r="B105" i="30"/>
  <c r="A105" i="30"/>
  <c r="B104" i="30"/>
  <c r="A104" i="30"/>
  <c r="B103" i="30"/>
  <c r="A103" i="30"/>
  <c r="B102" i="30"/>
  <c r="A102" i="30"/>
  <c r="B101" i="30"/>
  <c r="A101" i="30"/>
  <c r="B100" i="30"/>
  <c r="A100" i="30"/>
  <c r="B99" i="30"/>
  <c r="A99" i="30"/>
  <c r="B98" i="30"/>
  <c r="A98" i="30"/>
  <c r="B97" i="30"/>
  <c r="A97" i="30"/>
  <c r="B96" i="30"/>
  <c r="A96" i="30"/>
  <c r="B95" i="30"/>
  <c r="A95" i="30"/>
  <c r="B94" i="30"/>
  <c r="A94" i="30"/>
  <c r="B93" i="30"/>
  <c r="A93" i="30"/>
  <c r="B92" i="30"/>
  <c r="A92" i="30"/>
  <c r="B91" i="30"/>
  <c r="A91" i="30"/>
  <c r="B90" i="30"/>
  <c r="A90" i="30"/>
  <c r="B89" i="30"/>
  <c r="A89" i="30"/>
  <c r="B88" i="30"/>
  <c r="A88" i="30"/>
  <c r="B87" i="30"/>
  <c r="A87" i="30"/>
  <c r="B86" i="30"/>
  <c r="A86" i="30"/>
  <c r="B85" i="30"/>
  <c r="A85" i="30"/>
  <c r="B84" i="30"/>
  <c r="A84" i="30"/>
  <c r="B83" i="30"/>
  <c r="A83" i="30"/>
  <c r="B82" i="30"/>
  <c r="A82" i="30"/>
  <c r="B81" i="30"/>
  <c r="A81" i="30"/>
  <c r="B80" i="30"/>
  <c r="A80" i="30"/>
  <c r="B79" i="30"/>
  <c r="A79" i="30"/>
  <c r="B78" i="30"/>
  <c r="A78" i="30"/>
  <c r="B77" i="30"/>
  <c r="A77" i="30"/>
  <c r="B76" i="30"/>
  <c r="A76" i="30"/>
  <c r="B75" i="30"/>
  <c r="A75" i="30"/>
  <c r="B74" i="30"/>
  <c r="A74" i="30"/>
  <c r="B73" i="30"/>
  <c r="A73" i="30"/>
  <c r="B72" i="30"/>
  <c r="A72" i="30"/>
  <c r="B71" i="30"/>
  <c r="A71" i="30"/>
  <c r="B70" i="30"/>
  <c r="A70" i="30"/>
  <c r="B69" i="30"/>
  <c r="A69" i="30"/>
  <c r="B68" i="30"/>
  <c r="A68" i="30"/>
  <c r="B67" i="30"/>
  <c r="A67" i="30"/>
  <c r="B66" i="30"/>
  <c r="A66" i="30"/>
  <c r="B65" i="30"/>
  <c r="A65" i="30"/>
  <c r="B64" i="30"/>
  <c r="A64" i="30"/>
  <c r="B63" i="30"/>
  <c r="A63" i="30"/>
  <c r="B62" i="30"/>
  <c r="A62" i="30"/>
  <c r="B61" i="30"/>
  <c r="A61" i="30"/>
  <c r="B60" i="30"/>
  <c r="A60" i="30"/>
  <c r="B59" i="30"/>
  <c r="A59" i="30"/>
  <c r="B58" i="30"/>
  <c r="A58" i="30"/>
  <c r="B57" i="30"/>
  <c r="A57" i="30"/>
  <c r="B56" i="30"/>
  <c r="A56" i="30"/>
  <c r="B55" i="30"/>
  <c r="A55" i="30"/>
  <c r="B54" i="30"/>
  <c r="A54" i="30"/>
  <c r="B53" i="30"/>
  <c r="A53" i="30"/>
  <c r="B52" i="30"/>
  <c r="A52" i="30"/>
  <c r="B51" i="30"/>
  <c r="A51" i="30"/>
  <c r="B50" i="30"/>
  <c r="A50" i="30"/>
  <c r="B49" i="30"/>
  <c r="A49" i="30"/>
  <c r="B48" i="30"/>
  <c r="A48" i="30"/>
  <c r="B47" i="30"/>
  <c r="A47" i="30"/>
  <c r="B46" i="30"/>
  <c r="A46" i="30"/>
  <c r="B45" i="30"/>
  <c r="A45" i="30"/>
  <c r="B44" i="30"/>
  <c r="A44" i="30"/>
  <c r="B43" i="30"/>
  <c r="A43" i="30"/>
  <c r="B42" i="30"/>
  <c r="A42" i="30"/>
  <c r="B41" i="30"/>
  <c r="A41" i="30"/>
  <c r="B40" i="30"/>
  <c r="A40" i="30"/>
  <c r="B39" i="30"/>
  <c r="A39" i="30"/>
  <c r="B38" i="30"/>
  <c r="A38" i="30"/>
  <c r="B37" i="30"/>
  <c r="A37" i="30"/>
  <c r="B36" i="30"/>
  <c r="A36" i="30"/>
  <c r="B35" i="30"/>
  <c r="A35" i="30"/>
  <c r="B34" i="30"/>
  <c r="A34" i="30"/>
  <c r="B33" i="30"/>
  <c r="A33" i="30"/>
  <c r="B32" i="30"/>
  <c r="A32" i="30"/>
  <c r="B31" i="30"/>
  <c r="A31" i="30"/>
  <c r="B30" i="30"/>
  <c r="A30" i="30"/>
  <c r="B29" i="30"/>
  <c r="A29" i="30"/>
  <c r="B28" i="30"/>
  <c r="A28" i="30"/>
  <c r="B27" i="30"/>
  <c r="A27" i="30"/>
  <c r="B26" i="30"/>
  <c r="A26" i="30"/>
  <c r="B25" i="30"/>
  <c r="A25" i="30"/>
  <c r="B24" i="30"/>
  <c r="A24" i="30"/>
  <c r="B23" i="30"/>
  <c r="A23" i="30"/>
  <c r="B22" i="30"/>
  <c r="A22" i="30"/>
  <c r="B21" i="30"/>
  <c r="A21" i="30"/>
  <c r="B20" i="30"/>
  <c r="A20" i="30"/>
  <c r="B19" i="30"/>
  <c r="A19" i="30"/>
  <c r="B18" i="30"/>
  <c r="A18" i="30"/>
  <c r="B17" i="30"/>
  <c r="A17" i="30"/>
  <c r="B16" i="30"/>
  <c r="A16" i="30"/>
  <c r="B15" i="30"/>
  <c r="A15" i="30"/>
  <c r="B14" i="30"/>
  <c r="A14" i="30"/>
  <c r="B13" i="30"/>
  <c r="A13" i="30"/>
  <c r="B12" i="30"/>
  <c r="A12" i="30"/>
  <c r="B11" i="30"/>
  <c r="A11" i="30"/>
  <c r="B10" i="30"/>
  <c r="A10" i="30"/>
  <c r="B9" i="30"/>
  <c r="A9" i="30"/>
  <c r="B8" i="30"/>
  <c r="A8" i="30"/>
  <c r="B7" i="30"/>
  <c r="A7" i="30"/>
  <c r="B6" i="30"/>
  <c r="A6" i="30"/>
  <c r="B5" i="30"/>
  <c r="A5" i="30"/>
  <c r="B4" i="30"/>
  <c r="A4" i="30"/>
  <c r="B3" i="30"/>
  <c r="A3" i="30"/>
  <c r="B2" i="30"/>
  <c r="A2" i="30"/>
  <c r="M90" i="26"/>
  <c r="J90" i="26"/>
  <c r="H90" i="26"/>
  <c r="E90" i="26"/>
  <c r="C90" i="26"/>
  <c r="N16" i="26"/>
  <c r="N15" i="26"/>
  <c r="G15" i="26"/>
  <c r="F15" i="26"/>
  <c r="E15" i="26"/>
  <c r="D15" i="26"/>
  <c r="N14" i="26"/>
  <c r="G14" i="26"/>
  <c r="F14" i="26"/>
  <c r="E14" i="26"/>
  <c r="D14" i="26"/>
  <c r="N13" i="26"/>
  <c r="G13" i="26"/>
  <c r="F13" i="26"/>
  <c r="E13" i="26"/>
  <c r="D13" i="26"/>
  <c r="O8" i="26"/>
  <c r="M8" i="26"/>
  <c r="J8" i="26"/>
  <c r="H8" i="26"/>
  <c r="E8" i="26"/>
  <c r="C8" i="26"/>
  <c r="E1001" i="10"/>
  <c r="E1000" i="10"/>
  <c r="E999" i="10"/>
  <c r="E998" i="10"/>
  <c r="E997" i="10"/>
  <c r="E996" i="10"/>
  <c r="E995" i="10"/>
  <c r="E994" i="10"/>
  <c r="E993" i="10"/>
  <c r="E992" i="10"/>
  <c r="E991" i="10"/>
  <c r="E990" i="10"/>
  <c r="E989" i="10"/>
  <c r="E988" i="10"/>
  <c r="E987" i="10"/>
  <c r="E986" i="10"/>
  <c r="E985" i="10"/>
  <c r="E984" i="10"/>
  <c r="E983" i="10"/>
  <c r="E982" i="10"/>
  <c r="E981" i="10"/>
  <c r="E980" i="10"/>
  <c r="E979" i="10"/>
  <c r="E978" i="10"/>
  <c r="E977" i="10"/>
  <c r="E976" i="10"/>
  <c r="E975" i="10"/>
  <c r="E974" i="10"/>
  <c r="E973" i="10"/>
  <c r="E972" i="10"/>
  <c r="E971" i="10"/>
  <c r="E970" i="10"/>
  <c r="E969" i="10"/>
  <c r="E968" i="10"/>
  <c r="E967" i="10"/>
  <c r="E966" i="10"/>
  <c r="E965" i="10"/>
  <c r="E964" i="10"/>
  <c r="E963" i="10"/>
  <c r="E962" i="10"/>
  <c r="E961" i="10"/>
  <c r="E960" i="10"/>
  <c r="E959" i="10"/>
  <c r="E958" i="10"/>
  <c r="E957" i="10"/>
  <c r="E956" i="10"/>
  <c r="E955" i="10"/>
  <c r="E954" i="10"/>
  <c r="E953" i="10"/>
  <c r="E952" i="10"/>
  <c r="E951" i="10"/>
  <c r="E950" i="10"/>
  <c r="E949" i="10"/>
  <c r="E948" i="10"/>
  <c r="E947" i="10"/>
  <c r="E946" i="10"/>
  <c r="E945" i="10"/>
  <c r="E944" i="10"/>
  <c r="E943" i="10"/>
  <c r="E942" i="10"/>
  <c r="E941" i="10"/>
  <c r="E940" i="10"/>
  <c r="E939" i="10"/>
  <c r="E938" i="10"/>
  <c r="E937" i="10"/>
  <c r="E936" i="10"/>
  <c r="E935" i="10"/>
  <c r="E934" i="10"/>
  <c r="E933" i="10"/>
  <c r="E932" i="10"/>
  <c r="E931" i="10"/>
  <c r="E930" i="10"/>
  <c r="E929" i="10"/>
  <c r="E928" i="10"/>
  <c r="E927" i="10"/>
  <c r="E926" i="10"/>
  <c r="E925" i="10"/>
  <c r="E924" i="10"/>
  <c r="E923" i="10"/>
  <c r="E922" i="10"/>
  <c r="E921" i="10"/>
  <c r="E920" i="10"/>
  <c r="E919" i="10"/>
  <c r="E918" i="10"/>
  <c r="E917" i="10"/>
  <c r="E916" i="10"/>
  <c r="E915" i="10"/>
  <c r="E914" i="10"/>
  <c r="E913" i="10"/>
  <c r="E912" i="10"/>
  <c r="E911" i="10"/>
  <c r="E910" i="10"/>
  <c r="E909" i="10"/>
  <c r="E908" i="10"/>
  <c r="E907" i="10"/>
  <c r="E906" i="10"/>
  <c r="E905" i="10"/>
  <c r="E904" i="10"/>
  <c r="E903" i="10"/>
  <c r="E902" i="10"/>
  <c r="E901" i="10"/>
  <c r="E900" i="10"/>
  <c r="E899" i="10"/>
  <c r="E898" i="10"/>
  <c r="E897" i="10"/>
  <c r="E896" i="10"/>
  <c r="E895" i="10"/>
  <c r="E894" i="10"/>
  <c r="E893" i="10"/>
  <c r="E892" i="10"/>
  <c r="E891" i="10"/>
  <c r="E890" i="10"/>
  <c r="E889" i="10"/>
  <c r="E888" i="10"/>
  <c r="E887" i="10"/>
  <c r="E886" i="10"/>
  <c r="E885" i="10"/>
  <c r="E884" i="10"/>
  <c r="E883" i="10"/>
  <c r="E882" i="10"/>
  <c r="E881" i="10"/>
  <c r="E880" i="10"/>
  <c r="E879" i="10"/>
  <c r="E878" i="10"/>
  <c r="E877" i="10"/>
  <c r="E876" i="10"/>
  <c r="E875" i="10"/>
  <c r="E874" i="10"/>
  <c r="E873" i="10"/>
  <c r="E872" i="10"/>
  <c r="E871" i="10"/>
  <c r="E870" i="10"/>
  <c r="E869" i="10"/>
  <c r="E868" i="10"/>
  <c r="E867" i="10"/>
  <c r="E866" i="10"/>
  <c r="E865" i="10"/>
  <c r="E864" i="10"/>
  <c r="E863" i="10"/>
  <c r="E862" i="10"/>
  <c r="E861" i="10"/>
  <c r="E860" i="10"/>
  <c r="E859" i="10"/>
  <c r="E858" i="10"/>
  <c r="E857" i="10"/>
  <c r="E856" i="10"/>
  <c r="E855" i="10"/>
  <c r="E854" i="10"/>
  <c r="E853" i="10"/>
  <c r="E852" i="10"/>
  <c r="E851" i="10"/>
  <c r="E850" i="10"/>
  <c r="E849" i="10"/>
  <c r="E848" i="10"/>
  <c r="E847" i="10"/>
  <c r="E846" i="10"/>
  <c r="E845" i="10"/>
  <c r="E844" i="10"/>
  <c r="E843" i="10"/>
  <c r="E842" i="10"/>
  <c r="E841" i="10"/>
  <c r="E840" i="10"/>
  <c r="E839" i="10"/>
  <c r="E838" i="10"/>
  <c r="E837" i="10"/>
  <c r="E836" i="10"/>
  <c r="E835" i="10"/>
  <c r="E834" i="10"/>
  <c r="E833" i="10"/>
  <c r="E832" i="10"/>
  <c r="E831" i="10"/>
  <c r="E830" i="10"/>
  <c r="E829" i="10"/>
  <c r="E828" i="10"/>
  <c r="E827" i="10"/>
  <c r="E826" i="10"/>
  <c r="E825" i="10"/>
  <c r="E824" i="10"/>
  <c r="E823" i="10"/>
  <c r="E822" i="10"/>
  <c r="E821" i="10"/>
  <c r="E820" i="10"/>
  <c r="E819" i="10"/>
  <c r="E818" i="10"/>
  <c r="E817" i="10"/>
  <c r="E816" i="10"/>
  <c r="E815" i="10"/>
  <c r="E814" i="10"/>
  <c r="E813" i="10"/>
  <c r="E812" i="10"/>
  <c r="E811" i="10"/>
  <c r="E810" i="10"/>
  <c r="E809" i="10"/>
  <c r="E808" i="10"/>
  <c r="E807" i="10"/>
  <c r="E806" i="10"/>
  <c r="E805" i="10"/>
  <c r="E804" i="10"/>
  <c r="E803" i="10"/>
  <c r="E802" i="10"/>
  <c r="E801" i="10"/>
  <c r="E800" i="10"/>
  <c r="E799" i="10"/>
  <c r="E798" i="10"/>
  <c r="E797" i="10"/>
  <c r="E796" i="10"/>
  <c r="E795" i="10"/>
  <c r="E794" i="10"/>
  <c r="E793" i="10"/>
  <c r="E792" i="10"/>
  <c r="E791" i="10"/>
  <c r="E790" i="10"/>
  <c r="E789" i="10"/>
  <c r="E788" i="10"/>
  <c r="E787" i="10"/>
  <c r="E786" i="10"/>
  <c r="E785" i="10"/>
  <c r="E784" i="10"/>
  <c r="E783" i="10"/>
  <c r="E782" i="10"/>
  <c r="E781" i="10"/>
  <c r="E780" i="10"/>
  <c r="E779" i="10"/>
  <c r="E778" i="10"/>
  <c r="E777" i="10"/>
  <c r="E776" i="10"/>
  <c r="E775" i="10"/>
  <c r="E774" i="10"/>
  <c r="E773" i="10"/>
  <c r="E772" i="10"/>
  <c r="E771" i="10"/>
  <c r="E770" i="10"/>
  <c r="E769" i="10"/>
  <c r="E768" i="10"/>
  <c r="E767" i="10"/>
  <c r="E766" i="10"/>
  <c r="E765" i="10"/>
  <c r="E764" i="10"/>
  <c r="E763" i="10"/>
  <c r="E762" i="10"/>
  <c r="E761" i="10"/>
  <c r="E760" i="10"/>
  <c r="E759" i="10"/>
  <c r="E758" i="10"/>
  <c r="E757" i="10"/>
  <c r="E756" i="10"/>
  <c r="E755" i="10"/>
  <c r="E754" i="10"/>
  <c r="E753" i="10"/>
  <c r="E752" i="10"/>
  <c r="E751" i="10"/>
  <c r="E750" i="10"/>
  <c r="E749" i="10"/>
  <c r="E748" i="10"/>
  <c r="E747" i="10"/>
  <c r="E746" i="10"/>
  <c r="E745" i="10"/>
  <c r="E744" i="10"/>
  <c r="E743" i="10"/>
  <c r="E742" i="10"/>
  <c r="E741" i="10"/>
  <c r="E740" i="10"/>
  <c r="E739" i="10"/>
  <c r="E738" i="10"/>
  <c r="E737" i="10"/>
  <c r="E736" i="10"/>
  <c r="E735" i="10"/>
  <c r="E734" i="10"/>
  <c r="E733" i="10"/>
  <c r="E732" i="10"/>
  <c r="E731" i="10"/>
  <c r="E730" i="10"/>
  <c r="E729" i="10"/>
  <c r="E728" i="10"/>
  <c r="E727" i="10"/>
  <c r="E726" i="10"/>
  <c r="E725" i="10"/>
  <c r="E724" i="10"/>
  <c r="E723" i="10"/>
  <c r="E722" i="10"/>
  <c r="E721" i="10"/>
  <c r="E720" i="10"/>
  <c r="E719" i="10"/>
  <c r="E718" i="10"/>
  <c r="E717" i="10"/>
  <c r="E716" i="10"/>
  <c r="E715" i="10"/>
  <c r="E714" i="10"/>
  <c r="E713" i="10"/>
  <c r="E712" i="10"/>
  <c r="E711" i="10"/>
  <c r="E710" i="10"/>
  <c r="E709" i="10"/>
  <c r="E708" i="10"/>
  <c r="E707" i="10"/>
  <c r="E706" i="10"/>
  <c r="E705" i="10"/>
  <c r="E704" i="10"/>
  <c r="E703" i="10"/>
  <c r="E702" i="10"/>
  <c r="E701" i="10"/>
  <c r="E700" i="10"/>
  <c r="E699" i="10"/>
  <c r="E698" i="10"/>
  <c r="E697" i="10"/>
  <c r="E696" i="10"/>
  <c r="E695" i="10"/>
  <c r="E694" i="10"/>
  <c r="E693" i="10"/>
  <c r="E692" i="10"/>
  <c r="E691" i="10"/>
  <c r="E690" i="10"/>
  <c r="E689" i="10"/>
  <c r="E688" i="10"/>
  <c r="E687" i="10"/>
  <c r="E686" i="10"/>
  <c r="E685" i="10"/>
  <c r="E684" i="10"/>
  <c r="E683" i="10"/>
  <c r="E682" i="10"/>
  <c r="E681" i="10"/>
  <c r="E680" i="10"/>
  <c r="E679" i="10"/>
  <c r="E678" i="10"/>
  <c r="E677" i="10"/>
  <c r="E676" i="10"/>
  <c r="E675" i="10"/>
  <c r="E674" i="10"/>
  <c r="E673" i="10"/>
  <c r="E672" i="10"/>
  <c r="E671" i="10"/>
  <c r="E670" i="10"/>
  <c r="E669" i="10"/>
  <c r="E668" i="10"/>
  <c r="E667" i="10"/>
  <c r="E666" i="10"/>
  <c r="E665" i="10"/>
  <c r="E664" i="10"/>
  <c r="E663" i="10"/>
  <c r="E662" i="10"/>
  <c r="E661" i="10"/>
  <c r="E660" i="10"/>
  <c r="E659" i="10"/>
  <c r="E658" i="10"/>
  <c r="E657" i="10"/>
  <c r="E656" i="10"/>
  <c r="E655" i="10"/>
  <c r="E654" i="10"/>
  <c r="E653" i="10"/>
  <c r="E652" i="10"/>
  <c r="E651" i="10"/>
  <c r="E650" i="10"/>
  <c r="E649" i="10"/>
  <c r="E648" i="10"/>
  <c r="E647" i="10"/>
  <c r="E646" i="10"/>
  <c r="E645" i="10"/>
  <c r="E644" i="10"/>
  <c r="E643" i="10"/>
  <c r="E642" i="10"/>
  <c r="E641" i="10"/>
  <c r="E640" i="10"/>
  <c r="E639" i="10"/>
  <c r="E638" i="10"/>
  <c r="E637" i="10"/>
  <c r="E636" i="10"/>
  <c r="E635" i="10"/>
  <c r="E634" i="10"/>
  <c r="E633" i="10"/>
  <c r="E632" i="10"/>
  <c r="E631" i="10"/>
  <c r="E630" i="10"/>
  <c r="E629" i="10"/>
  <c r="E628" i="10"/>
  <c r="E627" i="10"/>
  <c r="E626" i="10"/>
  <c r="E625" i="10"/>
  <c r="E624" i="10"/>
  <c r="E623" i="10"/>
  <c r="E622" i="10"/>
  <c r="E621" i="10"/>
  <c r="E620" i="10"/>
  <c r="E619" i="10"/>
  <c r="E618" i="10"/>
  <c r="E617" i="10"/>
  <c r="E616" i="10"/>
  <c r="E615" i="10"/>
  <c r="E614" i="10"/>
  <c r="E613" i="10"/>
  <c r="E612" i="10"/>
  <c r="E611" i="10"/>
  <c r="E610" i="10"/>
  <c r="E609" i="10"/>
  <c r="E608" i="10"/>
  <c r="E607" i="10"/>
  <c r="E606" i="10"/>
  <c r="E605" i="10"/>
  <c r="E604" i="10"/>
  <c r="E603" i="10"/>
  <c r="E602" i="10"/>
  <c r="E601" i="10"/>
  <c r="E600" i="10"/>
  <c r="E599" i="10"/>
  <c r="E598" i="10"/>
  <c r="E597" i="10"/>
  <c r="E596" i="10"/>
  <c r="E595" i="10"/>
  <c r="E594" i="10"/>
  <c r="E593" i="10"/>
  <c r="E592" i="10"/>
  <c r="E591" i="10"/>
  <c r="E590" i="10"/>
  <c r="E589" i="10"/>
  <c r="E588" i="10"/>
  <c r="E587" i="10"/>
  <c r="E586" i="10"/>
  <c r="E585" i="10"/>
  <c r="E584" i="10"/>
  <c r="E583" i="10"/>
  <c r="E582" i="10"/>
  <c r="E581" i="10"/>
  <c r="E580" i="10"/>
  <c r="E579" i="10"/>
  <c r="E578" i="10"/>
  <c r="E577" i="10"/>
  <c r="E576" i="10"/>
  <c r="E575" i="10"/>
  <c r="E574" i="10"/>
  <c r="E573" i="10"/>
  <c r="E572" i="10"/>
  <c r="E571" i="10"/>
  <c r="E570" i="10"/>
  <c r="E569" i="10"/>
  <c r="E568" i="10"/>
  <c r="E567" i="10"/>
  <c r="E566" i="10"/>
  <c r="E565" i="10"/>
  <c r="E564" i="10"/>
  <c r="E563" i="10"/>
  <c r="E562" i="10"/>
  <c r="E561" i="10"/>
  <c r="E560" i="10"/>
  <c r="E559" i="10"/>
  <c r="E558" i="10"/>
  <c r="E557" i="10"/>
  <c r="E556" i="10"/>
  <c r="E555" i="10"/>
  <c r="E554" i="10"/>
  <c r="E553" i="10"/>
  <c r="E552" i="10"/>
  <c r="E551" i="10"/>
  <c r="E550" i="10"/>
  <c r="E549" i="10"/>
  <c r="E548" i="10"/>
  <c r="E547" i="10"/>
  <c r="E546" i="10"/>
  <c r="E545" i="10"/>
  <c r="E544" i="10"/>
  <c r="E543" i="10"/>
  <c r="E542" i="10"/>
  <c r="E541" i="10"/>
  <c r="E540" i="10"/>
  <c r="E539" i="10"/>
  <c r="E538" i="10"/>
  <c r="E537" i="10"/>
  <c r="E536" i="10"/>
  <c r="E535" i="10"/>
  <c r="E534" i="10"/>
  <c r="E533" i="10"/>
  <c r="E532" i="10"/>
  <c r="E531" i="10"/>
  <c r="E530" i="10"/>
  <c r="E529" i="10"/>
  <c r="E528" i="10"/>
  <c r="E527" i="10"/>
  <c r="E526" i="10"/>
  <c r="E525" i="10"/>
  <c r="E524" i="10"/>
  <c r="E523" i="10"/>
  <c r="E522" i="10"/>
  <c r="E521" i="10"/>
  <c r="E520" i="10"/>
  <c r="E519" i="10"/>
  <c r="E518" i="10"/>
  <c r="E517" i="10"/>
  <c r="E516" i="10"/>
  <c r="E515" i="10"/>
  <c r="E514" i="10"/>
  <c r="E513" i="10"/>
  <c r="E512" i="10"/>
  <c r="E511" i="10"/>
  <c r="E510" i="10"/>
  <c r="E509" i="10"/>
  <c r="E508" i="10"/>
  <c r="E507" i="10"/>
  <c r="E506" i="10"/>
  <c r="E505" i="10"/>
  <c r="E504" i="10"/>
  <c r="E503" i="10"/>
  <c r="E502" i="10"/>
  <c r="E501" i="10"/>
  <c r="E500" i="10"/>
  <c r="E499" i="10"/>
  <c r="E498" i="10"/>
  <c r="E497" i="10"/>
  <c r="E496" i="10"/>
  <c r="E495" i="10"/>
  <c r="E494" i="10"/>
  <c r="E493" i="10"/>
  <c r="E492" i="10"/>
  <c r="E491" i="10"/>
  <c r="E490" i="10"/>
  <c r="E489" i="10"/>
  <c r="E488" i="10"/>
  <c r="E487" i="10"/>
  <c r="E486" i="10"/>
  <c r="E485" i="10"/>
  <c r="E484" i="10"/>
  <c r="E483" i="10"/>
  <c r="E482" i="10"/>
  <c r="E481" i="10"/>
  <c r="E480" i="10"/>
  <c r="E479" i="10"/>
  <c r="E478" i="10"/>
  <c r="E477" i="10"/>
  <c r="E476" i="10"/>
  <c r="E475" i="10"/>
  <c r="E474" i="10"/>
  <c r="E473" i="10"/>
  <c r="E472" i="10"/>
  <c r="E471" i="10"/>
  <c r="E470" i="10"/>
  <c r="E469" i="10"/>
  <c r="E468" i="10"/>
  <c r="E467" i="10"/>
  <c r="E466" i="10"/>
  <c r="E465" i="10"/>
  <c r="E464" i="10"/>
  <c r="E463" i="10"/>
  <c r="E462" i="10"/>
  <c r="E461" i="10"/>
  <c r="E460" i="10"/>
  <c r="E459" i="10"/>
  <c r="E458" i="10"/>
  <c r="E457" i="10"/>
  <c r="E456" i="10"/>
  <c r="E455" i="10"/>
  <c r="E454" i="10"/>
  <c r="E453" i="10"/>
  <c r="E452" i="10"/>
  <c r="E451" i="10"/>
  <c r="E450" i="10"/>
  <c r="E449" i="10"/>
  <c r="E448" i="10"/>
  <c r="E447" i="10"/>
  <c r="E446" i="10"/>
  <c r="E445" i="10"/>
  <c r="E444" i="10"/>
  <c r="E443" i="10"/>
  <c r="E442" i="10"/>
  <c r="E441" i="10"/>
  <c r="E440" i="10"/>
  <c r="E439" i="10"/>
  <c r="E438" i="10"/>
  <c r="E437" i="10"/>
  <c r="E436" i="10"/>
  <c r="E435" i="10"/>
  <c r="E434" i="10"/>
  <c r="E433" i="10"/>
  <c r="E432" i="10"/>
  <c r="E431" i="10"/>
  <c r="E430" i="10"/>
  <c r="E429" i="10"/>
  <c r="E428" i="10"/>
  <c r="E427" i="10"/>
  <c r="E426" i="10"/>
  <c r="E425" i="10"/>
  <c r="E424" i="10"/>
  <c r="E423" i="10"/>
  <c r="E422" i="10"/>
  <c r="E421" i="10"/>
  <c r="E420" i="10"/>
  <c r="E419" i="10"/>
  <c r="E418" i="10"/>
  <c r="E417" i="10"/>
  <c r="E416" i="10"/>
  <c r="E415" i="10"/>
  <c r="E414" i="10"/>
  <c r="E413" i="10"/>
  <c r="E412" i="10"/>
  <c r="E411" i="10"/>
  <c r="E410" i="10"/>
  <c r="E409" i="10"/>
  <c r="E408" i="10"/>
  <c r="E407" i="10"/>
  <c r="E406" i="10"/>
  <c r="E405" i="10"/>
  <c r="E404" i="10"/>
  <c r="E403" i="10"/>
  <c r="E402" i="10"/>
  <c r="E401" i="10"/>
  <c r="E400" i="10"/>
  <c r="E399" i="10"/>
  <c r="E398" i="10"/>
  <c r="E397" i="10"/>
  <c r="E396" i="10"/>
  <c r="E395" i="10"/>
  <c r="E394" i="10"/>
  <c r="E393" i="10"/>
  <c r="E392" i="10"/>
  <c r="E391" i="10"/>
  <c r="E390" i="10"/>
  <c r="E389" i="10"/>
  <c r="E388" i="10"/>
  <c r="E387" i="10"/>
  <c r="E386" i="10"/>
  <c r="E385" i="10"/>
  <c r="E384" i="10"/>
  <c r="E383" i="10"/>
  <c r="E382" i="10"/>
  <c r="E381" i="10"/>
  <c r="E380" i="10"/>
  <c r="E379" i="10"/>
  <c r="E378" i="10"/>
  <c r="E377" i="10"/>
  <c r="E376" i="10"/>
  <c r="E375" i="10"/>
  <c r="E374" i="10"/>
  <c r="E373" i="10"/>
  <c r="E372" i="10"/>
  <c r="E371" i="10"/>
  <c r="E370" i="10"/>
  <c r="E369" i="10"/>
  <c r="E368" i="10"/>
  <c r="E367" i="10"/>
  <c r="E366" i="10"/>
  <c r="E365" i="10"/>
  <c r="E364" i="10"/>
  <c r="E363" i="10"/>
  <c r="E362" i="10"/>
  <c r="E361" i="10"/>
  <c r="E360" i="10"/>
  <c r="E359" i="10"/>
  <c r="E358" i="10"/>
  <c r="E357" i="10"/>
  <c r="E356" i="10"/>
  <c r="E355" i="10"/>
  <c r="E354" i="10"/>
  <c r="E353" i="10"/>
  <c r="E352" i="10"/>
  <c r="E351" i="10"/>
  <c r="E350" i="10"/>
  <c r="E349" i="10"/>
  <c r="E348" i="10"/>
  <c r="E347" i="10"/>
  <c r="E346" i="10"/>
  <c r="E345" i="10"/>
  <c r="E344" i="10"/>
  <c r="E343" i="10"/>
  <c r="E342" i="10"/>
  <c r="E341" i="10"/>
  <c r="E340" i="10"/>
  <c r="E339" i="10"/>
  <c r="E338" i="10"/>
  <c r="E337" i="10"/>
  <c r="E336" i="10"/>
  <c r="E335" i="10"/>
  <c r="E334" i="10"/>
  <c r="E333" i="10"/>
  <c r="E332" i="10"/>
  <c r="E331" i="10"/>
  <c r="E330" i="10"/>
  <c r="E329" i="10"/>
  <c r="E328" i="10"/>
  <c r="E327" i="10"/>
  <c r="E326" i="10"/>
  <c r="E325" i="10"/>
  <c r="E324" i="10"/>
  <c r="E323" i="10"/>
  <c r="E322" i="10"/>
  <c r="E321" i="10"/>
  <c r="E320" i="10"/>
  <c r="E319" i="10"/>
  <c r="E318" i="10"/>
  <c r="E317" i="10"/>
  <c r="E316" i="10"/>
  <c r="E315" i="10"/>
  <c r="E314" i="10"/>
  <c r="E313" i="10"/>
  <c r="E312" i="10"/>
  <c r="E311" i="10"/>
  <c r="E310" i="10"/>
  <c r="E309" i="10"/>
  <c r="E308" i="10"/>
  <c r="E307" i="10"/>
  <c r="E306" i="10"/>
  <c r="E305" i="10"/>
  <c r="E304" i="10"/>
  <c r="E303" i="10"/>
  <c r="E302" i="10"/>
  <c r="E301" i="10"/>
  <c r="E300" i="10"/>
  <c r="E299" i="10"/>
  <c r="E298" i="10"/>
  <c r="E297" i="10"/>
  <c r="E296" i="10"/>
  <c r="E295" i="10"/>
  <c r="E294" i="10"/>
  <c r="E293" i="10"/>
  <c r="E292" i="10"/>
  <c r="E291" i="10"/>
  <c r="E290" i="10"/>
  <c r="E289" i="10"/>
  <c r="E288" i="10"/>
  <c r="E287" i="10"/>
  <c r="E286" i="10"/>
  <c r="E285" i="10"/>
  <c r="E284" i="10"/>
  <c r="E283" i="10"/>
  <c r="E282" i="10"/>
  <c r="E281" i="10"/>
  <c r="E280" i="10"/>
  <c r="E279" i="10"/>
  <c r="E278" i="10"/>
  <c r="E277" i="10"/>
  <c r="E276" i="10"/>
  <c r="E275" i="10"/>
  <c r="E274" i="10"/>
  <c r="E273" i="10"/>
  <c r="E272" i="10"/>
  <c r="E271" i="10"/>
  <c r="E270" i="10"/>
  <c r="E269" i="10"/>
  <c r="E268" i="10"/>
  <c r="E267" i="10"/>
  <c r="E266" i="10"/>
  <c r="E265" i="10"/>
  <c r="E264" i="10"/>
  <c r="E263" i="10"/>
  <c r="E262" i="10"/>
  <c r="E261" i="10"/>
  <c r="E260" i="10"/>
  <c r="E259" i="10"/>
  <c r="E258" i="10"/>
  <c r="E257" i="10"/>
  <c r="E256" i="10"/>
  <c r="E255" i="10"/>
  <c r="E254" i="10"/>
  <c r="E253" i="10"/>
  <c r="E252" i="10"/>
  <c r="E251" i="10"/>
  <c r="E250" i="10"/>
  <c r="E249" i="10"/>
  <c r="E248" i="10"/>
  <c r="E247" i="10"/>
  <c r="E246" i="10"/>
  <c r="E245" i="10"/>
  <c r="E244" i="10"/>
  <c r="E243" i="10"/>
  <c r="E242" i="10"/>
  <c r="E241" i="10"/>
  <c r="E240" i="10"/>
  <c r="E239" i="10"/>
  <c r="E238" i="10"/>
  <c r="E237" i="10"/>
  <c r="E236" i="10"/>
  <c r="E235" i="10"/>
  <c r="E234" i="10"/>
  <c r="E233" i="10"/>
  <c r="E232" i="10"/>
  <c r="E231" i="10"/>
  <c r="E230" i="10"/>
  <c r="E229" i="10"/>
  <c r="E228" i="10"/>
  <c r="E227" i="10"/>
  <c r="E226" i="10"/>
  <c r="E225" i="10"/>
  <c r="E224" i="10"/>
  <c r="E223" i="10"/>
  <c r="E222" i="10"/>
  <c r="E221" i="10"/>
  <c r="E220" i="10"/>
  <c r="E219" i="10"/>
  <c r="E218" i="10"/>
  <c r="E217" i="10"/>
  <c r="E216" i="10"/>
  <c r="E215" i="10"/>
  <c r="E214" i="10"/>
  <c r="E213" i="10"/>
  <c r="E212" i="10"/>
  <c r="E211" i="10"/>
  <c r="E210" i="10"/>
  <c r="E209" i="10"/>
  <c r="E208" i="10"/>
  <c r="E207" i="10"/>
  <c r="E206" i="10"/>
  <c r="E205" i="10"/>
  <c r="E204" i="10"/>
  <c r="E203" i="10"/>
  <c r="E202" i="10"/>
  <c r="E201" i="10"/>
  <c r="E200" i="10"/>
  <c r="E199" i="10"/>
  <c r="E198" i="10"/>
  <c r="E197" i="10"/>
  <c r="E196" i="10"/>
  <c r="E195" i="10"/>
  <c r="E194" i="10"/>
  <c r="E193" i="10"/>
  <c r="E192" i="10"/>
  <c r="E191" i="10"/>
  <c r="E190" i="10"/>
  <c r="E189" i="10"/>
  <c r="E188" i="10"/>
  <c r="E187" i="10"/>
  <c r="E186" i="10"/>
  <c r="E185" i="10"/>
  <c r="E184" i="10"/>
  <c r="E183" i="10"/>
  <c r="E182" i="10"/>
  <c r="E181" i="10"/>
  <c r="E180" i="10"/>
  <c r="E179" i="10"/>
  <c r="E178" i="10"/>
  <c r="E177" i="10"/>
  <c r="E176" i="10"/>
  <c r="E175" i="10"/>
  <c r="E174" i="10"/>
  <c r="E173" i="10"/>
  <c r="E172" i="10"/>
  <c r="E171" i="10"/>
  <c r="E170" i="10"/>
  <c r="E169" i="10"/>
  <c r="E168" i="10"/>
  <c r="E167" i="10"/>
  <c r="E166" i="10"/>
  <c r="E165" i="10"/>
  <c r="E164" i="10"/>
  <c r="E163" i="10"/>
  <c r="E162" i="10"/>
  <c r="E161" i="10"/>
  <c r="E160" i="10"/>
  <c r="E159" i="10"/>
  <c r="E158" i="10"/>
  <c r="E157" i="10"/>
  <c r="E156" i="10"/>
  <c r="E155" i="10"/>
  <c r="E154" i="10"/>
  <c r="E153" i="10"/>
  <c r="E152" i="10"/>
  <c r="E151" i="10"/>
  <c r="E150" i="10"/>
  <c r="E149" i="10"/>
  <c r="E148" i="10"/>
  <c r="E147" i="10"/>
  <c r="E146" i="10"/>
  <c r="E145" i="10"/>
  <c r="E144" i="10"/>
  <c r="E143" i="10"/>
  <c r="E142" i="10"/>
  <c r="E141" i="10"/>
  <c r="E140" i="10"/>
  <c r="E139" i="10"/>
  <c r="E138" i="10"/>
  <c r="E137" i="10"/>
  <c r="E136" i="10"/>
  <c r="E135" i="10"/>
  <c r="E134" i="10"/>
  <c r="E133" i="10"/>
  <c r="E132" i="10"/>
  <c r="E131" i="10"/>
  <c r="E130" i="10"/>
  <c r="E129" i="10"/>
  <c r="E128" i="10"/>
  <c r="E127" i="10"/>
  <c r="E126" i="10"/>
  <c r="E125" i="10"/>
  <c r="E124" i="10"/>
  <c r="E123" i="10"/>
  <c r="E122" i="10"/>
  <c r="E121" i="10"/>
  <c r="E120" i="10"/>
  <c r="E119" i="10"/>
  <c r="E118" i="10"/>
  <c r="E117" i="10"/>
  <c r="E116" i="10"/>
  <c r="E115" i="10"/>
  <c r="E114" i="10"/>
  <c r="E113" i="10"/>
  <c r="E112" i="10"/>
  <c r="E111" i="10"/>
  <c r="E110" i="10"/>
  <c r="E109" i="10"/>
  <c r="E108" i="10"/>
  <c r="E107" i="10"/>
  <c r="E106" i="10"/>
  <c r="E105" i="10"/>
  <c r="E104" i="10"/>
  <c r="E103" i="10"/>
  <c r="E102" i="10"/>
  <c r="E101" i="10"/>
  <c r="E100" i="10"/>
  <c r="E99" i="10"/>
  <c r="E98" i="10"/>
  <c r="E97" i="10"/>
  <c r="E96" i="10"/>
  <c r="E95" i="10"/>
  <c r="E94" i="10"/>
  <c r="E93" i="10"/>
  <c r="E92" i="10"/>
  <c r="E91" i="10"/>
  <c r="E90" i="10"/>
  <c r="E89" i="10"/>
  <c r="E88" i="10"/>
  <c r="E87" i="10"/>
  <c r="E86" i="10"/>
  <c r="E85" i="10"/>
  <c r="E84" i="10"/>
  <c r="E83" i="10"/>
  <c r="E82" i="10"/>
  <c r="E81" i="10"/>
  <c r="E80" i="10"/>
  <c r="E79" i="10"/>
  <c r="E78" i="10"/>
  <c r="E77" i="10"/>
  <c r="E76" i="10"/>
  <c r="E75" i="10"/>
  <c r="E74" i="10"/>
  <c r="E73" i="10"/>
  <c r="E72" i="10"/>
  <c r="E71" i="10"/>
  <c r="E70" i="10"/>
  <c r="E69" i="10"/>
  <c r="E68" i="10"/>
  <c r="E67" i="10"/>
  <c r="E66" i="10"/>
  <c r="E65" i="10"/>
  <c r="E64" i="10"/>
  <c r="E63" i="10"/>
  <c r="E62" i="10"/>
  <c r="E61" i="10"/>
  <c r="E60" i="10"/>
  <c r="E59" i="10"/>
  <c r="E58" i="10"/>
  <c r="E57" i="10"/>
  <c r="E56" i="10"/>
  <c r="E55" i="10"/>
  <c r="E54" i="10"/>
  <c r="E53" i="10"/>
  <c r="E52" i="10"/>
  <c r="E51" i="10"/>
  <c r="E50" i="10"/>
  <c r="E49" i="10"/>
  <c r="E48" i="10"/>
  <c r="E47" i="10"/>
  <c r="E46" i="10"/>
  <c r="E45" i="10"/>
  <c r="E44" i="10"/>
  <c r="E43" i="10"/>
  <c r="E42" i="10"/>
  <c r="E41" i="10"/>
  <c r="E40" i="10"/>
  <c r="E39" i="10"/>
  <c r="E38" i="10"/>
  <c r="E37" i="10"/>
  <c r="E36" i="10"/>
  <c r="E35" i="10"/>
  <c r="E34" i="10"/>
  <c r="E33" i="10"/>
  <c r="E32" i="10"/>
  <c r="E31" i="10"/>
  <c r="E30" i="10"/>
  <c r="E29" i="10"/>
  <c r="E28" i="10"/>
  <c r="E27" i="10"/>
  <c r="P26" i="10"/>
  <c r="E26" i="10"/>
  <c r="P25" i="10"/>
  <c r="E25" i="10"/>
  <c r="P24" i="10"/>
  <c r="E24" i="10"/>
  <c r="E23" i="10"/>
  <c r="E22" i="10"/>
  <c r="E21" i="10"/>
  <c r="P20" i="10"/>
  <c r="E20" i="10"/>
  <c r="P19" i="10"/>
  <c r="E19" i="10"/>
  <c r="P18" i="10"/>
  <c r="E18" i="10"/>
  <c r="E17" i="10"/>
  <c r="E16" i="10"/>
  <c r="E15" i="10"/>
  <c r="P14" i="10"/>
  <c r="E14" i="10"/>
  <c r="P13" i="10"/>
  <c r="E13" i="10"/>
  <c r="P12" i="10"/>
  <c r="E12" i="10"/>
  <c r="E11" i="10"/>
  <c r="E10" i="10"/>
  <c r="T9" i="10"/>
  <c r="E9" i="10"/>
  <c r="T8" i="10"/>
  <c r="P8" i="10"/>
  <c r="E8" i="10"/>
  <c r="T7" i="10"/>
  <c r="P7" i="10"/>
  <c r="E7" i="10"/>
  <c r="T6" i="10"/>
  <c r="P6" i="10"/>
  <c r="E6" i="10"/>
  <c r="E5" i="10"/>
  <c r="E4" i="10"/>
  <c r="E3" i="10"/>
  <c r="E2" i="10"/>
  <c r="U32" i="4"/>
  <c r="U31" i="4"/>
  <c r="U30" i="4"/>
  <c r="U29" i="4"/>
  <c r="U28" i="4"/>
  <c r="U27" i="4"/>
  <c r="U26" i="4"/>
  <c r="U25" i="4"/>
  <c r="U24" i="4"/>
  <c r="U23" i="4"/>
  <c r="U16" i="4"/>
  <c r="U15" i="4"/>
  <c r="U14" i="4"/>
  <c r="U13" i="4"/>
  <c r="U12" i="4"/>
  <c r="U11" i="4"/>
  <c r="U10" i="4"/>
  <c r="U9" i="4"/>
  <c r="U8" i="4"/>
  <c r="U7" i="4"/>
  <c r="M15" i="7"/>
  <c r="M14" i="7"/>
  <c r="M13" i="7"/>
  <c r="M12" i="7"/>
  <c r="M11" i="7"/>
  <c r="M10" i="7"/>
  <c r="M9" i="7"/>
  <c r="M8" i="7"/>
  <c r="M7" i="7"/>
  <c r="M6" i="7"/>
  <c r="N15" i="2"/>
  <c r="N14" i="2"/>
  <c r="N13" i="2"/>
  <c r="N12" i="2"/>
  <c r="N11" i="2"/>
  <c r="N10" i="2"/>
  <c r="N9" i="2"/>
  <c r="N8" i="2"/>
  <c r="N6" i="2"/>
  <c r="C48" i="29"/>
  <c r="C58" i="29"/>
  <c r="C52" i="29"/>
  <c r="C55" i="29"/>
  <c r="C51" i="29"/>
  <c r="C47" i="29"/>
  <c r="C50" i="29"/>
  <c r="C49" i="29"/>
  <c r="C56" i="29"/>
  <c r="C53" i="29"/>
  <c r="C57" i="29"/>
  <c r="C54" i="29"/>
  <c r="C2" i="30" l="1"/>
  <c r="D2" i="30" s="1"/>
  <c r="D47" i="29"/>
  <c r="E55" i="29"/>
  <c r="E51" i="29"/>
  <c r="D50" i="29"/>
  <c r="E49" i="29"/>
  <c r="D58" i="29"/>
  <c r="D51" i="29"/>
  <c r="D55" i="29"/>
  <c r="E52" i="29"/>
  <c r="D57" i="29"/>
  <c r="D53" i="29"/>
  <c r="E56" i="29"/>
  <c r="E54" i="29"/>
  <c r="E53" i="29"/>
  <c r="E57" i="29"/>
  <c r="D52" i="29"/>
  <c r="D48" i="29"/>
  <c r="D49" i="29"/>
  <c r="E47" i="29"/>
  <c r="D56" i="29"/>
  <c r="E48" i="29"/>
  <c r="D54" i="29"/>
  <c r="E58" i="29"/>
  <c r="E50" i="29"/>
  <c r="G2" i="30" l="1"/>
  <c r="G3" i="30"/>
</calcChain>
</file>

<file path=xl/connections.xml><?xml version="1.0" encoding="utf-8"?>
<connections xmlns="http://schemas.openxmlformats.org/spreadsheetml/2006/main">
  <connection id="1" keepAlive="1" name="Query - dataset_1" description="Connection to the 'dataset_1' query in the workbook." type="5" refreshedVersion="6" background="1" saveData="1">
    <dbPr connection="Provider=Microsoft.Mashup.OleDb.1;Data Source=$Workbook$;Location=dataset_1;Extended Properties=&quot;&quot;" command="SELECT * FROM [dataset_1]"/>
  </connection>
  <connection id="2" keepAlive="1" name="Query - dataset_2 (2)" description="Connection to the 'dataset_2 (2)' query in the workbook." type="5" refreshedVersion="6" background="1" saveData="1">
    <dbPr connection="Provider=Microsoft.Mashup.OleDb.1;Data Source=$Workbook$;Location=dataset_2 (2);Extended Properties=&quot;&quot;" command="SELECT * FROM [dataset_2 (2)]"/>
  </connection>
  <connection id="3" keepAlive="1" name="Query - dataset_3" description="Connection to the 'dataset_3' query in the workbook." type="5" refreshedVersion="6" background="1" saveData="1">
    <dbPr connection="Provider=Microsoft.Mashup.OleDb.1;Data Source=$Workbook$;Location=dataset_3;Extended Properties=&quot;&quot;" command="SELECT * FROM [dataset_3]"/>
  </connection>
  <connection id="4" keepAlive="1" name="Query - Merge1" description="Connection to the 'Merge1' query in the workbook." type="5" refreshedVersion="6" background="1" saveData="1">
    <dbPr connection="Provider=Microsoft.Mashup.OleDb.1;Data Source=$Workbook$;Location=Merge1;Extended Properties=&quot;&quot;" command="SELECT * FROM [Merge1]"/>
  </connection>
</connections>
</file>

<file path=xl/sharedStrings.xml><?xml version="1.0" encoding="utf-8"?>
<sst xmlns="http://schemas.openxmlformats.org/spreadsheetml/2006/main" count="270" uniqueCount="137">
  <si>
    <t>FOR TEMP</t>
  </si>
  <si>
    <t>Mean</t>
  </si>
  <si>
    <t>Median</t>
  </si>
  <si>
    <t>Standard Error</t>
  </si>
  <si>
    <t>STATISTIC</t>
  </si>
  <si>
    <t>RESULT</t>
  </si>
  <si>
    <t>Mode</t>
  </si>
  <si>
    <t>Standard Deviation</t>
  </si>
  <si>
    <t>Sample Variance</t>
  </si>
  <si>
    <t>Minimum</t>
  </si>
  <si>
    <t>Maximum</t>
  </si>
  <si>
    <t>Sum</t>
  </si>
  <si>
    <t>Count</t>
  </si>
  <si>
    <t>FOR ATEMP</t>
  </si>
  <si>
    <t>FOR WINDSPEED</t>
  </si>
  <si>
    <t>Temp</t>
  </si>
  <si>
    <t>Weathersit</t>
  </si>
  <si>
    <t>Weekday</t>
  </si>
  <si>
    <t>Holiday</t>
  </si>
  <si>
    <t>Hour</t>
  </si>
  <si>
    <t>Month</t>
  </si>
  <si>
    <t>Year</t>
  </si>
  <si>
    <t>Season</t>
  </si>
  <si>
    <t>ATemp</t>
  </si>
  <si>
    <t>Humidity</t>
  </si>
  <si>
    <t>Windspeed</t>
  </si>
  <si>
    <t>Casual</t>
  </si>
  <si>
    <t>Registered</t>
  </si>
  <si>
    <t>FOR HUMIDITY</t>
  </si>
  <si>
    <t>No.</t>
  </si>
  <si>
    <t>Date</t>
  </si>
  <si>
    <t>Temperature</t>
  </si>
  <si>
    <t>Assumed_temp</t>
  </si>
  <si>
    <t>humidity</t>
  </si>
  <si>
    <t>Row Labels</t>
  </si>
  <si>
    <t>Grand Total</t>
  </si>
  <si>
    <t>Sum of Count</t>
  </si>
  <si>
    <t>Pivot Tabel and Chart of Weather</t>
  </si>
  <si>
    <t>Pivot Tabel and Chart of Hour</t>
  </si>
  <si>
    <t>Pivot Tabel and Chart of Temperature</t>
  </si>
  <si>
    <t>01-Jan</t>
  </si>
  <si>
    <t>02-Jan</t>
  </si>
  <si>
    <t>08-Jan</t>
  </si>
  <si>
    <t>09-Jan</t>
  </si>
  <si>
    <t>15-Jan</t>
  </si>
  <si>
    <t>16-Jan</t>
  </si>
  <si>
    <t>22-Jan</t>
  </si>
  <si>
    <t>23-Jan</t>
  </si>
  <si>
    <t>29-Jan</t>
  </si>
  <si>
    <t>30-Jan</t>
  </si>
  <si>
    <t>05-Feb</t>
  </si>
  <si>
    <t>06-Feb</t>
  </si>
  <si>
    <t>12-Feb</t>
  </si>
  <si>
    <t>13-Feb</t>
  </si>
  <si>
    <t>Weather</t>
  </si>
  <si>
    <t>Pivot Tabel and Chart of Date</t>
  </si>
  <si>
    <t>(blank)</t>
  </si>
  <si>
    <t>Pivot Tabel and Chart of Assumed_Temperature</t>
  </si>
  <si>
    <t>Pivot Tabel and Chart of Windspeed</t>
  </si>
  <si>
    <t>0-2</t>
  </si>
  <si>
    <t>9-11</t>
  </si>
  <si>
    <t>Total Count of Customers</t>
  </si>
  <si>
    <t>TOTAL</t>
  </si>
  <si>
    <t>Avg. Casual Customer</t>
  </si>
  <si>
    <t>Avg. Registered Customer</t>
  </si>
  <si>
    <t xml:space="preserve">Total of Casual Customer </t>
  </si>
  <si>
    <t xml:space="preserve">Total of Registered Customer </t>
  </si>
  <si>
    <t>Avg. Count Customer</t>
  </si>
  <si>
    <t>AVERAGE</t>
  </si>
  <si>
    <t>Max of Count Customer</t>
  </si>
  <si>
    <t>Max of Registered Customer</t>
  </si>
  <si>
    <t>Max of Casual Customer</t>
  </si>
  <si>
    <t>MAXIMUM</t>
  </si>
  <si>
    <t>Min of Casual Customer</t>
  </si>
  <si>
    <t>Min of Registered Customer</t>
  </si>
  <si>
    <t>Min of Count Customer</t>
  </si>
  <si>
    <t>MINIMUM</t>
  </si>
  <si>
    <t>Dataset   Overview</t>
  </si>
  <si>
    <t>Function</t>
  </si>
  <si>
    <t>Purpose</t>
  </si>
  <si>
    <t>Formula</t>
  </si>
  <si>
    <t>COUNTIF</t>
  </si>
  <si>
    <t>Counts the number of customers with demand greater than 100</t>
  </si>
  <si>
    <t>SUMIF</t>
  </si>
  <si>
    <t>Calculates the total demand where Count is greater than 100</t>
  </si>
  <si>
    <t>STDEV</t>
  </si>
  <si>
    <t>Calculates the standard deviation of total customer count</t>
  </si>
  <si>
    <t>CORREL</t>
  </si>
  <si>
    <t>Measures the correlation between Casual and Registered cust</t>
  </si>
  <si>
    <t>BIKE SHARING DATA — INSIGHTS &amp; STATISTICS</t>
  </si>
  <si>
    <t>Summary of customer demand, usage patterns and key statistical measures</t>
  </si>
  <si>
    <t>Total Rentals</t>
  </si>
  <si>
    <t>Registered Customers</t>
  </si>
  <si>
    <t>Casual Customers</t>
  </si>
  <si>
    <t>Average Rentals</t>
  </si>
  <si>
    <t>Highest Demand</t>
  </si>
  <si>
    <t>Total Records</t>
  </si>
  <si>
    <t>Variable</t>
  </si>
  <si>
    <t>Average</t>
  </si>
  <si>
    <t>Std. Deviation</t>
  </si>
  <si>
    <t>Total Count</t>
  </si>
  <si>
    <t>Result</t>
  </si>
  <si>
    <t>Count values above 100</t>
  </si>
  <si>
    <t>Sum of values above 100</t>
  </si>
  <si>
    <t>Standard deviation of demand</t>
  </si>
  <si>
    <t>Casual vs Registered relationship</t>
  </si>
  <si>
    <t>KEY PERFORMANCE INDICATORS</t>
  </si>
  <si>
    <t>STATISTICAL SUMMARY</t>
  </si>
  <si>
    <t>REQUIRED STATISTICAL FUNCTIONS</t>
  </si>
  <si>
    <t>DEMAND PATTERN</t>
  </si>
  <si>
    <t>CUSTOMER DEMAND INSIGHTS</t>
  </si>
  <si>
    <t>Lowest Demand</t>
  </si>
  <si>
    <t>Demand &gt; 100</t>
  </si>
  <si>
    <t>Overall bike demand</t>
  </si>
  <si>
    <t>Average daily demand</t>
  </si>
  <si>
    <t>Peak demand recorded</t>
  </si>
  <si>
    <t>Lowest demand recorded</t>
  </si>
  <si>
    <t>Records with high demand</t>
  </si>
  <si>
    <t>KEY INSIGHTS</t>
  </si>
  <si>
    <t>•  Total Rentals and customer segments are calculated directly from FINAL RESULT.</t>
  </si>
  <si>
    <t>•  Hourly demand is summarized using SUMIF, so the pattern is fully formula-driven.</t>
  </si>
  <si>
    <t>•  Weather and Day Type summaries show demand changes across conditions and weekdays/weekends.</t>
  </si>
  <si>
    <t>•  COUNTIF, SUMIF, STDEV and CORREL are included as required statistical functions.</t>
  </si>
  <si>
    <t>Forecast(Count)</t>
  </si>
  <si>
    <t>Lower Confidence Bound(Count)</t>
  </si>
  <si>
    <t>Upper Confidence Bound(Count)</t>
  </si>
  <si>
    <t>Z-Score</t>
  </si>
  <si>
    <t>Anomaly Status</t>
  </si>
  <si>
    <t>18-20</t>
  </si>
  <si>
    <t>3-5</t>
  </si>
  <si>
    <t>6-8</t>
  </si>
  <si>
    <t>12-14</t>
  </si>
  <si>
    <t>15-17</t>
  </si>
  <si>
    <t>21-23</t>
  </si>
  <si>
    <t>Status</t>
  </si>
  <si>
    <t>Anomaly</t>
  </si>
  <si>
    <t>Normal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</si>
</sst>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0.0000000"/>
  </numFmts>
  <fonts count="15">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0"/>
      <color theme="1"/>
      <name val="Arial Unicode MS"/>
    </font>
    <font>
      <sz val="12"/>
      <color theme="1"/>
      <name val="Calibri"/>
      <family val="2"/>
      <scheme val="minor"/>
    </font>
    <font>
      <sz val="16"/>
      <color theme="1"/>
      <name val="Calibri"/>
      <family val="2"/>
      <scheme val="minor"/>
    </font>
    <font>
      <sz val="18"/>
      <color theme="1"/>
      <name val="Calibri"/>
      <family val="2"/>
      <scheme val="minor"/>
    </font>
    <font>
      <sz val="11"/>
      <color rgb="FF002060"/>
      <name val="Calibri"/>
      <family val="2"/>
      <scheme val="minor"/>
    </font>
    <font>
      <b/>
      <sz val="16"/>
      <color rgb="FF002060"/>
      <name val="Calibri"/>
      <family val="2"/>
      <scheme val="minor"/>
    </font>
    <font>
      <b/>
      <sz val="16"/>
      <color theme="1"/>
      <name val="Calibri"/>
      <family val="2"/>
      <scheme val="minor"/>
    </font>
    <font>
      <b/>
      <sz val="18"/>
      <color rgb="FF002060"/>
      <name val="Calibri"/>
      <family val="2"/>
      <scheme val="minor"/>
    </font>
    <font>
      <sz val="12"/>
      <color theme="0"/>
      <name val="Calibri"/>
      <family val="2"/>
      <scheme val="minor"/>
    </font>
    <font>
      <b/>
      <sz val="14"/>
      <color theme="1"/>
      <name val="Calibri"/>
      <family val="2"/>
      <scheme val="minor"/>
    </font>
    <font>
      <b/>
      <sz val="20"/>
      <color theme="0"/>
      <name val="Calibri"/>
      <family val="2"/>
      <scheme val="minor"/>
    </font>
  </fonts>
  <fills count="13">
    <fill>
      <patternFill patternType="none"/>
    </fill>
    <fill>
      <patternFill patternType="gray125"/>
    </fill>
    <fill>
      <patternFill patternType="solid">
        <fgColor rgb="FFFFFF00"/>
        <bgColor indexed="64"/>
      </patternFill>
    </fill>
    <fill>
      <patternFill patternType="solid">
        <fgColor theme="5"/>
        <bgColor indexed="64"/>
      </patternFill>
    </fill>
    <fill>
      <patternFill patternType="solid">
        <fgColor theme="4" tint="0.39997558519241921"/>
        <bgColor indexed="64"/>
      </patternFill>
    </fill>
    <fill>
      <patternFill patternType="solid">
        <fgColor theme="9"/>
        <bgColor indexed="64"/>
      </patternFill>
    </fill>
    <fill>
      <patternFill patternType="solid">
        <fgColor theme="7" tint="0.79998168889431442"/>
        <bgColor indexed="64"/>
      </patternFill>
    </fill>
    <fill>
      <patternFill patternType="solid">
        <fgColor rgb="FF002060"/>
        <bgColor indexed="64"/>
      </patternFill>
    </fill>
    <fill>
      <patternFill patternType="solid">
        <fgColor rgb="FFF2F4F7"/>
        <bgColor indexed="64"/>
      </patternFill>
    </fill>
    <fill>
      <patternFill patternType="solid">
        <fgColor rgb="FFDDEFF0"/>
        <bgColor indexed="64"/>
      </patternFill>
    </fill>
    <fill>
      <patternFill patternType="solid">
        <fgColor rgb="FF008C95"/>
        <bgColor indexed="64"/>
      </patternFill>
    </fill>
    <fill>
      <patternFill patternType="solid">
        <fgColor theme="0"/>
        <bgColor indexed="64"/>
      </patternFill>
    </fill>
    <fill>
      <patternFill patternType="solid">
        <fgColor theme="4" tint="0.79998168889431442"/>
        <bgColor indexed="64"/>
      </patternFill>
    </fill>
  </fills>
  <borders count="7">
    <border>
      <left/>
      <right/>
      <top/>
      <bottom/>
      <diagonal/>
    </border>
    <border>
      <left style="thin">
        <color theme="5"/>
      </left>
      <right/>
      <top style="thin">
        <color theme="5"/>
      </top>
      <bottom/>
      <diagonal/>
    </border>
    <border>
      <left/>
      <right style="thin">
        <color theme="5"/>
      </right>
      <top style="thin">
        <color theme="5"/>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double">
        <color indexed="64"/>
      </bottom>
      <diagonal/>
    </border>
  </borders>
  <cellStyleXfs count="1">
    <xf numFmtId="0" fontId="0" fillId="0" borderId="0"/>
  </cellStyleXfs>
  <cellXfs count="76">
    <xf numFmtId="0" fontId="0" fillId="0" borderId="0" xfId="0"/>
    <xf numFmtId="0" fontId="0" fillId="0" borderId="0" xfId="0" applyNumberFormat="1"/>
    <xf numFmtId="0" fontId="2" fillId="0" borderId="0" xfId="0" applyFont="1" applyBorder="1"/>
    <xf numFmtId="0" fontId="0" fillId="0" borderId="0" xfId="0" applyBorder="1"/>
    <xf numFmtId="0" fontId="4" fillId="0" borderId="0" xfId="0" applyFont="1" applyBorder="1" applyAlignment="1">
      <alignment vertical="center"/>
    </xf>
    <xf numFmtId="0" fontId="0" fillId="0" borderId="0" xfId="0" applyNumberFormat="1" applyAlignment="1">
      <alignment horizontal="center"/>
    </xf>
    <xf numFmtId="14" fontId="0" fillId="0" borderId="0" xfId="0" applyNumberFormat="1" applyAlignment="1">
      <alignment horizontal="center"/>
    </xf>
    <xf numFmtId="0" fontId="0" fillId="2" borderId="0" xfId="0" applyNumberFormat="1" applyFill="1" applyAlignment="1">
      <alignment horizontal="center"/>
    </xf>
    <xf numFmtId="14" fontId="0" fillId="2" borderId="0" xfId="0" applyNumberFormat="1" applyFill="1" applyAlignment="1">
      <alignment horizontal="center"/>
    </xf>
    <xf numFmtId="0" fontId="0" fillId="0" borderId="0" xfId="0" applyAlignment="1">
      <alignment horizontal="center"/>
    </xf>
    <xf numFmtId="164" fontId="0" fillId="0" borderId="0" xfId="0" applyNumberFormat="1" applyAlignment="1">
      <alignment horizontal="center"/>
    </xf>
    <xf numFmtId="0" fontId="0" fillId="0" borderId="0" xfId="0" applyAlignment="1"/>
    <xf numFmtId="0" fontId="5" fillId="0" borderId="0" xfId="0" applyFont="1" applyAlignment="1">
      <alignment horizontal="center"/>
    </xf>
    <xf numFmtId="0" fontId="5" fillId="0" borderId="1" xfId="0" applyFont="1" applyBorder="1" applyAlignment="1">
      <alignment horizontal="center"/>
    </xf>
    <xf numFmtId="0" fontId="0" fillId="0" borderId="2" xfId="0" applyFont="1" applyBorder="1"/>
    <xf numFmtId="0" fontId="5" fillId="0" borderId="0" xfId="0" applyFont="1" applyAlignment="1">
      <alignment horizontal="left"/>
    </xf>
    <xf numFmtId="0" fontId="13" fillId="0" borderId="0" xfId="0" applyFont="1"/>
    <xf numFmtId="0" fontId="10" fillId="0" borderId="0" xfId="0" applyFont="1"/>
    <xf numFmtId="0" fontId="13" fillId="0" borderId="0" xfId="0" applyFont="1" applyAlignment="1"/>
    <xf numFmtId="0" fontId="6" fillId="0" borderId="0" xfId="0" applyFont="1" applyFill="1" applyAlignment="1"/>
    <xf numFmtId="0" fontId="0" fillId="0" borderId="0" xfId="0" applyFill="1"/>
    <xf numFmtId="165" fontId="0" fillId="0" borderId="0" xfId="0" applyNumberFormat="1" applyBorder="1"/>
    <xf numFmtId="0" fontId="0" fillId="7" borderId="0" xfId="0" applyFill="1" applyAlignment="1">
      <alignment horizontal="left"/>
    </xf>
    <xf numFmtId="0" fontId="3" fillId="7" borderId="0" xfId="0" applyFont="1" applyFill="1" applyBorder="1"/>
    <xf numFmtId="0" fontId="0" fillId="8" borderId="0" xfId="0" applyFill="1" applyBorder="1"/>
    <xf numFmtId="2" fontId="0" fillId="8" borderId="0" xfId="0" applyNumberFormat="1" applyFill="1" applyBorder="1"/>
    <xf numFmtId="0" fontId="0" fillId="0" borderId="0" xfId="0" applyBorder="1" applyAlignment="1"/>
    <xf numFmtId="0" fontId="0" fillId="8" borderId="0" xfId="0" applyNumberFormat="1" applyFill="1" applyBorder="1"/>
    <xf numFmtId="0" fontId="0" fillId="9" borderId="0" xfId="0" applyFill="1" applyBorder="1"/>
    <xf numFmtId="0" fontId="0" fillId="7" borderId="0" xfId="0" applyNumberFormat="1" applyFill="1" applyAlignment="1">
      <alignment horizontal="left"/>
    </xf>
    <xf numFmtId="0" fontId="0" fillId="0" borderId="6" xfId="0" applyBorder="1" applyAlignment="1">
      <alignment horizontal="left"/>
    </xf>
    <xf numFmtId="0" fontId="0" fillId="0" borderId="6" xfId="0" applyNumberFormat="1" applyBorder="1"/>
    <xf numFmtId="0" fontId="3" fillId="7" borderId="6" xfId="0" applyFont="1" applyFill="1" applyBorder="1"/>
    <xf numFmtId="0" fontId="0" fillId="8" borderId="6" xfId="0" applyFill="1" applyBorder="1" applyAlignment="1">
      <alignment horizontal="left"/>
    </xf>
    <xf numFmtId="164" fontId="0" fillId="0" borderId="0" xfId="0" applyNumberFormat="1"/>
    <xf numFmtId="0" fontId="0" fillId="0" borderId="0" xfId="0" applyNumberFormat="1"/>
    <xf numFmtId="2" fontId="0" fillId="0" borderId="0" xfId="0" applyNumberFormat="1"/>
    <xf numFmtId="2" fontId="7" fillId="0" borderId="0" xfId="0" applyNumberFormat="1" applyFont="1" applyAlignment="1">
      <alignment horizontal="center"/>
    </xf>
    <xf numFmtId="0" fontId="0" fillId="8" borderId="0" xfId="0" applyFill="1" applyBorder="1" applyAlignment="1">
      <alignment horizontal="left"/>
    </xf>
    <xf numFmtId="0" fontId="0" fillId="0" borderId="0" xfId="0" applyAlignment="1">
      <alignment vertical="center" wrapText="1"/>
    </xf>
    <xf numFmtId="0" fontId="4" fillId="0" borderId="0" xfId="0" applyFont="1" applyAlignment="1">
      <alignment vertical="center" wrapText="1"/>
    </xf>
    <xf numFmtId="0" fontId="0" fillId="11" borderId="0" xfId="0" applyNumberFormat="1" applyFill="1" applyAlignment="1">
      <alignment horizontal="center"/>
    </xf>
    <xf numFmtId="0" fontId="0" fillId="12" borderId="0" xfId="0" applyNumberFormat="1" applyFill="1" applyAlignment="1">
      <alignment horizontal="center"/>
    </xf>
    <xf numFmtId="0" fontId="0" fillId="11" borderId="0" xfId="0" applyFill="1" applyAlignment="1">
      <alignment horizontal="center"/>
    </xf>
    <xf numFmtId="0" fontId="0" fillId="12" borderId="0" xfId="0" applyFill="1" applyAlignment="1">
      <alignment horizontal="center"/>
    </xf>
    <xf numFmtId="0" fontId="0" fillId="11" borderId="0" xfId="0" applyFont="1" applyFill="1" applyAlignment="1">
      <alignment horizontal="center"/>
    </xf>
    <xf numFmtId="0" fontId="0" fillId="4" borderId="0" xfId="0" applyFill="1"/>
    <xf numFmtId="0" fontId="0" fillId="4" borderId="0" xfId="0" applyFill="1" applyAlignment="1">
      <alignment horizontal="left"/>
    </xf>
    <xf numFmtId="0" fontId="0" fillId="4" borderId="0" xfId="0" applyNumberFormat="1" applyFill="1"/>
    <xf numFmtId="164" fontId="0" fillId="4" borderId="0" xfId="0" applyNumberFormat="1" applyFill="1" applyAlignment="1">
      <alignment horizontal="left"/>
    </xf>
    <xf numFmtId="0" fontId="1" fillId="3" borderId="0" xfId="0" applyFont="1" applyFill="1" applyAlignment="1">
      <alignment horizontal="center"/>
    </xf>
    <xf numFmtId="0" fontId="3" fillId="3" borderId="0" xfId="0" applyFont="1" applyFill="1" applyAlignment="1">
      <alignment horizontal="center"/>
    </xf>
    <xf numFmtId="0" fontId="0" fillId="3" borderId="0" xfId="0" applyFill="1" applyAlignment="1">
      <alignment horizontal="center"/>
    </xf>
    <xf numFmtId="0" fontId="10" fillId="5" borderId="3" xfId="0" applyFont="1" applyFill="1" applyBorder="1" applyAlignment="1">
      <alignment horizontal="center" vertical="center"/>
    </xf>
    <xf numFmtId="0" fontId="10" fillId="5" borderId="4" xfId="0" applyFont="1" applyFill="1" applyBorder="1" applyAlignment="1">
      <alignment horizontal="center" vertical="center"/>
    </xf>
    <xf numFmtId="0" fontId="10" fillId="5" borderId="5" xfId="0" applyFont="1" applyFill="1" applyBorder="1" applyAlignment="1">
      <alignment horizontal="center" vertical="center"/>
    </xf>
    <xf numFmtId="0" fontId="11" fillId="4" borderId="0" xfId="0" applyFont="1" applyFill="1" applyAlignment="1">
      <alignment horizontal="center"/>
    </xf>
    <xf numFmtId="0" fontId="8" fillId="4" borderId="0" xfId="0" applyFont="1" applyFill="1" applyAlignment="1">
      <alignment horizontal="center"/>
    </xf>
    <xf numFmtId="0" fontId="0" fillId="4" borderId="0" xfId="0" applyFill="1" applyAlignment="1">
      <alignment horizontal="center"/>
    </xf>
    <xf numFmtId="0" fontId="9" fillId="4" borderId="0" xfId="0" applyFont="1" applyFill="1" applyAlignment="1">
      <alignment horizontal="center"/>
    </xf>
    <xf numFmtId="0" fontId="6" fillId="4" borderId="0" xfId="0" applyFont="1" applyFill="1" applyAlignment="1">
      <alignment horizontal="center"/>
    </xf>
    <xf numFmtId="0" fontId="7" fillId="4" borderId="0" xfId="0" applyFont="1" applyFill="1" applyAlignment="1">
      <alignment horizontal="center"/>
    </xf>
    <xf numFmtId="0" fontId="12" fillId="10" borderId="0" xfId="0" applyFont="1" applyFill="1" applyBorder="1" applyAlignment="1">
      <alignment horizontal="left"/>
    </xf>
    <xf numFmtId="0" fontId="0" fillId="10" borderId="0" xfId="0" applyFill="1" applyBorder="1" applyAlignment="1">
      <alignment horizontal="left"/>
    </xf>
    <xf numFmtId="0" fontId="0" fillId="6" borderId="0" xfId="0" applyFill="1" applyBorder="1" applyAlignment="1">
      <alignment horizontal="left"/>
    </xf>
    <xf numFmtId="0" fontId="0" fillId="6" borderId="6" xfId="0" applyFill="1" applyBorder="1" applyAlignment="1">
      <alignment horizontal="left"/>
    </xf>
    <xf numFmtId="0" fontId="0" fillId="8" borderId="0" xfId="0" applyFill="1" applyBorder="1" applyAlignment="1">
      <alignment horizontal="center"/>
    </xf>
    <xf numFmtId="0" fontId="0" fillId="9" borderId="0" xfId="0" applyFill="1" applyBorder="1" applyAlignment="1">
      <alignment horizontal="center"/>
    </xf>
    <xf numFmtId="0" fontId="3" fillId="7" borderId="0" xfId="0" applyFont="1" applyFill="1" applyBorder="1" applyAlignment="1">
      <alignment horizontal="center"/>
    </xf>
    <xf numFmtId="0" fontId="0" fillId="8" borderId="0" xfId="0" applyFill="1" applyBorder="1" applyAlignment="1">
      <alignment horizontal="left"/>
    </xf>
    <xf numFmtId="2" fontId="0" fillId="8" borderId="0" xfId="0" applyNumberFormat="1" applyFill="1" applyBorder="1" applyAlignment="1">
      <alignment horizontal="left"/>
    </xf>
    <xf numFmtId="0" fontId="3" fillId="7" borderId="0" xfId="0" applyFont="1" applyFill="1" applyBorder="1" applyAlignment="1">
      <alignment horizontal="left"/>
    </xf>
    <xf numFmtId="0" fontId="3" fillId="10" borderId="0" xfId="0" applyFont="1" applyFill="1" applyBorder="1" applyAlignment="1">
      <alignment horizontal="left"/>
    </xf>
    <xf numFmtId="0" fontId="14" fillId="7" borderId="0" xfId="0" applyFont="1" applyFill="1" applyBorder="1" applyAlignment="1">
      <alignment horizontal="center"/>
    </xf>
    <xf numFmtId="0" fontId="5" fillId="9" borderId="0" xfId="0" applyFont="1" applyFill="1" applyBorder="1" applyAlignment="1">
      <alignment horizontal="center"/>
    </xf>
    <xf numFmtId="2" fontId="0" fillId="8" borderId="0" xfId="0" applyNumberFormat="1" applyFill="1" applyBorder="1" applyAlignment="1">
      <alignment horizontal="center"/>
    </xf>
  </cellXfs>
  <cellStyles count="1">
    <cellStyle name="Normal" xfId="0" builtinId="0"/>
  </cellStyles>
  <dxfs count="185">
    <dxf>
      <font>
        <b val="0"/>
        <i val="0"/>
        <strike val="0"/>
        <condense val="0"/>
        <extend val="0"/>
        <outline val="0"/>
        <shadow val="0"/>
        <u val="none"/>
        <vertAlign val="baseline"/>
        <sz val="10"/>
        <color theme="1"/>
        <name val="Arial Unicode MS"/>
        <scheme val="none"/>
      </font>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 formatCode="0.00"/>
    </dxf>
    <dxf>
      <numFmt numFmtId="2" formatCode="0.00"/>
    </dxf>
    <dxf>
      <numFmt numFmtId="0" formatCode="General"/>
    </dxf>
    <dxf>
      <numFmt numFmtId="164" formatCode="dd\-mm\-yyyy"/>
    </dxf>
    <dxf>
      <border>
        <bottom style="double">
          <color indexed="64"/>
        </bottom>
      </border>
    </dxf>
    <dxf>
      <border>
        <bottom style="double">
          <color indexed="64"/>
        </bottom>
      </border>
    </dxf>
    <dxf>
      <border>
        <bottom style="double">
          <color indexed="64"/>
        </bottom>
      </border>
    </dxf>
    <dxf>
      <border>
        <bottom style="double">
          <color indexed="64"/>
        </bottom>
      </border>
    </dxf>
    <dxf>
      <border>
        <bottom style="double">
          <color indexed="64"/>
        </bottom>
      </border>
    </dxf>
    <dxf>
      <border>
        <bottom style="double">
          <color indexed="64"/>
        </bottom>
      </border>
    </dxf>
    <dxf>
      <border>
        <bottom style="double">
          <color indexed="64"/>
        </bottom>
      </border>
    </dxf>
    <dxf>
      <fill>
        <patternFill patternType="solid">
          <bgColor rgb="FFF2F4F7"/>
        </patternFill>
      </fill>
    </dxf>
    <dxf>
      <font>
        <color theme="0"/>
      </font>
    </dxf>
    <dxf>
      <font>
        <color theme="0"/>
      </font>
    </dxf>
    <dxf>
      <font>
        <color theme="0"/>
      </font>
    </dxf>
    <dxf>
      <fill>
        <patternFill patternType="solid">
          <bgColor rgb="FF002060"/>
        </patternFill>
      </fill>
    </dxf>
    <dxf>
      <fill>
        <patternFill patternType="solid">
          <bgColor rgb="FF002060"/>
        </patternFill>
      </fill>
    </dxf>
    <dxf>
      <fill>
        <patternFill patternType="solid">
          <bgColor rgb="FF002060"/>
        </patternFill>
      </fill>
    </dxf>
    <dxf>
      <border>
        <bottom style="double">
          <color indexed="64"/>
        </bottom>
      </border>
    </dxf>
    <dxf>
      <border>
        <bottom style="double">
          <color indexed="64"/>
        </bottom>
      </border>
    </dxf>
    <dxf>
      <border>
        <bottom style="double">
          <color indexed="64"/>
        </bottom>
      </border>
    </dxf>
    <dxf>
      <border>
        <bottom style="double">
          <color indexed="64"/>
        </bottom>
      </border>
    </dxf>
    <dxf>
      <border>
        <bottom style="double">
          <color indexed="64"/>
        </bottom>
      </border>
    </dxf>
    <dxf>
      <border>
        <bottom style="double">
          <color indexed="64"/>
        </bottom>
      </border>
    </dxf>
    <dxf>
      <border>
        <bottom style="double">
          <color indexed="64"/>
        </bottom>
      </border>
    </dxf>
    <dxf>
      <fill>
        <patternFill patternType="solid">
          <bgColor rgb="FFF2F4F7"/>
        </patternFill>
      </fill>
    </dxf>
    <dxf>
      <font>
        <color theme="0"/>
      </font>
    </dxf>
    <dxf>
      <font>
        <color theme="0"/>
      </font>
    </dxf>
    <dxf>
      <font>
        <color theme="0"/>
      </font>
    </dxf>
    <dxf>
      <fill>
        <patternFill patternType="solid">
          <bgColor rgb="FF002060"/>
        </patternFill>
      </fill>
    </dxf>
    <dxf>
      <fill>
        <patternFill patternType="solid">
          <bgColor rgb="FF002060"/>
        </patternFill>
      </fill>
    </dxf>
    <dxf>
      <fill>
        <patternFill patternType="solid">
          <bgColor rgb="FF002060"/>
        </patternFill>
      </fill>
    </dxf>
    <dxf>
      <border>
        <bottom style="double">
          <color indexed="64"/>
        </bottom>
      </border>
    </dxf>
    <dxf>
      <border>
        <bottom style="double">
          <color indexed="64"/>
        </bottom>
      </border>
    </dxf>
    <dxf>
      <border>
        <bottom style="double">
          <color indexed="64"/>
        </bottom>
      </border>
    </dxf>
    <dxf>
      <border>
        <bottom style="double">
          <color indexed="64"/>
        </bottom>
      </border>
    </dxf>
    <dxf>
      <border>
        <bottom style="double">
          <color indexed="64"/>
        </bottom>
      </border>
    </dxf>
    <dxf>
      <border>
        <bottom style="double">
          <color indexed="64"/>
        </bottom>
      </border>
    </dxf>
    <dxf>
      <border>
        <bottom style="double">
          <color indexed="64"/>
        </bottom>
      </border>
    </dxf>
    <dxf>
      <fill>
        <patternFill patternType="solid">
          <bgColor rgb="FFF2F4F7"/>
        </patternFill>
      </fill>
    </dxf>
    <dxf>
      <font>
        <color theme="0"/>
      </font>
    </dxf>
    <dxf>
      <font>
        <color theme="0"/>
      </font>
    </dxf>
    <dxf>
      <font>
        <color theme="0"/>
      </font>
    </dxf>
    <dxf>
      <fill>
        <patternFill patternType="solid">
          <bgColor rgb="FF002060"/>
        </patternFill>
      </fill>
    </dxf>
    <dxf>
      <fill>
        <patternFill patternType="solid">
          <bgColor rgb="FF002060"/>
        </patternFill>
      </fill>
    </dxf>
    <dxf>
      <fill>
        <patternFill patternType="solid">
          <bgColor rgb="FF002060"/>
        </patternFill>
      </fill>
    </dxf>
    <dxf>
      <border>
        <bottom style="double">
          <color indexed="64"/>
        </bottom>
      </border>
    </dxf>
    <dxf>
      <border>
        <bottom style="double">
          <color indexed="64"/>
        </bottom>
      </border>
    </dxf>
    <dxf>
      <border>
        <bottom style="double">
          <color indexed="64"/>
        </bottom>
      </border>
    </dxf>
    <dxf>
      <border>
        <bottom style="double">
          <color indexed="64"/>
        </bottom>
      </border>
    </dxf>
    <dxf>
      <border>
        <bottom style="double">
          <color indexed="64"/>
        </bottom>
      </border>
    </dxf>
    <dxf>
      <border>
        <bottom style="double">
          <color indexed="64"/>
        </bottom>
      </border>
    </dxf>
    <dxf>
      <border>
        <bottom style="double">
          <color indexed="64"/>
        </bottom>
      </border>
    </dxf>
    <dxf>
      <fill>
        <patternFill patternType="solid">
          <bgColor rgb="FFF2F4F7"/>
        </patternFill>
      </fill>
    </dxf>
    <dxf>
      <font>
        <color theme="0"/>
      </font>
    </dxf>
    <dxf>
      <font>
        <color theme="0"/>
      </font>
    </dxf>
    <dxf>
      <font>
        <color theme="0"/>
      </font>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val="0"/>
        <i val="0"/>
        <strike val="0"/>
        <condense val="0"/>
        <extend val="0"/>
        <outline val="0"/>
        <shadow val="0"/>
        <u val="none"/>
        <vertAlign val="baseline"/>
        <sz val="11"/>
        <color theme="1"/>
        <name val="Calibri"/>
        <scheme val="minor"/>
      </font>
      <border diagonalUp="0" diagonalDown="0">
        <left/>
        <right style="thin">
          <color theme="5"/>
        </right>
        <top style="thin">
          <color theme="5"/>
        </top>
        <bottom/>
        <vertical/>
        <horizontal/>
      </border>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border diagonalUp="0" diagonalDown="0">
        <left style="thin">
          <color theme="5"/>
        </left>
        <right/>
        <top style="thin">
          <color theme="5"/>
        </top>
        <bottom/>
        <vertical/>
        <horizontal/>
      </border>
    </dxf>
    <dxf>
      <border outline="0">
        <bottom style="thin">
          <color theme="5"/>
        </bottom>
      </border>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rgb="FF002060"/>
        </patternFill>
      </fill>
      <alignment horizontal="left" vertical="bottom" textRotation="0" wrapText="0" indent="0" justifyLastLine="0" shrinkToFit="0" readingOrder="0"/>
    </dxf>
    <dxf>
      <font>
        <b val="0"/>
        <i val="0"/>
        <strike val="0"/>
        <condense val="0"/>
        <extend val="0"/>
        <outline val="0"/>
        <shadow val="0"/>
        <u val="none"/>
        <vertAlign val="baseline"/>
        <sz val="10"/>
        <color theme="1"/>
        <name val="Arial Unicode MS"/>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scheme val="none"/>
      </font>
      <alignment horizontal="general"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rgb="FF002060"/>
        </patternFill>
      </fill>
      <alignment horizontal="lef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rgb="FF002060"/>
        </patternFill>
      </fill>
      <alignment horizontal="left" vertical="bottom" textRotation="0" wrapText="0" indent="0" justifyLastLine="0" shrinkToFit="0" readingOrder="0"/>
    </dxf>
    <dxf>
      <font>
        <b val="0"/>
        <i val="0"/>
        <strike val="0"/>
        <condense val="0"/>
        <extend val="0"/>
        <outline val="0"/>
        <shadow val="0"/>
        <u val="none"/>
        <vertAlign val="baseline"/>
        <sz val="10"/>
        <color theme="1"/>
        <name val="Arial Unicode MS"/>
        <scheme val="none"/>
      </font>
      <alignment horizontal="general"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rgb="FF002060"/>
        </patternFill>
      </fill>
      <alignment horizontal="left" vertical="bottom" textRotation="0" wrapText="0" indent="0" justifyLastLine="0" shrinkToFit="0" readingOrder="0"/>
    </dxf>
    <dxf>
      <font>
        <b val="0"/>
        <i val="0"/>
        <strike val="0"/>
        <condense val="0"/>
        <extend val="0"/>
        <outline val="0"/>
        <shadow val="0"/>
        <u val="none"/>
        <vertAlign val="baseline"/>
        <sz val="10"/>
        <color theme="1"/>
        <name val="Arial Unicode MS"/>
        <scheme val="none"/>
      </font>
      <alignment horizontal="general"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rgb="FF002060"/>
        </patternFill>
      </fill>
      <alignment horizontal="left" vertical="bottom" textRotation="0" wrapText="0" indent="0" justifyLastLine="0" shrinkToFit="0" readingOrder="0"/>
    </dxf>
    <dxf>
      <font>
        <b/>
        <i val="0"/>
        <sz val="14"/>
      </font>
      <fill>
        <patternFill>
          <bgColor theme="9" tint="0.79998168889431442"/>
        </patternFill>
      </fill>
    </dxf>
  </dxfs>
  <tableStyles count="11" defaultTableStyle="TableStyleMedium2" defaultPivotStyle="PivotStyleLight16">
    <tableStyle name="Slicer Style 1" pivot="0" table="0" count="1"/>
    <tableStyle name="Slicer Style 10" pivot="0" table="0" count="1"/>
    <tableStyle name="Slicer Style 11" pivot="0" table="0" count="1"/>
    <tableStyle name="Slicer Style 2" pivot="0" table="0" count="1">
      <tableStyleElement type="headerRow" dxfId="184"/>
    </tableStyle>
    <tableStyle name="Slicer Style 3" pivot="0" table="0" count="1"/>
    <tableStyle name="Slicer Style 4" pivot="0" table="0" count="1"/>
    <tableStyle name="Slicer Style 5" pivot="0" table="0" count="1"/>
    <tableStyle name="Slicer Style 6" pivot="0" table="0" count="1"/>
    <tableStyle name="Slicer Style 7" pivot="0" table="0" count="1"/>
    <tableStyle name="Slicer Style 8" pivot="0" table="0" count="1"/>
    <tableStyle name="Slicer Style 9" pivot="0" table="0" count="1"/>
  </tableStyles>
  <colors>
    <mruColors>
      <color rgb="FFDDEFF0"/>
      <color rgb="FFCC99FF"/>
      <color rgb="FF46BADE"/>
      <color rgb="FF7AE4F6"/>
      <color rgb="FFCC66FF"/>
      <color rgb="FFFFCCCC"/>
      <color rgb="FFB4469F"/>
      <color rgb="FFFFCCFF"/>
      <color rgb="FFCCFFCC"/>
      <color rgb="FFCCFF66"/>
    </mruColors>
  </colors>
  <extLst>
    <ext xmlns:x14="http://schemas.microsoft.com/office/spreadsheetml/2009/9/main" uri="{46F421CA-312F-682f-3DD2-61675219B42D}">
      <x14:dxfs count="10">
        <dxf>
          <fill>
            <patternFill>
              <bgColor rgb="FFCC99FF"/>
            </patternFill>
          </fill>
        </dxf>
        <dxf>
          <fill>
            <patternFill>
              <bgColor rgb="FFCC66FF"/>
            </patternFill>
          </fill>
        </dxf>
        <dxf>
          <fill>
            <patternFill>
              <bgColor rgb="FFB4469F"/>
            </patternFill>
          </fill>
        </dxf>
        <dxf>
          <fill>
            <patternFill>
              <bgColor rgb="FFFFCCFF"/>
            </patternFill>
          </fill>
        </dxf>
        <dxf>
          <fill>
            <patternFill>
              <bgColor rgb="FFCCFF66"/>
            </patternFill>
          </fill>
        </dxf>
        <dxf>
          <fill>
            <patternFill>
              <bgColor rgb="FFFF66CC"/>
            </patternFill>
          </fill>
        </dxf>
        <dxf>
          <fill>
            <patternFill>
              <bgColor rgb="FFF1C1EB"/>
            </patternFill>
          </fill>
        </dxf>
        <dxf>
          <fill>
            <patternFill>
              <bgColor rgb="FFCCFFCC"/>
            </patternFill>
          </fill>
        </dxf>
        <dxf>
          <fill>
            <patternFill>
              <bgColor theme="7" tint="0.79998168889431442"/>
            </patternFill>
          </fill>
        </dxf>
        <dxf>
          <fill>
            <patternFill>
              <bgColor theme="9"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9"/>
          </x14:slicerStyleElements>
        </x14:slicerStyle>
        <x14:slicerStyle name="Slicer Style 10">
          <x14:slicerStyleElements>
            <x14:slicerStyleElement type="selectedItemWithData" dxfId="8"/>
          </x14:slicerStyleElements>
        </x14:slicerStyle>
        <x14:slicerStyle name="Slicer Style 11">
          <x14:slicerStyleElements>
            <x14:slicerStyleElement type="selectedItemWithData" dxfId="7"/>
          </x14:slicerStyleElements>
        </x14:slicerStyle>
        <x14:slicerStyle name="Slicer Style 2"/>
        <x14:slicerStyle name="Slicer Style 3">
          <x14:slicerStyleElements>
            <x14:slicerStyleElement type="selectedItemWithData" dxfId="6"/>
          </x14:slicerStyleElements>
        </x14:slicerStyle>
        <x14:slicerStyle name="Slicer Style 4">
          <x14:slicerStyleElements>
            <x14:slicerStyleElement type="selectedItemWithData" dxfId="5"/>
          </x14:slicerStyleElements>
        </x14:slicerStyle>
        <x14:slicerStyle name="Slicer Style 5">
          <x14:slicerStyleElements>
            <x14:slicerStyleElement type="selectedItemWithData" dxfId="4"/>
          </x14:slicerStyleElements>
        </x14:slicerStyle>
        <x14:slicerStyle name="Slicer Style 6">
          <x14:slicerStyleElements>
            <x14:slicerStyleElement type="selectedItemWithData" dxfId="3"/>
          </x14:slicerStyleElements>
        </x14:slicerStyle>
        <x14:slicerStyle name="Slicer Style 7">
          <x14:slicerStyleElements>
            <x14:slicerStyleElement type="selectedItemWithData" dxfId="2"/>
          </x14:slicerStyleElements>
        </x14:slicerStyle>
        <x14:slicerStyle name="Slicer Style 8">
          <x14:slicerStyleElements>
            <x14:slicerStyleElement type="selectedItemWithData" dxfId="1"/>
          </x14:slicerStyleElements>
        </x14:slicerStyle>
        <x14:slicerStyle name="Slicer Style 9">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&amp; CHARTS!PivotTable1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Demand by Weather</a:t>
            </a:r>
          </a:p>
          <a:p>
            <a:pPr>
              <a:defRPr/>
            </a:pPr>
            <a:endParaRPr lang="en-IN"/>
          </a:p>
        </c:rich>
      </c:tx>
      <c:layout>
        <c:manualLayout>
          <c:xMode val="edge"/>
          <c:yMode val="edge"/>
          <c:x val="2.180555555555554E-2"/>
          <c:y val="0.1424978127734033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 &amp; CHARTS'!$B$10</c:f>
              <c:strCache>
                <c:ptCount val="1"/>
                <c:pt idx="0">
                  <c:v>Total</c:v>
                </c:pt>
              </c:strCache>
            </c:strRef>
          </c:tx>
          <c:spPr>
            <a:solidFill>
              <a:schemeClr val="accent1"/>
            </a:solidFill>
            <a:ln>
              <a:noFill/>
            </a:ln>
            <a:effectLst/>
          </c:spPr>
          <c:invertIfNegative val="0"/>
          <c:cat>
            <c:strRef>
              <c:f>'PIVOT TABLE &amp; CHARTS'!$A$11:$A$14</c:f>
              <c:strCache>
                <c:ptCount val="3"/>
                <c:pt idx="0">
                  <c:v>1</c:v>
                </c:pt>
                <c:pt idx="1">
                  <c:v>2</c:v>
                </c:pt>
                <c:pt idx="2">
                  <c:v>3</c:v>
                </c:pt>
              </c:strCache>
            </c:strRef>
          </c:cat>
          <c:val>
            <c:numRef>
              <c:f>'PIVOT TABLE &amp; CHARTS'!$B$11:$B$14</c:f>
              <c:numCache>
                <c:formatCode>General</c:formatCode>
                <c:ptCount val="3"/>
                <c:pt idx="0">
                  <c:v>11309</c:v>
                </c:pt>
                <c:pt idx="1">
                  <c:v>3780</c:v>
                </c:pt>
                <c:pt idx="2">
                  <c:v>780</c:v>
                </c:pt>
              </c:numCache>
            </c:numRef>
          </c:val>
          <c:extLst>
            <c:ext xmlns:c16="http://schemas.microsoft.com/office/drawing/2014/chart" uri="{C3380CC4-5D6E-409C-BE32-E72D297353CC}">
              <c16:uniqueId val="{00000000-EFD5-4DAE-9048-74B7468D5BAF}"/>
            </c:ext>
          </c:extLst>
        </c:ser>
        <c:dLbls>
          <c:showLegendKey val="0"/>
          <c:showVal val="0"/>
          <c:showCatName val="0"/>
          <c:showSerName val="0"/>
          <c:showPercent val="0"/>
          <c:showBubbleSize val="0"/>
        </c:dLbls>
        <c:gapWidth val="219"/>
        <c:overlap val="-27"/>
        <c:axId val="863579519"/>
        <c:axId val="863579935"/>
      </c:barChart>
      <c:catAx>
        <c:axId val="863579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579935"/>
        <c:crosses val="autoZero"/>
        <c:auto val="1"/>
        <c:lblAlgn val="ctr"/>
        <c:lblOffset val="100"/>
        <c:noMultiLvlLbl val="0"/>
      </c:catAx>
      <c:valAx>
        <c:axId val="863579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579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&amp; CHARTS!PivotTable2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002060"/>
                </a:solidFill>
              </a:rPr>
              <a:t>Demand</a:t>
            </a:r>
            <a:r>
              <a:rPr lang="en-IN" sz="1600" b="1" baseline="0">
                <a:solidFill>
                  <a:srgbClr val="002060"/>
                </a:solidFill>
              </a:rPr>
              <a:t> by Hour</a:t>
            </a:r>
            <a:endParaRPr lang="en-IN" sz="1600" b="1">
              <a:solidFill>
                <a:srgbClr val="002060"/>
              </a:solidFill>
            </a:endParaRPr>
          </a:p>
        </c:rich>
      </c:tx>
      <c:layout>
        <c:manualLayout>
          <c:xMode val="edge"/>
          <c:yMode val="edge"/>
          <c:x val="3.2836144100771958E-2"/>
          <c:y val="0.1189419984473771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0858092738407699"/>
          <c:y val="0.26164498839112121"/>
          <c:w val="0.74845603674540684"/>
          <c:h val="0.53774387576552929"/>
        </c:manualLayout>
      </c:layout>
      <c:areaChart>
        <c:grouping val="standard"/>
        <c:varyColors val="0"/>
        <c:ser>
          <c:idx val="0"/>
          <c:order val="0"/>
          <c:tx>
            <c:strRef>
              <c:f>'PIVOT TABLE &amp; CHARTS'!$B$26</c:f>
              <c:strCache>
                <c:ptCount val="1"/>
                <c:pt idx="0">
                  <c:v>Total</c:v>
                </c:pt>
              </c:strCache>
            </c:strRef>
          </c:tx>
          <c:spPr>
            <a:solidFill>
              <a:schemeClr val="accent1"/>
            </a:solidFill>
            <a:ln>
              <a:noFill/>
            </a:ln>
            <a:effectLst/>
          </c:spPr>
          <c:cat>
            <c:strRef>
              <c:f>'PIVOT TABLE &amp; CHARTS'!$A$27:$A$35</c:f>
              <c:strCache>
                <c:ptCount val="8"/>
                <c:pt idx="0">
                  <c:v>0-2</c:v>
                </c:pt>
                <c:pt idx="1">
                  <c:v>3-5</c:v>
                </c:pt>
                <c:pt idx="2">
                  <c:v>6-8</c:v>
                </c:pt>
                <c:pt idx="3">
                  <c:v>9-11</c:v>
                </c:pt>
                <c:pt idx="4">
                  <c:v>12-14</c:v>
                </c:pt>
                <c:pt idx="5">
                  <c:v>15-17</c:v>
                </c:pt>
                <c:pt idx="6">
                  <c:v>18-20</c:v>
                </c:pt>
                <c:pt idx="7">
                  <c:v>21-23</c:v>
                </c:pt>
              </c:strCache>
            </c:strRef>
          </c:cat>
          <c:val>
            <c:numRef>
              <c:f>'PIVOT TABLE &amp; CHARTS'!$B$27:$B$35</c:f>
              <c:numCache>
                <c:formatCode>General</c:formatCode>
                <c:ptCount val="8"/>
                <c:pt idx="0">
                  <c:v>928</c:v>
                </c:pt>
                <c:pt idx="1">
                  <c:v>189</c:v>
                </c:pt>
                <c:pt idx="2">
                  <c:v>353</c:v>
                </c:pt>
                <c:pt idx="3">
                  <c:v>2389</c:v>
                </c:pt>
                <c:pt idx="4">
                  <c:v>4282</c:v>
                </c:pt>
                <c:pt idx="5">
                  <c:v>4220</c:v>
                </c:pt>
                <c:pt idx="6">
                  <c:v>2160</c:v>
                </c:pt>
                <c:pt idx="7">
                  <c:v>1348</c:v>
                </c:pt>
              </c:numCache>
            </c:numRef>
          </c:val>
          <c:extLst>
            <c:ext xmlns:c16="http://schemas.microsoft.com/office/drawing/2014/chart" uri="{C3380CC4-5D6E-409C-BE32-E72D297353CC}">
              <c16:uniqueId val="{00000000-957E-439E-8CDA-117DFBB6E35C}"/>
            </c:ext>
          </c:extLst>
        </c:ser>
        <c:dLbls>
          <c:showLegendKey val="0"/>
          <c:showVal val="0"/>
          <c:showCatName val="0"/>
          <c:showSerName val="0"/>
          <c:showPercent val="0"/>
          <c:showBubbleSize val="0"/>
        </c:dLbls>
        <c:axId val="863577855"/>
        <c:axId val="863589919"/>
      </c:areaChart>
      <c:catAx>
        <c:axId val="8635778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589919"/>
        <c:crosses val="autoZero"/>
        <c:auto val="1"/>
        <c:lblAlgn val="ctr"/>
        <c:lblOffset val="100"/>
        <c:noMultiLvlLbl val="0"/>
      </c:catAx>
      <c:valAx>
        <c:axId val="863589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57785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&amp; CHARTS!PivotTable5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rgbClr val="002060"/>
                </a:solidFill>
                <a:effectLst/>
              </a:rPr>
              <a:t>Demand by Temperature</a:t>
            </a:r>
            <a:endParaRPr lang="en-US" sz="1600">
              <a:solidFill>
                <a:srgbClr val="002060"/>
              </a:solidFill>
            </a:endParaRPr>
          </a:p>
        </c:rich>
      </c:tx>
      <c:layout>
        <c:manualLayout>
          <c:xMode val="edge"/>
          <c:yMode val="edge"/>
          <c:x val="2.5975361240828686E-2"/>
          <c:y val="0.1125299220295410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manualLayout>
          <c:layoutTarget val="inner"/>
          <c:xMode val="edge"/>
          <c:yMode val="edge"/>
          <c:x val="8.9136482939632541E-2"/>
          <c:y val="0.24939596092155147"/>
          <c:w val="0.72191863517060373"/>
          <c:h val="0.51475794692330124"/>
        </c:manualLayout>
      </c:layout>
      <c:lineChart>
        <c:grouping val="standard"/>
        <c:varyColors val="0"/>
        <c:ser>
          <c:idx val="0"/>
          <c:order val="0"/>
          <c:tx>
            <c:strRef>
              <c:f>'PIVOT TABLE &amp; CHARTS'!$N$5</c:f>
              <c:strCache>
                <c:ptCount val="1"/>
                <c:pt idx="0">
                  <c:v>Total</c:v>
                </c:pt>
              </c:strCache>
            </c:strRef>
          </c:tx>
          <c:spPr>
            <a:ln w="28575" cap="rnd">
              <a:solidFill>
                <a:schemeClr val="accent1"/>
              </a:solidFill>
              <a:round/>
            </a:ln>
            <a:effectLst/>
          </c:spPr>
          <c:marker>
            <c:symbol val="none"/>
          </c:marker>
          <c:cat>
            <c:strRef>
              <c:f>'PIVOT TABLE &amp; CHARTS'!$M$6:$M$29</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'PIVOT TABLE &amp; CHARTS'!$N$6:$N$29</c:f>
              <c:numCache>
                <c:formatCode>General</c:formatCode>
                <c:ptCount val="23"/>
                <c:pt idx="0">
                  <c:v>63</c:v>
                </c:pt>
                <c:pt idx="1">
                  <c:v>208</c:v>
                </c:pt>
                <c:pt idx="2">
                  <c:v>287</c:v>
                </c:pt>
                <c:pt idx="3">
                  <c:v>235</c:v>
                </c:pt>
                <c:pt idx="4">
                  <c:v>248</c:v>
                </c:pt>
                <c:pt idx="5">
                  <c:v>504</c:v>
                </c:pt>
                <c:pt idx="6">
                  <c:v>667</c:v>
                </c:pt>
                <c:pt idx="7">
                  <c:v>935</c:v>
                </c:pt>
                <c:pt idx="8">
                  <c:v>910</c:v>
                </c:pt>
                <c:pt idx="9">
                  <c:v>1044</c:v>
                </c:pt>
                <c:pt idx="10">
                  <c:v>1517</c:v>
                </c:pt>
                <c:pt idx="11">
                  <c:v>1020</c:v>
                </c:pt>
                <c:pt idx="12">
                  <c:v>957</c:v>
                </c:pt>
                <c:pt idx="13">
                  <c:v>762</c:v>
                </c:pt>
                <c:pt idx="14">
                  <c:v>1410</c:v>
                </c:pt>
                <c:pt idx="15">
                  <c:v>794</c:v>
                </c:pt>
                <c:pt idx="16">
                  <c:v>1759</c:v>
                </c:pt>
                <c:pt idx="17">
                  <c:v>611</c:v>
                </c:pt>
                <c:pt idx="18">
                  <c:v>210</c:v>
                </c:pt>
                <c:pt idx="19">
                  <c:v>750</c:v>
                </c:pt>
                <c:pt idx="20">
                  <c:v>519</c:v>
                </c:pt>
                <c:pt idx="21">
                  <c:v>194</c:v>
                </c:pt>
                <c:pt idx="22">
                  <c:v>265</c:v>
                </c:pt>
              </c:numCache>
            </c:numRef>
          </c:val>
          <c:smooth val="0"/>
          <c:extLst>
            <c:ext xmlns:c16="http://schemas.microsoft.com/office/drawing/2014/chart" uri="{C3380CC4-5D6E-409C-BE32-E72D297353CC}">
              <c16:uniqueId val="{00000000-6111-4347-AADA-3B26377CB787}"/>
            </c:ext>
          </c:extLst>
        </c:ser>
        <c:dLbls>
          <c:showLegendKey val="0"/>
          <c:showVal val="0"/>
          <c:showCatName val="0"/>
          <c:showSerName val="0"/>
          <c:showPercent val="0"/>
          <c:showBubbleSize val="0"/>
        </c:dLbls>
        <c:smooth val="0"/>
        <c:axId val="1014292495"/>
        <c:axId val="1014295823"/>
      </c:lineChart>
      <c:catAx>
        <c:axId val="1014292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295823"/>
        <c:crosses val="autoZero"/>
        <c:auto val="1"/>
        <c:lblAlgn val="ctr"/>
        <c:lblOffset val="100"/>
        <c:noMultiLvlLbl val="0"/>
      </c:catAx>
      <c:valAx>
        <c:axId val="1014295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292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&amp; CHARTS!PivotTable7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2060"/>
                </a:solidFill>
              </a:rPr>
              <a:t>Demand</a:t>
            </a:r>
            <a:r>
              <a:rPr lang="en-US" sz="1600" b="1" baseline="0">
                <a:solidFill>
                  <a:srgbClr val="002060"/>
                </a:solidFill>
              </a:rPr>
              <a:t> by Date</a:t>
            </a:r>
            <a:endParaRPr lang="en-US" sz="1600" b="1">
              <a:solidFill>
                <a:srgbClr val="002060"/>
              </a:solidFill>
            </a:endParaRPr>
          </a:p>
        </c:rich>
      </c:tx>
      <c:layout>
        <c:manualLayout>
          <c:xMode val="edge"/>
          <c:yMode val="edge"/>
          <c:x val="3.7288576976914768E-2"/>
          <c:y val="9.85832793845319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0.12688384361265012"/>
          <c:y val="0.2212239430464055"/>
          <c:w val="0.79826851980978464"/>
          <c:h val="0.55791896283324471"/>
        </c:manualLayout>
      </c:layout>
      <c:barChart>
        <c:barDir val="col"/>
        <c:grouping val="clustered"/>
        <c:varyColors val="0"/>
        <c:ser>
          <c:idx val="0"/>
          <c:order val="0"/>
          <c:tx>
            <c:strRef>
              <c:f>'PIVOT TABLE &amp; CHARTS'!$AB$5</c:f>
              <c:strCache>
                <c:ptCount val="1"/>
                <c:pt idx="0">
                  <c:v>Total</c:v>
                </c:pt>
              </c:strCache>
            </c:strRef>
          </c:tx>
          <c:spPr>
            <a:solidFill>
              <a:schemeClr val="accent1"/>
            </a:solidFill>
            <a:ln>
              <a:noFill/>
            </a:ln>
            <a:effectLst/>
          </c:spPr>
          <c:invertIfNegative val="0"/>
          <c:cat>
            <c:strRef>
              <c:f>'PIVOT TABLE &amp; CHARTS'!$AA$6:$AA$20</c:f>
              <c:strCache>
                <c:ptCount val="14"/>
                <c:pt idx="0">
                  <c:v>01-Jan</c:v>
                </c:pt>
                <c:pt idx="1">
                  <c:v>02-Jan</c:v>
                </c:pt>
                <c:pt idx="2">
                  <c:v>08-Jan</c:v>
                </c:pt>
                <c:pt idx="3">
                  <c:v>09-Jan</c:v>
                </c:pt>
                <c:pt idx="4">
                  <c:v>15-Jan</c:v>
                </c:pt>
                <c:pt idx="5">
                  <c:v>16-Jan</c:v>
                </c:pt>
                <c:pt idx="6">
                  <c:v>22-Jan</c:v>
                </c:pt>
                <c:pt idx="7">
                  <c:v>23-Jan</c:v>
                </c:pt>
                <c:pt idx="8">
                  <c:v>29-Jan</c:v>
                </c:pt>
                <c:pt idx="9">
                  <c:v>30-Jan</c:v>
                </c:pt>
                <c:pt idx="10">
                  <c:v>05-Feb</c:v>
                </c:pt>
                <c:pt idx="11">
                  <c:v>06-Feb</c:v>
                </c:pt>
                <c:pt idx="12">
                  <c:v>12-Feb</c:v>
                </c:pt>
                <c:pt idx="13">
                  <c:v>13-Feb</c:v>
                </c:pt>
              </c:strCache>
            </c:strRef>
          </c:cat>
          <c:val>
            <c:numRef>
              <c:f>'PIVOT TABLE &amp; CHARTS'!$AB$6:$AB$20</c:f>
              <c:numCache>
                <c:formatCode>General</c:formatCode>
                <c:ptCount val="14"/>
                <c:pt idx="0">
                  <c:v>985</c:v>
                </c:pt>
                <c:pt idx="1">
                  <c:v>801</c:v>
                </c:pt>
                <c:pt idx="2">
                  <c:v>959</c:v>
                </c:pt>
                <c:pt idx="3">
                  <c:v>822</c:v>
                </c:pt>
                <c:pt idx="4">
                  <c:v>1248</c:v>
                </c:pt>
                <c:pt idx="5">
                  <c:v>1204</c:v>
                </c:pt>
                <c:pt idx="6">
                  <c:v>981</c:v>
                </c:pt>
                <c:pt idx="7">
                  <c:v>986</c:v>
                </c:pt>
                <c:pt idx="8">
                  <c:v>1098</c:v>
                </c:pt>
                <c:pt idx="9">
                  <c:v>1096</c:v>
                </c:pt>
                <c:pt idx="10">
                  <c:v>1005</c:v>
                </c:pt>
                <c:pt idx="11">
                  <c:v>1623</c:v>
                </c:pt>
                <c:pt idx="12">
                  <c:v>1472</c:v>
                </c:pt>
                <c:pt idx="13">
                  <c:v>1589</c:v>
                </c:pt>
              </c:numCache>
            </c:numRef>
          </c:val>
          <c:extLst>
            <c:ext xmlns:c16="http://schemas.microsoft.com/office/drawing/2014/chart" uri="{C3380CC4-5D6E-409C-BE32-E72D297353CC}">
              <c16:uniqueId val="{00000000-4741-403E-B54C-B1506F8832DE}"/>
            </c:ext>
          </c:extLst>
        </c:ser>
        <c:dLbls>
          <c:showLegendKey val="0"/>
          <c:showVal val="0"/>
          <c:showCatName val="0"/>
          <c:showSerName val="0"/>
          <c:showPercent val="0"/>
          <c:showBubbleSize val="0"/>
        </c:dLbls>
        <c:gapWidth val="219"/>
        <c:overlap val="-27"/>
        <c:axId val="1014282927"/>
        <c:axId val="1014282095"/>
      </c:barChart>
      <c:catAx>
        <c:axId val="101428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282095"/>
        <c:crosses val="autoZero"/>
        <c:auto val="1"/>
        <c:lblAlgn val="ctr"/>
        <c:lblOffset val="100"/>
        <c:noMultiLvlLbl val="0"/>
      </c:catAx>
      <c:valAx>
        <c:axId val="1014282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28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&amp; CHARTS!PivotTable8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2060"/>
                </a:solidFill>
              </a:rPr>
              <a:t>Demand</a:t>
            </a:r>
            <a:r>
              <a:rPr lang="en-US" sz="1600" b="1" baseline="0">
                <a:solidFill>
                  <a:srgbClr val="002060"/>
                </a:solidFill>
              </a:rPr>
              <a:t> by Assumed_Temp</a:t>
            </a:r>
            <a:endParaRPr lang="en-US" sz="1600" b="1">
              <a:solidFill>
                <a:srgbClr val="002060"/>
              </a:solidFill>
            </a:endParaRPr>
          </a:p>
        </c:rich>
      </c:tx>
      <c:layout>
        <c:manualLayout>
          <c:xMode val="edge"/>
          <c:yMode val="edge"/>
          <c:x val="2.2860781524610543E-2"/>
          <c:y val="9.05778284864474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TABLE &amp; CHARTS'!$AB$58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&amp; CHARTS'!$AA$59:$AA$89</c:f>
              <c:strCache>
                <c:ptCount val="30"/>
                <c:pt idx="0">
                  <c:v>0</c:v>
                </c:pt>
                <c:pt idx="1">
                  <c:v>0.0152</c:v>
                </c:pt>
                <c:pt idx="2">
                  <c:v>0.0303</c:v>
                </c:pt>
                <c:pt idx="3">
                  <c:v>0.0606</c:v>
                </c:pt>
                <c:pt idx="4">
                  <c:v>0.0758</c:v>
                </c:pt>
                <c:pt idx="5">
                  <c:v>0.0909</c:v>
                </c:pt>
                <c:pt idx="6">
                  <c:v>0.1061</c:v>
                </c:pt>
                <c:pt idx="7">
                  <c:v>0.1212</c:v>
                </c:pt>
                <c:pt idx="8">
                  <c:v>0.1364</c:v>
                </c:pt>
                <c:pt idx="9">
                  <c:v>0.1515</c:v>
                </c:pt>
                <c:pt idx="10">
                  <c:v>0.1667</c:v>
                </c:pt>
                <c:pt idx="11">
                  <c:v>0.1818</c:v>
                </c:pt>
                <c:pt idx="12">
                  <c:v>0.197</c:v>
                </c:pt>
                <c:pt idx="13">
                  <c:v>0.2121</c:v>
                </c:pt>
                <c:pt idx="14">
                  <c:v>0.2273</c:v>
                </c:pt>
                <c:pt idx="15">
                  <c:v>0.2424</c:v>
                </c:pt>
                <c:pt idx="16">
                  <c:v>0.2576</c:v>
                </c:pt>
                <c:pt idx="17">
                  <c:v>0.2727</c:v>
                </c:pt>
                <c:pt idx="18">
                  <c:v>0.2879</c:v>
                </c:pt>
                <c:pt idx="19">
                  <c:v>0.303</c:v>
                </c:pt>
                <c:pt idx="20">
                  <c:v>0.3182</c:v>
                </c:pt>
                <c:pt idx="21">
                  <c:v>0.3333</c:v>
                </c:pt>
                <c:pt idx="22">
                  <c:v>0.3485</c:v>
                </c:pt>
                <c:pt idx="23">
                  <c:v>0.3636</c:v>
                </c:pt>
                <c:pt idx="24">
                  <c:v>0.3939</c:v>
                </c:pt>
                <c:pt idx="25">
                  <c:v>0.4091</c:v>
                </c:pt>
                <c:pt idx="26">
                  <c:v>0.4242</c:v>
                </c:pt>
                <c:pt idx="27">
                  <c:v>0.4394</c:v>
                </c:pt>
                <c:pt idx="28">
                  <c:v>0.4545</c:v>
                </c:pt>
                <c:pt idx="29">
                  <c:v>(blank)</c:v>
                </c:pt>
              </c:strCache>
            </c:strRef>
          </c:cat>
          <c:val>
            <c:numRef>
              <c:f>'PIVOT TABLE &amp; CHARTS'!$AB$59:$AB$89</c:f>
              <c:numCache>
                <c:formatCode>General</c:formatCode>
                <c:ptCount val="30"/>
                <c:pt idx="0">
                  <c:v>39</c:v>
                </c:pt>
                <c:pt idx="1">
                  <c:v>11</c:v>
                </c:pt>
                <c:pt idx="2">
                  <c:v>73</c:v>
                </c:pt>
                <c:pt idx="3">
                  <c:v>142</c:v>
                </c:pt>
                <c:pt idx="4">
                  <c:v>275</c:v>
                </c:pt>
                <c:pt idx="5">
                  <c:v>101</c:v>
                </c:pt>
                <c:pt idx="6">
                  <c:v>570</c:v>
                </c:pt>
                <c:pt idx="7">
                  <c:v>499</c:v>
                </c:pt>
                <c:pt idx="8">
                  <c:v>765</c:v>
                </c:pt>
                <c:pt idx="9">
                  <c:v>259</c:v>
                </c:pt>
                <c:pt idx="10">
                  <c:v>435</c:v>
                </c:pt>
                <c:pt idx="11">
                  <c:v>497</c:v>
                </c:pt>
                <c:pt idx="12">
                  <c:v>861</c:v>
                </c:pt>
                <c:pt idx="13">
                  <c:v>1137</c:v>
                </c:pt>
                <c:pt idx="14">
                  <c:v>1348</c:v>
                </c:pt>
                <c:pt idx="15">
                  <c:v>616</c:v>
                </c:pt>
                <c:pt idx="16">
                  <c:v>565</c:v>
                </c:pt>
                <c:pt idx="17">
                  <c:v>973</c:v>
                </c:pt>
                <c:pt idx="18">
                  <c:v>1116</c:v>
                </c:pt>
                <c:pt idx="19">
                  <c:v>1070</c:v>
                </c:pt>
                <c:pt idx="20">
                  <c:v>524</c:v>
                </c:pt>
                <c:pt idx="21">
                  <c:v>1021</c:v>
                </c:pt>
                <c:pt idx="22">
                  <c:v>642</c:v>
                </c:pt>
                <c:pt idx="23">
                  <c:v>303</c:v>
                </c:pt>
                <c:pt idx="24">
                  <c:v>190</c:v>
                </c:pt>
                <c:pt idx="25">
                  <c:v>750</c:v>
                </c:pt>
                <c:pt idx="26">
                  <c:v>519</c:v>
                </c:pt>
                <c:pt idx="27">
                  <c:v>127</c:v>
                </c:pt>
                <c:pt idx="28">
                  <c:v>223</c:v>
                </c:pt>
                <c:pt idx="29">
                  <c:v>218</c:v>
                </c:pt>
              </c:numCache>
            </c:numRef>
          </c:val>
          <c:smooth val="0"/>
          <c:extLst>
            <c:ext xmlns:c16="http://schemas.microsoft.com/office/drawing/2014/chart" uri="{C3380CC4-5D6E-409C-BE32-E72D297353CC}">
              <c16:uniqueId val="{00000000-DB41-4FC2-A1FB-0ABE83F560C6}"/>
            </c:ext>
          </c:extLst>
        </c:ser>
        <c:dLbls>
          <c:showLegendKey val="0"/>
          <c:showVal val="0"/>
          <c:showCatName val="0"/>
          <c:showSerName val="0"/>
          <c:showPercent val="0"/>
          <c:showBubbleSize val="0"/>
        </c:dLbls>
        <c:marker val="1"/>
        <c:smooth val="0"/>
        <c:axId val="1014302895"/>
        <c:axId val="1014293743"/>
      </c:lineChart>
      <c:catAx>
        <c:axId val="1014302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293743"/>
        <c:crosses val="autoZero"/>
        <c:auto val="1"/>
        <c:lblAlgn val="ctr"/>
        <c:lblOffset val="100"/>
        <c:noMultiLvlLbl val="0"/>
      </c:catAx>
      <c:valAx>
        <c:axId val="1014293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302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&amp; CHARTS!PivotTable9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2060"/>
                </a:solidFill>
              </a:rPr>
              <a:t>Demand</a:t>
            </a:r>
            <a:r>
              <a:rPr lang="en-US" sz="1600" b="1" baseline="0">
                <a:solidFill>
                  <a:srgbClr val="002060"/>
                </a:solidFill>
              </a:rPr>
              <a:t> by Windspeed</a:t>
            </a:r>
            <a:endParaRPr lang="en-US" sz="1600" b="1">
              <a:solidFill>
                <a:srgbClr val="002060"/>
              </a:solidFill>
            </a:endParaRPr>
          </a:p>
        </c:rich>
      </c:tx>
      <c:layout>
        <c:manualLayout>
          <c:xMode val="edge"/>
          <c:yMode val="edge"/>
          <c:x val="2.667754823228307E-2"/>
          <c:y val="0.1281047186495239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26328484981044037"/>
          <c:w val="0.75138888888888888"/>
          <c:h val="0.68578922426363376"/>
        </c:manualLayout>
      </c:layout>
      <c:pie3DChart>
        <c:varyColors val="1"/>
        <c:ser>
          <c:idx val="0"/>
          <c:order val="0"/>
          <c:tx>
            <c:strRef>
              <c:f>'PIVOT TABLE &amp; CHARTS'!$N$38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269-4ABF-91E5-F02DF4AC4CF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269-4ABF-91E5-F02DF4AC4CF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269-4ABF-91E5-F02DF4AC4CF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269-4ABF-91E5-F02DF4AC4CFE}"/>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7269-4ABF-91E5-F02DF4AC4CFE}"/>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7269-4ABF-91E5-F02DF4AC4CFE}"/>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7269-4ABF-91E5-F02DF4AC4CFE}"/>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7269-4ABF-91E5-F02DF4AC4CFE}"/>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7269-4ABF-91E5-F02DF4AC4CFE}"/>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7269-4ABF-91E5-F02DF4AC4CFE}"/>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7269-4ABF-91E5-F02DF4AC4CFE}"/>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7269-4ABF-91E5-F02DF4AC4CFE}"/>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7269-4ABF-91E5-F02DF4AC4CFE}"/>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0932-4AC8-826A-FAB1480683D7}"/>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0932-4AC8-826A-FAB1480683D7}"/>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0932-4AC8-826A-FAB1480683D7}"/>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0932-4AC8-826A-FAB1480683D7}"/>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0932-4AC8-826A-FAB1480683D7}"/>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0932-4AC8-826A-FAB1480683D7}"/>
              </c:ext>
            </c:extLst>
          </c:dPt>
          <c:cat>
            <c:strRef>
              <c:f>'PIVOT TABLE &amp; CHARTS'!$M$39:$M$58</c:f>
              <c:strCache>
                <c:ptCount val="19"/>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strCache>
            </c:strRef>
          </c:cat>
          <c:val>
            <c:numRef>
              <c:f>'PIVOT TABLE &amp; CHARTS'!$N$39:$N$58</c:f>
              <c:numCache>
                <c:formatCode>General</c:formatCode>
                <c:ptCount val="19"/>
                <c:pt idx="0">
                  <c:v>1904</c:v>
                </c:pt>
                <c:pt idx="1">
                  <c:v>927</c:v>
                </c:pt>
                <c:pt idx="2">
                  <c:v>931</c:v>
                </c:pt>
                <c:pt idx="3">
                  <c:v>958</c:v>
                </c:pt>
                <c:pt idx="4">
                  <c:v>1245</c:v>
                </c:pt>
                <c:pt idx="5">
                  <c:v>989</c:v>
                </c:pt>
                <c:pt idx="6">
                  <c:v>696</c:v>
                </c:pt>
                <c:pt idx="7">
                  <c:v>1645</c:v>
                </c:pt>
                <c:pt idx="8">
                  <c:v>1124</c:v>
                </c:pt>
                <c:pt idx="9">
                  <c:v>1045</c:v>
                </c:pt>
                <c:pt idx="10">
                  <c:v>976</c:v>
                </c:pt>
                <c:pt idx="11">
                  <c:v>719</c:v>
                </c:pt>
                <c:pt idx="12">
                  <c:v>444</c:v>
                </c:pt>
                <c:pt idx="13">
                  <c:v>683</c:v>
                </c:pt>
                <c:pt idx="14">
                  <c:v>731</c:v>
                </c:pt>
                <c:pt idx="15">
                  <c:v>483</c:v>
                </c:pt>
                <c:pt idx="16">
                  <c:v>95</c:v>
                </c:pt>
                <c:pt idx="17">
                  <c:v>205</c:v>
                </c:pt>
                <c:pt idx="18">
                  <c:v>69</c:v>
                </c:pt>
              </c:numCache>
            </c:numRef>
          </c:val>
          <c:extLst>
            <c:ext xmlns:c16="http://schemas.microsoft.com/office/drawing/2014/chart" uri="{C3380CC4-5D6E-409C-BE32-E72D297353CC}">
              <c16:uniqueId val="{00000000-1134-4112-AF64-4C81B71BF4D6}"/>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81527777777777788"/>
          <c:y val="0.2944772528433946"/>
          <c:w val="0.15308573997636682"/>
          <c:h val="0.677175403997605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&amp; CHARTS!PivotTable2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002060"/>
                </a:solidFill>
              </a:rPr>
              <a:t>Demand</a:t>
            </a:r>
            <a:r>
              <a:rPr lang="en-IN" sz="1600" b="1" baseline="0">
                <a:solidFill>
                  <a:srgbClr val="002060"/>
                </a:solidFill>
              </a:rPr>
              <a:t> by Hour</a:t>
            </a:r>
            <a:endParaRPr lang="en-IN" sz="1600" b="1">
              <a:solidFill>
                <a:srgbClr val="002060"/>
              </a:solidFill>
            </a:endParaRPr>
          </a:p>
        </c:rich>
      </c:tx>
      <c:layout>
        <c:manualLayout>
          <c:xMode val="edge"/>
          <c:yMode val="edge"/>
          <c:x val="3.2836144100771958E-2"/>
          <c:y val="0.1189419984473771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manualLayout>
          <c:layoutTarget val="inner"/>
          <c:xMode val="edge"/>
          <c:yMode val="edge"/>
          <c:x val="0.10858092738407699"/>
          <c:y val="0.26164498839112121"/>
          <c:w val="0.74845603674540684"/>
          <c:h val="0.53774387576552929"/>
        </c:manualLayout>
      </c:layout>
      <c:areaChart>
        <c:grouping val="standard"/>
        <c:varyColors val="0"/>
        <c:ser>
          <c:idx val="0"/>
          <c:order val="0"/>
          <c:tx>
            <c:strRef>
              <c:f>'PIVOT TABLE &amp; CHARTS'!$B$26</c:f>
              <c:strCache>
                <c:ptCount val="1"/>
                <c:pt idx="0">
                  <c:v>Total</c:v>
                </c:pt>
              </c:strCache>
            </c:strRef>
          </c:tx>
          <c:spPr>
            <a:solidFill>
              <a:schemeClr val="accent1"/>
            </a:solidFill>
            <a:ln>
              <a:noFill/>
            </a:ln>
            <a:effectLst/>
          </c:spPr>
          <c:cat>
            <c:strRef>
              <c:f>'PIVOT TABLE &amp; CHARTS'!$A$27:$A$35</c:f>
              <c:strCache>
                <c:ptCount val="8"/>
                <c:pt idx="0">
                  <c:v>0-2</c:v>
                </c:pt>
                <c:pt idx="1">
                  <c:v>3-5</c:v>
                </c:pt>
                <c:pt idx="2">
                  <c:v>6-8</c:v>
                </c:pt>
                <c:pt idx="3">
                  <c:v>9-11</c:v>
                </c:pt>
                <c:pt idx="4">
                  <c:v>12-14</c:v>
                </c:pt>
                <c:pt idx="5">
                  <c:v>15-17</c:v>
                </c:pt>
                <c:pt idx="6">
                  <c:v>18-20</c:v>
                </c:pt>
                <c:pt idx="7">
                  <c:v>21-23</c:v>
                </c:pt>
              </c:strCache>
            </c:strRef>
          </c:cat>
          <c:val>
            <c:numRef>
              <c:f>'PIVOT TABLE &amp; CHARTS'!$B$27:$B$35</c:f>
              <c:numCache>
                <c:formatCode>General</c:formatCode>
                <c:ptCount val="8"/>
                <c:pt idx="0">
                  <c:v>928</c:v>
                </c:pt>
                <c:pt idx="1">
                  <c:v>189</c:v>
                </c:pt>
                <c:pt idx="2">
                  <c:v>353</c:v>
                </c:pt>
                <c:pt idx="3">
                  <c:v>2389</c:v>
                </c:pt>
                <c:pt idx="4">
                  <c:v>4282</c:v>
                </c:pt>
                <c:pt idx="5">
                  <c:v>4220</c:v>
                </c:pt>
                <c:pt idx="6">
                  <c:v>2160</c:v>
                </c:pt>
                <c:pt idx="7">
                  <c:v>1348</c:v>
                </c:pt>
              </c:numCache>
            </c:numRef>
          </c:val>
          <c:extLst>
            <c:ext xmlns:c16="http://schemas.microsoft.com/office/drawing/2014/chart" uri="{C3380CC4-5D6E-409C-BE32-E72D297353CC}">
              <c16:uniqueId val="{00000000-47B9-4593-9CF8-25CF82FF4494}"/>
            </c:ext>
          </c:extLst>
        </c:ser>
        <c:dLbls>
          <c:showLegendKey val="0"/>
          <c:showVal val="0"/>
          <c:showCatName val="0"/>
          <c:showSerName val="0"/>
          <c:showPercent val="0"/>
          <c:showBubbleSize val="0"/>
        </c:dLbls>
        <c:axId val="863577855"/>
        <c:axId val="863589919"/>
      </c:areaChart>
      <c:catAx>
        <c:axId val="8635778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589919"/>
        <c:crosses val="autoZero"/>
        <c:auto val="1"/>
        <c:lblAlgn val="ctr"/>
        <c:lblOffset val="100"/>
        <c:noMultiLvlLbl val="0"/>
      </c:catAx>
      <c:valAx>
        <c:axId val="863589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57785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&amp; CHARTS!PivotTable5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rgbClr val="002060"/>
                </a:solidFill>
                <a:effectLst/>
              </a:rPr>
              <a:t>Demand by Temperature</a:t>
            </a:r>
            <a:endParaRPr lang="en-US" sz="1600">
              <a:solidFill>
                <a:srgbClr val="002060"/>
              </a:solidFill>
            </a:endParaRPr>
          </a:p>
        </c:rich>
      </c:tx>
      <c:layout>
        <c:manualLayout>
          <c:xMode val="edge"/>
          <c:yMode val="edge"/>
          <c:x val="2.5975361240828686E-2"/>
          <c:y val="0.1125299220295410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manualLayout>
          <c:layoutTarget val="inner"/>
          <c:xMode val="edge"/>
          <c:yMode val="edge"/>
          <c:x val="8.9136482939632541E-2"/>
          <c:y val="0.24939596092155147"/>
          <c:w val="0.72191863517060373"/>
          <c:h val="0.51475794692330124"/>
        </c:manualLayout>
      </c:layout>
      <c:lineChart>
        <c:grouping val="standard"/>
        <c:varyColors val="0"/>
        <c:ser>
          <c:idx val="0"/>
          <c:order val="0"/>
          <c:tx>
            <c:strRef>
              <c:f>'PIVOT TABLE &amp; CHARTS'!$N$5</c:f>
              <c:strCache>
                <c:ptCount val="1"/>
                <c:pt idx="0">
                  <c:v>Total</c:v>
                </c:pt>
              </c:strCache>
            </c:strRef>
          </c:tx>
          <c:spPr>
            <a:ln w="28575" cap="rnd">
              <a:solidFill>
                <a:schemeClr val="accent1"/>
              </a:solidFill>
              <a:round/>
            </a:ln>
            <a:effectLst/>
          </c:spPr>
          <c:marker>
            <c:symbol val="none"/>
          </c:marker>
          <c:cat>
            <c:strRef>
              <c:f>'PIVOT TABLE &amp; CHARTS'!$M$6:$M$29</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'PIVOT TABLE &amp; CHARTS'!$N$6:$N$29</c:f>
              <c:numCache>
                <c:formatCode>General</c:formatCode>
                <c:ptCount val="23"/>
                <c:pt idx="0">
                  <c:v>63</c:v>
                </c:pt>
                <c:pt idx="1">
                  <c:v>208</c:v>
                </c:pt>
                <c:pt idx="2">
                  <c:v>287</c:v>
                </c:pt>
                <c:pt idx="3">
                  <c:v>235</c:v>
                </c:pt>
                <c:pt idx="4">
                  <c:v>248</c:v>
                </c:pt>
                <c:pt idx="5">
                  <c:v>504</c:v>
                </c:pt>
                <c:pt idx="6">
                  <c:v>667</c:v>
                </c:pt>
                <c:pt idx="7">
                  <c:v>935</c:v>
                </c:pt>
                <c:pt idx="8">
                  <c:v>910</c:v>
                </c:pt>
                <c:pt idx="9">
                  <c:v>1044</c:v>
                </c:pt>
                <c:pt idx="10">
                  <c:v>1517</c:v>
                </c:pt>
                <c:pt idx="11">
                  <c:v>1020</c:v>
                </c:pt>
                <c:pt idx="12">
                  <c:v>957</c:v>
                </c:pt>
                <c:pt idx="13">
                  <c:v>762</c:v>
                </c:pt>
                <c:pt idx="14">
                  <c:v>1410</c:v>
                </c:pt>
                <c:pt idx="15">
                  <c:v>794</c:v>
                </c:pt>
                <c:pt idx="16">
                  <c:v>1759</c:v>
                </c:pt>
                <c:pt idx="17">
                  <c:v>611</c:v>
                </c:pt>
                <c:pt idx="18">
                  <c:v>210</c:v>
                </c:pt>
                <c:pt idx="19">
                  <c:v>750</c:v>
                </c:pt>
                <c:pt idx="20">
                  <c:v>519</c:v>
                </c:pt>
                <c:pt idx="21">
                  <c:v>194</c:v>
                </c:pt>
                <c:pt idx="22">
                  <c:v>265</c:v>
                </c:pt>
              </c:numCache>
            </c:numRef>
          </c:val>
          <c:smooth val="0"/>
          <c:extLst>
            <c:ext xmlns:c16="http://schemas.microsoft.com/office/drawing/2014/chart" uri="{C3380CC4-5D6E-409C-BE32-E72D297353CC}">
              <c16:uniqueId val="{00000000-D5B9-45DD-B952-1265602D2A9C}"/>
            </c:ext>
          </c:extLst>
        </c:ser>
        <c:dLbls>
          <c:showLegendKey val="0"/>
          <c:showVal val="0"/>
          <c:showCatName val="0"/>
          <c:showSerName val="0"/>
          <c:showPercent val="0"/>
          <c:showBubbleSize val="0"/>
        </c:dLbls>
        <c:smooth val="0"/>
        <c:axId val="1014292495"/>
        <c:axId val="1014295823"/>
      </c:lineChart>
      <c:catAx>
        <c:axId val="1014292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295823"/>
        <c:crosses val="autoZero"/>
        <c:auto val="1"/>
        <c:lblAlgn val="ctr"/>
        <c:lblOffset val="100"/>
        <c:noMultiLvlLbl val="0"/>
      </c:catAx>
      <c:valAx>
        <c:axId val="1014295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292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&amp; CHARTS!PivotTable1</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600" b="1" i="0" baseline="0">
                <a:solidFill>
                  <a:srgbClr val="002060"/>
                </a:solidFill>
                <a:effectLst/>
              </a:rPr>
              <a:t>Demand by Weather</a:t>
            </a:r>
            <a:endParaRPr lang="en-IN" sz="1600" b="1">
              <a:solidFill>
                <a:srgbClr val="002060"/>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layout>
        <c:manualLayout>
          <c:xMode val="edge"/>
          <c:yMode val="edge"/>
          <c:x val="2.180555555555554E-2"/>
          <c:y val="0.1424978127734033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 TABLE &amp; CHARTS'!$B$10</c:f>
              <c:strCache>
                <c:ptCount val="1"/>
                <c:pt idx="0">
                  <c:v>Total</c:v>
                </c:pt>
              </c:strCache>
            </c:strRef>
          </c:tx>
          <c:spPr>
            <a:solidFill>
              <a:schemeClr val="accent1"/>
            </a:solidFill>
            <a:ln>
              <a:noFill/>
            </a:ln>
            <a:effectLst/>
          </c:spPr>
          <c:invertIfNegative val="0"/>
          <c:cat>
            <c:strRef>
              <c:f>'PIVOT TABLE &amp; CHARTS'!$A$11:$A$14</c:f>
              <c:strCache>
                <c:ptCount val="3"/>
                <c:pt idx="0">
                  <c:v>1</c:v>
                </c:pt>
                <c:pt idx="1">
                  <c:v>2</c:v>
                </c:pt>
                <c:pt idx="2">
                  <c:v>3</c:v>
                </c:pt>
              </c:strCache>
            </c:strRef>
          </c:cat>
          <c:val>
            <c:numRef>
              <c:f>'PIVOT TABLE &amp; CHARTS'!$B$11:$B$14</c:f>
              <c:numCache>
                <c:formatCode>General</c:formatCode>
                <c:ptCount val="3"/>
                <c:pt idx="0">
                  <c:v>11309</c:v>
                </c:pt>
                <c:pt idx="1">
                  <c:v>3780</c:v>
                </c:pt>
                <c:pt idx="2">
                  <c:v>780</c:v>
                </c:pt>
              </c:numCache>
            </c:numRef>
          </c:val>
          <c:extLst>
            <c:ext xmlns:c16="http://schemas.microsoft.com/office/drawing/2014/chart" uri="{C3380CC4-5D6E-409C-BE32-E72D297353CC}">
              <c16:uniqueId val="{00000000-0A52-4ADC-A60B-6F4079EE76DF}"/>
            </c:ext>
          </c:extLst>
        </c:ser>
        <c:dLbls>
          <c:showLegendKey val="0"/>
          <c:showVal val="0"/>
          <c:showCatName val="0"/>
          <c:showSerName val="0"/>
          <c:showPercent val="0"/>
          <c:showBubbleSize val="0"/>
        </c:dLbls>
        <c:gapWidth val="219"/>
        <c:overlap val="-27"/>
        <c:axId val="863579519"/>
        <c:axId val="863579935"/>
      </c:barChart>
      <c:catAx>
        <c:axId val="863579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579935"/>
        <c:crosses val="autoZero"/>
        <c:auto val="1"/>
        <c:lblAlgn val="ctr"/>
        <c:lblOffset val="100"/>
        <c:noMultiLvlLbl val="0"/>
      </c:catAx>
      <c:valAx>
        <c:axId val="863579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579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&amp; CHARTS!PivotTable9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2060"/>
                </a:solidFill>
              </a:rPr>
              <a:t>Demand</a:t>
            </a:r>
            <a:r>
              <a:rPr lang="en-US" sz="1600" b="1" baseline="0">
                <a:solidFill>
                  <a:srgbClr val="002060"/>
                </a:solidFill>
              </a:rPr>
              <a:t> by Windspeed</a:t>
            </a:r>
            <a:endParaRPr lang="en-US" sz="1600" b="1">
              <a:solidFill>
                <a:srgbClr val="002060"/>
              </a:solidFill>
            </a:endParaRPr>
          </a:p>
        </c:rich>
      </c:tx>
      <c:layout>
        <c:manualLayout>
          <c:xMode val="edge"/>
          <c:yMode val="edge"/>
          <c:x val="2.667754823228307E-2"/>
          <c:y val="0.1281047186495239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marker>
          <c:symbol val="none"/>
        </c:marke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marker>
          <c:symbol val="none"/>
        </c:marke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26328484981044037"/>
          <c:w val="0.75138888888888888"/>
          <c:h val="0.68578922426363376"/>
        </c:manualLayout>
      </c:layout>
      <c:pie3DChart>
        <c:varyColors val="1"/>
        <c:ser>
          <c:idx val="0"/>
          <c:order val="0"/>
          <c:tx>
            <c:strRef>
              <c:f>'PIVOT TABLE &amp; CHARTS'!$N$38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95C-4127-9FDB-C9328DB8238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95C-4127-9FDB-C9328DB8238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95C-4127-9FDB-C9328DB8238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95C-4127-9FDB-C9328DB8238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95C-4127-9FDB-C9328DB8238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595C-4127-9FDB-C9328DB82385}"/>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595C-4127-9FDB-C9328DB82385}"/>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595C-4127-9FDB-C9328DB82385}"/>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595C-4127-9FDB-C9328DB82385}"/>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595C-4127-9FDB-C9328DB82385}"/>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595C-4127-9FDB-C9328DB82385}"/>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595C-4127-9FDB-C9328DB82385}"/>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595C-4127-9FDB-C9328DB82385}"/>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595C-4127-9FDB-C9328DB82385}"/>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595C-4127-9FDB-C9328DB82385}"/>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595C-4127-9FDB-C9328DB82385}"/>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595C-4127-9FDB-C9328DB82385}"/>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595C-4127-9FDB-C9328DB82385}"/>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595C-4127-9FDB-C9328DB82385}"/>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595C-4127-9FDB-C9328DB82385}"/>
              </c:ext>
            </c:extLst>
          </c:dPt>
          <c:cat>
            <c:strRef>
              <c:f>'PIVOT TABLE &amp; CHARTS'!$M$39:$M$58</c:f>
              <c:strCache>
                <c:ptCount val="19"/>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strCache>
            </c:strRef>
          </c:cat>
          <c:val>
            <c:numRef>
              <c:f>'PIVOT TABLE &amp; CHARTS'!$N$39:$N$58</c:f>
              <c:numCache>
                <c:formatCode>General</c:formatCode>
                <c:ptCount val="19"/>
                <c:pt idx="0">
                  <c:v>1904</c:v>
                </c:pt>
                <c:pt idx="1">
                  <c:v>927</c:v>
                </c:pt>
                <c:pt idx="2">
                  <c:v>931</c:v>
                </c:pt>
                <c:pt idx="3">
                  <c:v>958</c:v>
                </c:pt>
                <c:pt idx="4">
                  <c:v>1245</c:v>
                </c:pt>
                <c:pt idx="5">
                  <c:v>989</c:v>
                </c:pt>
                <c:pt idx="6">
                  <c:v>696</c:v>
                </c:pt>
                <c:pt idx="7">
                  <c:v>1645</c:v>
                </c:pt>
                <c:pt idx="8">
                  <c:v>1124</c:v>
                </c:pt>
                <c:pt idx="9">
                  <c:v>1045</c:v>
                </c:pt>
                <c:pt idx="10">
                  <c:v>976</c:v>
                </c:pt>
                <c:pt idx="11">
                  <c:v>719</c:v>
                </c:pt>
                <c:pt idx="12">
                  <c:v>444</c:v>
                </c:pt>
                <c:pt idx="13">
                  <c:v>683</c:v>
                </c:pt>
                <c:pt idx="14">
                  <c:v>731</c:v>
                </c:pt>
                <c:pt idx="15">
                  <c:v>483</c:v>
                </c:pt>
                <c:pt idx="16">
                  <c:v>95</c:v>
                </c:pt>
                <c:pt idx="17">
                  <c:v>205</c:v>
                </c:pt>
                <c:pt idx="18">
                  <c:v>69</c:v>
                </c:pt>
              </c:numCache>
            </c:numRef>
          </c:val>
          <c:extLst>
            <c:ext xmlns:c16="http://schemas.microsoft.com/office/drawing/2014/chart" uri="{C3380CC4-5D6E-409C-BE32-E72D297353CC}">
              <c16:uniqueId val="{00000028-595C-4127-9FDB-C9328DB82385}"/>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81527777777777788"/>
          <c:y val="0.2944772528433946"/>
          <c:w val="0.1344792243656053"/>
          <c:h val="0.668931104000698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&amp; CHARTS!PivotTable2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Demand by Hour</a:t>
            </a:r>
          </a:p>
        </c:rich>
      </c:tx>
      <c:layout>
        <c:manualLayout>
          <c:xMode val="edge"/>
          <c:yMode val="edge"/>
          <c:x val="3.2836144100771958E-2"/>
          <c:y val="0.1189419984473771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0858092738407699"/>
          <c:y val="0.26164498839112121"/>
          <c:w val="0.74845603674540684"/>
          <c:h val="0.53774387576552929"/>
        </c:manualLayout>
      </c:layout>
      <c:areaChart>
        <c:grouping val="standard"/>
        <c:varyColors val="0"/>
        <c:ser>
          <c:idx val="0"/>
          <c:order val="0"/>
          <c:tx>
            <c:strRef>
              <c:f>'PIVOT TABLE &amp; CHARTS'!$B$26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'PIVOT TABLE &amp; CHARTS'!$A$27:$A$35</c:f>
              <c:strCache>
                <c:ptCount val="8"/>
                <c:pt idx="0">
                  <c:v>0-2</c:v>
                </c:pt>
                <c:pt idx="1">
                  <c:v>3-5</c:v>
                </c:pt>
                <c:pt idx="2">
                  <c:v>6-8</c:v>
                </c:pt>
                <c:pt idx="3">
                  <c:v>9-11</c:v>
                </c:pt>
                <c:pt idx="4">
                  <c:v>12-14</c:v>
                </c:pt>
                <c:pt idx="5">
                  <c:v>15-17</c:v>
                </c:pt>
                <c:pt idx="6">
                  <c:v>18-20</c:v>
                </c:pt>
                <c:pt idx="7">
                  <c:v>21-23</c:v>
                </c:pt>
              </c:strCache>
            </c:strRef>
          </c:cat>
          <c:val>
            <c:numRef>
              <c:f>'PIVOT TABLE &amp; CHARTS'!$B$27:$B$35</c:f>
              <c:numCache>
                <c:formatCode>General</c:formatCode>
                <c:ptCount val="8"/>
                <c:pt idx="0">
                  <c:v>928</c:v>
                </c:pt>
                <c:pt idx="1">
                  <c:v>189</c:v>
                </c:pt>
                <c:pt idx="2">
                  <c:v>353</c:v>
                </c:pt>
                <c:pt idx="3">
                  <c:v>2389</c:v>
                </c:pt>
                <c:pt idx="4">
                  <c:v>4282</c:v>
                </c:pt>
                <c:pt idx="5">
                  <c:v>4220</c:v>
                </c:pt>
                <c:pt idx="6">
                  <c:v>2160</c:v>
                </c:pt>
                <c:pt idx="7">
                  <c:v>1348</c:v>
                </c:pt>
              </c:numCache>
            </c:numRef>
          </c:val>
          <c:extLst>
            <c:ext xmlns:c16="http://schemas.microsoft.com/office/drawing/2014/chart" uri="{C3380CC4-5D6E-409C-BE32-E72D297353CC}">
              <c16:uniqueId val="{00000000-5036-4A66-9D7F-DA40E9FE9026}"/>
            </c:ext>
          </c:extLst>
        </c:ser>
        <c:dLbls>
          <c:showLegendKey val="0"/>
          <c:showVal val="0"/>
          <c:showCatName val="0"/>
          <c:showSerName val="0"/>
          <c:showPercent val="0"/>
          <c:showBubbleSize val="0"/>
        </c:dLbls>
        <c:axId val="863577855"/>
        <c:axId val="863589919"/>
      </c:areaChart>
      <c:catAx>
        <c:axId val="86357785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3589919"/>
        <c:crosses val="autoZero"/>
        <c:auto val="1"/>
        <c:lblAlgn val="ctr"/>
        <c:lblOffset val="100"/>
        <c:noMultiLvlLbl val="0"/>
      </c:catAx>
      <c:valAx>
        <c:axId val="8635899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3577855"/>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&amp; CHARTS!PivotTable1</c:name>
    <c:fmtId val="1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Demand by Weather</a:t>
            </a:r>
          </a:p>
          <a:p>
            <a:pPr>
              <a:defRPr/>
            </a:pPr>
            <a:endParaRPr lang="en-IN"/>
          </a:p>
        </c:rich>
      </c:tx>
      <c:layout>
        <c:manualLayout>
          <c:xMode val="edge"/>
          <c:yMode val="edge"/>
          <c:x val="2.4084576496623128E-2"/>
          <c:y val="0.1224877780389779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 &amp; CHARTS'!$B$10</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 TABLE &amp; CHARTS'!$A$11:$A$14</c:f>
              <c:strCache>
                <c:ptCount val="3"/>
                <c:pt idx="0">
                  <c:v>1</c:v>
                </c:pt>
                <c:pt idx="1">
                  <c:v>2</c:v>
                </c:pt>
                <c:pt idx="2">
                  <c:v>3</c:v>
                </c:pt>
              </c:strCache>
            </c:strRef>
          </c:cat>
          <c:val>
            <c:numRef>
              <c:f>'PIVOT TABLE &amp; CHARTS'!$B$11:$B$14</c:f>
              <c:numCache>
                <c:formatCode>General</c:formatCode>
                <c:ptCount val="3"/>
                <c:pt idx="0">
                  <c:v>11309</c:v>
                </c:pt>
                <c:pt idx="1">
                  <c:v>3780</c:v>
                </c:pt>
                <c:pt idx="2">
                  <c:v>780</c:v>
                </c:pt>
              </c:numCache>
            </c:numRef>
          </c:val>
          <c:extLst>
            <c:ext xmlns:c16="http://schemas.microsoft.com/office/drawing/2014/chart" uri="{C3380CC4-5D6E-409C-BE32-E72D297353CC}">
              <c16:uniqueId val="{00000000-8400-420F-AA07-2D829A504624}"/>
            </c:ext>
          </c:extLst>
        </c:ser>
        <c:dLbls>
          <c:dLblPos val="inEnd"/>
          <c:showLegendKey val="0"/>
          <c:showVal val="1"/>
          <c:showCatName val="0"/>
          <c:showSerName val="0"/>
          <c:showPercent val="0"/>
          <c:showBubbleSize val="0"/>
        </c:dLbls>
        <c:gapWidth val="41"/>
        <c:axId val="863579519"/>
        <c:axId val="863579935"/>
      </c:barChart>
      <c:catAx>
        <c:axId val="8635795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863579935"/>
        <c:crosses val="autoZero"/>
        <c:auto val="1"/>
        <c:lblAlgn val="ctr"/>
        <c:lblOffset val="100"/>
        <c:noMultiLvlLbl val="0"/>
      </c:catAx>
      <c:valAx>
        <c:axId val="863579935"/>
        <c:scaling>
          <c:orientation val="minMax"/>
        </c:scaling>
        <c:delete val="1"/>
        <c:axPos val="l"/>
        <c:numFmt formatCode="General" sourceLinked="1"/>
        <c:majorTickMark val="none"/>
        <c:minorTickMark val="none"/>
        <c:tickLblPos val="nextTo"/>
        <c:crossAx val="86357951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&amp; CHARTS!PivotTable5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rgbClr val="002060"/>
                </a:solidFill>
                <a:effectLst/>
              </a:rPr>
              <a:t>Demand by Temperature</a:t>
            </a:r>
            <a:endParaRPr lang="en-US" sz="1600">
              <a:solidFill>
                <a:srgbClr val="002060"/>
              </a:solidFill>
            </a:endParaRPr>
          </a:p>
        </c:rich>
      </c:tx>
      <c:layout>
        <c:manualLayout>
          <c:xMode val="edge"/>
          <c:yMode val="edge"/>
          <c:x val="2.5975361240828686E-2"/>
          <c:y val="0.1125299220295410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2">
                <a:lumMod val="75000"/>
              </a:schemeClr>
            </a:solidFill>
            <a:round/>
          </a:ln>
          <a:effectLst/>
        </c:spPr>
        <c:marker>
          <c:symbol val="none"/>
        </c:marker>
      </c:pivotFmt>
      <c:pivotFmt>
        <c:idx val="4"/>
        <c:spPr>
          <a:ln w="28575" cap="rnd">
            <a:solidFill>
              <a:schemeClr val="accent2">
                <a:lumMod val="75000"/>
              </a:schemeClr>
            </a:solidFill>
            <a:round/>
          </a:ln>
          <a:effectLst/>
        </c:spPr>
        <c:marker>
          <c:symbol val="none"/>
        </c:marker>
      </c:pivotFmt>
    </c:pivotFmts>
    <c:plotArea>
      <c:layout>
        <c:manualLayout>
          <c:layoutTarget val="inner"/>
          <c:xMode val="edge"/>
          <c:yMode val="edge"/>
          <c:x val="8.9136482939632541E-2"/>
          <c:y val="0.24939596092155147"/>
          <c:w val="0.72191863517060373"/>
          <c:h val="0.51475794692330124"/>
        </c:manualLayout>
      </c:layout>
      <c:lineChart>
        <c:grouping val="standard"/>
        <c:varyColors val="0"/>
        <c:ser>
          <c:idx val="0"/>
          <c:order val="0"/>
          <c:tx>
            <c:strRef>
              <c:f>'PIVOT TABLE &amp; CHARTS'!$N$5</c:f>
              <c:strCache>
                <c:ptCount val="1"/>
                <c:pt idx="0">
                  <c:v>Total</c:v>
                </c:pt>
              </c:strCache>
            </c:strRef>
          </c:tx>
          <c:spPr>
            <a:ln w="28575" cap="rnd">
              <a:solidFill>
                <a:schemeClr val="accent2">
                  <a:lumMod val="75000"/>
                </a:schemeClr>
              </a:solidFill>
              <a:round/>
            </a:ln>
            <a:effectLst/>
          </c:spPr>
          <c:marker>
            <c:symbol val="none"/>
          </c:marker>
          <c:cat>
            <c:strRef>
              <c:f>'PIVOT TABLE &amp; CHARTS'!$M$6:$M$29</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'PIVOT TABLE &amp; CHARTS'!$N$6:$N$29</c:f>
              <c:numCache>
                <c:formatCode>General</c:formatCode>
                <c:ptCount val="23"/>
                <c:pt idx="0">
                  <c:v>63</c:v>
                </c:pt>
                <c:pt idx="1">
                  <c:v>208</c:v>
                </c:pt>
                <c:pt idx="2">
                  <c:v>287</c:v>
                </c:pt>
                <c:pt idx="3">
                  <c:v>235</c:v>
                </c:pt>
                <c:pt idx="4">
                  <c:v>248</c:v>
                </c:pt>
                <c:pt idx="5">
                  <c:v>504</c:v>
                </c:pt>
                <c:pt idx="6">
                  <c:v>667</c:v>
                </c:pt>
                <c:pt idx="7">
                  <c:v>935</c:v>
                </c:pt>
                <c:pt idx="8">
                  <c:v>910</c:v>
                </c:pt>
                <c:pt idx="9">
                  <c:v>1044</c:v>
                </c:pt>
                <c:pt idx="10">
                  <c:v>1517</c:v>
                </c:pt>
                <c:pt idx="11">
                  <c:v>1020</c:v>
                </c:pt>
                <c:pt idx="12">
                  <c:v>957</c:v>
                </c:pt>
                <c:pt idx="13">
                  <c:v>762</c:v>
                </c:pt>
                <c:pt idx="14">
                  <c:v>1410</c:v>
                </c:pt>
                <c:pt idx="15">
                  <c:v>794</c:v>
                </c:pt>
                <c:pt idx="16">
                  <c:v>1759</c:v>
                </c:pt>
                <c:pt idx="17">
                  <c:v>611</c:v>
                </c:pt>
                <c:pt idx="18">
                  <c:v>210</c:v>
                </c:pt>
                <c:pt idx="19">
                  <c:v>750</c:v>
                </c:pt>
                <c:pt idx="20">
                  <c:v>519</c:v>
                </c:pt>
                <c:pt idx="21">
                  <c:v>194</c:v>
                </c:pt>
                <c:pt idx="22">
                  <c:v>265</c:v>
                </c:pt>
              </c:numCache>
            </c:numRef>
          </c:val>
          <c:smooth val="0"/>
          <c:extLst>
            <c:ext xmlns:c16="http://schemas.microsoft.com/office/drawing/2014/chart" uri="{C3380CC4-5D6E-409C-BE32-E72D297353CC}">
              <c16:uniqueId val="{00000000-C234-46AB-B810-64A5F4873B64}"/>
            </c:ext>
          </c:extLst>
        </c:ser>
        <c:dLbls>
          <c:showLegendKey val="0"/>
          <c:showVal val="0"/>
          <c:showCatName val="0"/>
          <c:showSerName val="0"/>
          <c:showPercent val="0"/>
          <c:showBubbleSize val="0"/>
        </c:dLbls>
        <c:smooth val="0"/>
        <c:axId val="1014292495"/>
        <c:axId val="1014295823"/>
      </c:lineChart>
      <c:catAx>
        <c:axId val="1014292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295823"/>
        <c:crosses val="autoZero"/>
        <c:auto val="1"/>
        <c:lblAlgn val="ctr"/>
        <c:lblOffset val="100"/>
        <c:noMultiLvlLbl val="0"/>
      </c:catAx>
      <c:valAx>
        <c:axId val="1014295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29249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&amp; CHARTS!PivotTable9</c:name>
    <c:fmtId val="6"/>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Demand by Windspeed</a:t>
            </a:r>
          </a:p>
        </c:rich>
      </c:tx>
      <c:layout>
        <c:manualLayout>
          <c:xMode val="edge"/>
          <c:yMode val="edge"/>
          <c:x val="2.667754823228307E-2"/>
          <c:y val="0.12810471864952397"/>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ext>
          </c:extLst>
        </c:dLbl>
      </c:pivotFmt>
      <c:pivotFmt>
        <c:idx val="5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ext>
          </c:extLst>
        </c:dLbl>
      </c:pivotFmt>
      <c:pivotFmt>
        <c:idx val="5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ext>
          </c:extLst>
        </c:dLbl>
      </c:pivotFmt>
      <c:pivotFmt>
        <c:idx val="5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ext>
          </c:extLst>
        </c:dLbl>
      </c:pivotFmt>
      <c:pivotFmt>
        <c:idx val="6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ext>
          </c:extLst>
        </c:dLbl>
      </c:pivotFmt>
      <c:pivotFmt>
        <c:idx val="6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ext>
          </c:extLst>
        </c:dLbl>
      </c:pivotFmt>
      <c:pivotFmt>
        <c:idx val="6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ext>
          </c:extLst>
        </c:dLbl>
      </c:pivotFmt>
      <c:pivotFmt>
        <c:idx val="6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ext>
          </c:extLst>
        </c:dLbl>
      </c:pivotFmt>
      <c:pivotFmt>
        <c:idx val="6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ext>
          </c:extLst>
        </c:dLbl>
      </c:pivotFmt>
      <c:pivotFmt>
        <c:idx val="6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ext>
          </c:extLst>
        </c:dLbl>
      </c:pivotFmt>
      <c:pivotFmt>
        <c:idx val="6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ext>
          </c:extLst>
        </c:dLbl>
      </c:pivotFmt>
      <c:pivotFmt>
        <c:idx val="6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ext>
          </c:extLst>
        </c:dLbl>
      </c:pivotFmt>
      <c:pivotFmt>
        <c:idx val="6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ext>
          </c:extLst>
        </c:dLbl>
      </c:pivotFmt>
      <c:pivotFmt>
        <c:idx val="6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ext>
          </c:extLst>
        </c:dLbl>
      </c:pivotFmt>
      <c:pivotFmt>
        <c:idx val="7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ext>
          </c:extLst>
        </c:dLbl>
      </c:pivotFmt>
      <c:pivotFmt>
        <c:idx val="7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ext>
          </c:extLst>
        </c:dLbl>
      </c:pivotFmt>
      <c:pivotFmt>
        <c:idx val="7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ext>
          </c:extLst>
        </c:dLbl>
      </c:pivotFmt>
      <c:pivotFmt>
        <c:idx val="7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ext>
          </c:extLst>
        </c:dLbl>
      </c:pivotFmt>
      <c:pivotFmt>
        <c:idx val="7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26328484981044037"/>
          <c:w val="0.75138888888888888"/>
          <c:h val="0.68578922426363376"/>
        </c:manualLayout>
      </c:layout>
      <c:pie3DChart>
        <c:varyColors val="1"/>
        <c:ser>
          <c:idx val="0"/>
          <c:order val="0"/>
          <c:tx>
            <c:strRef>
              <c:f>'PIVOT TABLE &amp; CHARTS'!$N$38</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3DD8-49E9-A382-D5C20AE438E1}"/>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3DD8-49E9-A382-D5C20AE438E1}"/>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3DD8-49E9-A382-D5C20AE438E1}"/>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3DD8-49E9-A382-D5C20AE438E1}"/>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3DD8-49E9-A382-D5C20AE438E1}"/>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3DD8-49E9-A382-D5C20AE438E1}"/>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3DD8-49E9-A382-D5C20AE438E1}"/>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3DD8-49E9-A382-D5C20AE438E1}"/>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3DD8-49E9-A382-D5C20AE438E1}"/>
              </c:ext>
            </c:extLst>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3-3DD8-49E9-A382-D5C20AE438E1}"/>
              </c:ext>
            </c:extLst>
          </c:dPt>
          <c:dPt>
            <c:idx val="10"/>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5-3DD8-49E9-A382-D5C20AE438E1}"/>
              </c:ext>
            </c:extLst>
          </c:dPt>
          <c:dPt>
            <c:idx val="11"/>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7-3DD8-49E9-A382-D5C20AE438E1}"/>
              </c:ext>
            </c:extLst>
          </c:dPt>
          <c:dPt>
            <c:idx val="12"/>
            <c:bubble3D val="0"/>
            <c:spPr>
              <a:solidFill>
                <a:schemeClr val="accent1">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9-3DD8-49E9-A382-D5C20AE438E1}"/>
              </c:ext>
            </c:extLst>
          </c:dPt>
          <c:dPt>
            <c:idx val="13"/>
            <c:bubble3D val="0"/>
            <c:spPr>
              <a:solidFill>
                <a:schemeClr val="accent2">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B-3DD8-49E9-A382-D5C20AE438E1}"/>
              </c:ext>
            </c:extLst>
          </c:dPt>
          <c:dPt>
            <c:idx val="14"/>
            <c:bubble3D val="0"/>
            <c:spPr>
              <a:solidFill>
                <a:schemeClr val="accent3">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D-3DD8-49E9-A382-D5C20AE438E1}"/>
              </c:ext>
            </c:extLst>
          </c:dPt>
          <c:dPt>
            <c:idx val="15"/>
            <c:bubble3D val="0"/>
            <c:spPr>
              <a:solidFill>
                <a:schemeClr val="accent4">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F-3DD8-49E9-A382-D5C20AE438E1}"/>
              </c:ext>
            </c:extLst>
          </c:dPt>
          <c:dPt>
            <c:idx val="16"/>
            <c:bubble3D val="0"/>
            <c:spPr>
              <a:solidFill>
                <a:schemeClr val="accent5">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1-3DD8-49E9-A382-D5C20AE438E1}"/>
              </c:ext>
            </c:extLst>
          </c:dPt>
          <c:dPt>
            <c:idx val="17"/>
            <c:bubble3D val="0"/>
            <c:spPr>
              <a:solidFill>
                <a:schemeClr val="accent6">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3-3DD8-49E9-A382-D5C20AE438E1}"/>
              </c:ext>
            </c:extLst>
          </c:dPt>
          <c:dPt>
            <c:idx val="18"/>
            <c:bubble3D val="0"/>
            <c:spPr>
              <a:solidFill>
                <a:schemeClr val="accent1">
                  <a:lumMod val="8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5-3DD8-49E9-A382-D5C20AE438E1}"/>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3DD8-49E9-A382-D5C20AE438E1}"/>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3DD8-49E9-A382-D5C20AE438E1}"/>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5-3DD8-49E9-A382-D5C20AE438E1}"/>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7-3DD8-49E9-A382-D5C20AE438E1}"/>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9-3DD8-49E9-A382-D5C20AE438E1}"/>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B-3DD8-49E9-A382-D5C20AE438E1}"/>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D-3DD8-49E9-A382-D5C20AE438E1}"/>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F-3DD8-49E9-A382-D5C20AE438E1}"/>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1-3DD8-49E9-A382-D5C20AE438E1}"/>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3-3DD8-49E9-A382-D5C20AE438E1}"/>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5-3DD8-49E9-A382-D5C20AE438E1}"/>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7-3DD8-49E9-A382-D5C20AE438E1}"/>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9-3DD8-49E9-A382-D5C20AE438E1}"/>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B-3DD8-49E9-A382-D5C20AE438E1}"/>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D-3DD8-49E9-A382-D5C20AE438E1}"/>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F-3DD8-49E9-A382-D5C20AE438E1}"/>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1-3DD8-49E9-A382-D5C20AE438E1}"/>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3-3DD8-49E9-A382-D5C20AE438E1}"/>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5-3DD8-49E9-A382-D5C20AE438E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&amp; CHARTS'!$M$39:$M$58</c:f>
              <c:strCache>
                <c:ptCount val="19"/>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strCache>
            </c:strRef>
          </c:cat>
          <c:val>
            <c:numRef>
              <c:f>'PIVOT TABLE &amp; CHARTS'!$N$39:$N$58</c:f>
              <c:numCache>
                <c:formatCode>General</c:formatCode>
                <c:ptCount val="19"/>
                <c:pt idx="0">
                  <c:v>1904</c:v>
                </c:pt>
                <c:pt idx="1">
                  <c:v>927</c:v>
                </c:pt>
                <c:pt idx="2">
                  <c:v>931</c:v>
                </c:pt>
                <c:pt idx="3">
                  <c:v>958</c:v>
                </c:pt>
                <c:pt idx="4">
                  <c:v>1245</c:v>
                </c:pt>
                <c:pt idx="5">
                  <c:v>989</c:v>
                </c:pt>
                <c:pt idx="6">
                  <c:v>696</c:v>
                </c:pt>
                <c:pt idx="7">
                  <c:v>1645</c:v>
                </c:pt>
                <c:pt idx="8">
                  <c:v>1124</c:v>
                </c:pt>
                <c:pt idx="9">
                  <c:v>1045</c:v>
                </c:pt>
                <c:pt idx="10">
                  <c:v>976</c:v>
                </c:pt>
                <c:pt idx="11">
                  <c:v>719</c:v>
                </c:pt>
                <c:pt idx="12">
                  <c:v>444</c:v>
                </c:pt>
                <c:pt idx="13">
                  <c:v>683</c:v>
                </c:pt>
                <c:pt idx="14">
                  <c:v>731</c:v>
                </c:pt>
                <c:pt idx="15">
                  <c:v>483</c:v>
                </c:pt>
                <c:pt idx="16">
                  <c:v>95</c:v>
                </c:pt>
                <c:pt idx="17">
                  <c:v>205</c:v>
                </c:pt>
                <c:pt idx="18">
                  <c:v>69</c:v>
                </c:pt>
              </c:numCache>
            </c:numRef>
          </c:val>
          <c:extLst>
            <c:ext xmlns:c16="http://schemas.microsoft.com/office/drawing/2014/chart" uri="{C3380CC4-5D6E-409C-BE32-E72D297353CC}">
              <c16:uniqueId val="{00000026-3DD8-49E9-A382-D5C20AE438E1}"/>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&amp; CHARTS!PivotTable8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2060"/>
                </a:solidFill>
              </a:rPr>
              <a:t>Demand</a:t>
            </a:r>
            <a:r>
              <a:rPr lang="en-US" sz="1600" b="1" baseline="0">
                <a:solidFill>
                  <a:srgbClr val="002060"/>
                </a:solidFill>
              </a:rPr>
              <a:t> by Assumed_Temp</a:t>
            </a:r>
            <a:endParaRPr lang="en-US" sz="1600" b="1">
              <a:solidFill>
                <a:srgbClr val="002060"/>
              </a:solidFill>
            </a:endParaRPr>
          </a:p>
        </c:rich>
      </c:tx>
      <c:layout>
        <c:manualLayout>
          <c:xMode val="edge"/>
          <c:yMode val="edge"/>
          <c:x val="2.2860781524610543E-2"/>
          <c:y val="9.05778284864474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rgbClr val="CC66FF"/>
            </a:solidFill>
            <a:round/>
          </a:ln>
          <a:effectLst/>
        </c:spPr>
        <c:marker>
          <c:symbol val="circle"/>
          <c:size val="5"/>
          <c:spPr>
            <a:solidFill>
              <a:schemeClr val="accent1"/>
            </a:solidFill>
            <a:ln w="9525">
              <a:solidFill>
                <a:srgbClr val="CC66FF"/>
              </a:solidFill>
            </a:ln>
            <a:effectLst/>
          </c:spPr>
        </c:marker>
      </c:pivotFmt>
      <c:pivotFmt>
        <c:idx val="4"/>
        <c:spPr>
          <a:ln w="28575" cap="rnd">
            <a:solidFill>
              <a:srgbClr val="CC66FF"/>
            </a:solidFill>
            <a:round/>
          </a:ln>
          <a:effectLst/>
        </c:spPr>
        <c:marker>
          <c:symbol val="circle"/>
          <c:size val="5"/>
          <c:spPr>
            <a:solidFill>
              <a:schemeClr val="accent1"/>
            </a:solidFill>
            <a:ln w="9525">
              <a:solidFill>
                <a:srgbClr val="CC66FF"/>
              </a:solidFill>
            </a:ln>
            <a:effectLst/>
          </c:spPr>
        </c:marker>
      </c:pivotFmt>
    </c:pivotFmts>
    <c:plotArea>
      <c:layout/>
      <c:lineChart>
        <c:grouping val="standard"/>
        <c:varyColors val="0"/>
        <c:ser>
          <c:idx val="0"/>
          <c:order val="0"/>
          <c:tx>
            <c:strRef>
              <c:f>'PIVOT TABLE &amp; CHARTS'!$AB$58</c:f>
              <c:strCache>
                <c:ptCount val="1"/>
                <c:pt idx="0">
                  <c:v>Total</c:v>
                </c:pt>
              </c:strCache>
            </c:strRef>
          </c:tx>
          <c:spPr>
            <a:ln w="28575" cap="rnd">
              <a:solidFill>
                <a:srgbClr val="CC66FF"/>
              </a:solidFill>
              <a:round/>
            </a:ln>
            <a:effectLst/>
          </c:spPr>
          <c:marker>
            <c:symbol val="circle"/>
            <c:size val="5"/>
            <c:spPr>
              <a:solidFill>
                <a:schemeClr val="accent1"/>
              </a:solidFill>
              <a:ln w="9525">
                <a:solidFill>
                  <a:srgbClr val="CC66FF"/>
                </a:solidFill>
              </a:ln>
              <a:effectLst/>
            </c:spPr>
          </c:marker>
          <c:cat>
            <c:strRef>
              <c:f>'PIVOT TABLE &amp; CHARTS'!$AA$59:$AA$89</c:f>
              <c:strCache>
                <c:ptCount val="30"/>
                <c:pt idx="0">
                  <c:v>0</c:v>
                </c:pt>
                <c:pt idx="1">
                  <c:v>0.0152</c:v>
                </c:pt>
                <c:pt idx="2">
                  <c:v>0.0303</c:v>
                </c:pt>
                <c:pt idx="3">
                  <c:v>0.0606</c:v>
                </c:pt>
                <c:pt idx="4">
                  <c:v>0.0758</c:v>
                </c:pt>
                <c:pt idx="5">
                  <c:v>0.0909</c:v>
                </c:pt>
                <c:pt idx="6">
                  <c:v>0.1061</c:v>
                </c:pt>
                <c:pt idx="7">
                  <c:v>0.1212</c:v>
                </c:pt>
                <c:pt idx="8">
                  <c:v>0.1364</c:v>
                </c:pt>
                <c:pt idx="9">
                  <c:v>0.1515</c:v>
                </c:pt>
                <c:pt idx="10">
                  <c:v>0.1667</c:v>
                </c:pt>
                <c:pt idx="11">
                  <c:v>0.1818</c:v>
                </c:pt>
                <c:pt idx="12">
                  <c:v>0.197</c:v>
                </c:pt>
                <c:pt idx="13">
                  <c:v>0.2121</c:v>
                </c:pt>
                <c:pt idx="14">
                  <c:v>0.2273</c:v>
                </c:pt>
                <c:pt idx="15">
                  <c:v>0.2424</c:v>
                </c:pt>
                <c:pt idx="16">
                  <c:v>0.2576</c:v>
                </c:pt>
                <c:pt idx="17">
                  <c:v>0.2727</c:v>
                </c:pt>
                <c:pt idx="18">
                  <c:v>0.2879</c:v>
                </c:pt>
                <c:pt idx="19">
                  <c:v>0.303</c:v>
                </c:pt>
                <c:pt idx="20">
                  <c:v>0.3182</c:v>
                </c:pt>
                <c:pt idx="21">
                  <c:v>0.3333</c:v>
                </c:pt>
                <c:pt idx="22">
                  <c:v>0.3485</c:v>
                </c:pt>
                <c:pt idx="23">
                  <c:v>0.3636</c:v>
                </c:pt>
                <c:pt idx="24">
                  <c:v>0.3939</c:v>
                </c:pt>
                <c:pt idx="25">
                  <c:v>0.4091</c:v>
                </c:pt>
                <c:pt idx="26">
                  <c:v>0.4242</c:v>
                </c:pt>
                <c:pt idx="27">
                  <c:v>0.4394</c:v>
                </c:pt>
                <c:pt idx="28">
                  <c:v>0.4545</c:v>
                </c:pt>
                <c:pt idx="29">
                  <c:v>(blank)</c:v>
                </c:pt>
              </c:strCache>
            </c:strRef>
          </c:cat>
          <c:val>
            <c:numRef>
              <c:f>'PIVOT TABLE &amp; CHARTS'!$AB$59:$AB$89</c:f>
              <c:numCache>
                <c:formatCode>General</c:formatCode>
                <c:ptCount val="30"/>
                <c:pt idx="0">
                  <c:v>39</c:v>
                </c:pt>
                <c:pt idx="1">
                  <c:v>11</c:v>
                </c:pt>
                <c:pt idx="2">
                  <c:v>73</c:v>
                </c:pt>
                <c:pt idx="3">
                  <c:v>142</c:v>
                </c:pt>
                <c:pt idx="4">
                  <c:v>275</c:v>
                </c:pt>
                <c:pt idx="5">
                  <c:v>101</c:v>
                </c:pt>
                <c:pt idx="6">
                  <c:v>570</c:v>
                </c:pt>
                <c:pt idx="7">
                  <c:v>499</c:v>
                </c:pt>
                <c:pt idx="8">
                  <c:v>765</c:v>
                </c:pt>
                <c:pt idx="9">
                  <c:v>259</c:v>
                </c:pt>
                <c:pt idx="10">
                  <c:v>435</c:v>
                </c:pt>
                <c:pt idx="11">
                  <c:v>497</c:v>
                </c:pt>
                <c:pt idx="12">
                  <c:v>861</c:v>
                </c:pt>
                <c:pt idx="13">
                  <c:v>1137</c:v>
                </c:pt>
                <c:pt idx="14">
                  <c:v>1348</c:v>
                </c:pt>
                <c:pt idx="15">
                  <c:v>616</c:v>
                </c:pt>
                <c:pt idx="16">
                  <c:v>565</c:v>
                </c:pt>
                <c:pt idx="17">
                  <c:v>973</c:v>
                </c:pt>
                <c:pt idx="18">
                  <c:v>1116</c:v>
                </c:pt>
                <c:pt idx="19">
                  <c:v>1070</c:v>
                </c:pt>
                <c:pt idx="20">
                  <c:v>524</c:v>
                </c:pt>
                <c:pt idx="21">
                  <c:v>1021</c:v>
                </c:pt>
                <c:pt idx="22">
                  <c:v>642</c:v>
                </c:pt>
                <c:pt idx="23">
                  <c:v>303</c:v>
                </c:pt>
                <c:pt idx="24">
                  <c:v>190</c:v>
                </c:pt>
                <c:pt idx="25">
                  <c:v>750</c:v>
                </c:pt>
                <c:pt idx="26">
                  <c:v>519</c:v>
                </c:pt>
                <c:pt idx="27">
                  <c:v>127</c:v>
                </c:pt>
                <c:pt idx="28">
                  <c:v>223</c:v>
                </c:pt>
                <c:pt idx="29">
                  <c:v>218</c:v>
                </c:pt>
              </c:numCache>
            </c:numRef>
          </c:val>
          <c:smooth val="0"/>
          <c:extLst>
            <c:ext xmlns:c16="http://schemas.microsoft.com/office/drawing/2014/chart" uri="{C3380CC4-5D6E-409C-BE32-E72D297353CC}">
              <c16:uniqueId val="{00000000-D103-45C3-93E3-EA99B2DE6F34}"/>
            </c:ext>
          </c:extLst>
        </c:ser>
        <c:dLbls>
          <c:showLegendKey val="0"/>
          <c:showVal val="0"/>
          <c:showCatName val="0"/>
          <c:showSerName val="0"/>
          <c:showPercent val="0"/>
          <c:showBubbleSize val="0"/>
        </c:dLbls>
        <c:marker val="1"/>
        <c:smooth val="0"/>
        <c:axId val="1014302895"/>
        <c:axId val="1014293743"/>
      </c:lineChart>
      <c:catAx>
        <c:axId val="1014302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293743"/>
        <c:crosses val="autoZero"/>
        <c:auto val="1"/>
        <c:lblAlgn val="ctr"/>
        <c:lblOffset val="100"/>
        <c:noMultiLvlLbl val="0"/>
      </c:catAx>
      <c:valAx>
        <c:axId val="1014293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30289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&amp; CHARTS!PivotTable7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2060"/>
                </a:solidFill>
              </a:rPr>
              <a:t>Demand</a:t>
            </a:r>
            <a:r>
              <a:rPr lang="en-US" sz="1600" b="1" baseline="0">
                <a:solidFill>
                  <a:srgbClr val="002060"/>
                </a:solidFill>
              </a:rPr>
              <a:t> by Date</a:t>
            </a:r>
            <a:endParaRPr lang="en-US" sz="1600" b="1">
              <a:solidFill>
                <a:srgbClr val="002060"/>
              </a:solidFill>
            </a:endParaRPr>
          </a:p>
        </c:rich>
      </c:tx>
      <c:layout>
        <c:manualLayout>
          <c:xMode val="edge"/>
          <c:yMode val="edge"/>
          <c:x val="3.7288576976914768E-2"/>
          <c:y val="9.85832793845319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rgbClr val="002060"/>
          </a:solidFill>
          <a:ln>
            <a:solidFill>
              <a:schemeClr val="accent5">
                <a:lumMod val="75000"/>
              </a:schemeClr>
            </a:solidFill>
          </a:ln>
          <a:effectLst/>
        </c:spPr>
        <c:marker>
          <c:symbol val="none"/>
        </c:marker>
      </c:pivotFmt>
      <c:pivotFmt>
        <c:idx val="4"/>
      </c:pivotFmt>
      <c:pivotFmt>
        <c:idx val="5"/>
        <c:spPr>
          <a:solidFill>
            <a:srgbClr val="002060"/>
          </a:solidFill>
          <a:ln>
            <a:solidFill>
              <a:schemeClr val="accent5">
                <a:lumMod val="50000"/>
              </a:schemeClr>
            </a:solidFill>
          </a:ln>
          <a:effectLst/>
        </c:spPr>
      </c:pivotFmt>
      <c:pivotFmt>
        <c:idx val="6"/>
        <c:spPr>
          <a:solidFill>
            <a:srgbClr val="002060"/>
          </a:solidFill>
          <a:ln>
            <a:solidFill>
              <a:schemeClr val="accent5">
                <a:lumMod val="75000"/>
              </a:schemeClr>
            </a:solidFill>
          </a:ln>
          <a:effectLst/>
        </c:spPr>
        <c:marker>
          <c:symbol val="none"/>
        </c:marker>
      </c:pivotFmt>
      <c:pivotFmt>
        <c:idx val="7"/>
        <c:spPr>
          <a:solidFill>
            <a:srgbClr val="002060"/>
          </a:solidFill>
          <a:ln>
            <a:solidFill>
              <a:schemeClr val="accent5">
                <a:lumMod val="50000"/>
              </a:schemeClr>
            </a:solidFill>
          </a:ln>
          <a:effectLst/>
        </c:spPr>
      </c:pivotFmt>
    </c:pivotFmts>
    <c:plotArea>
      <c:layout>
        <c:manualLayout>
          <c:layoutTarget val="inner"/>
          <c:xMode val="edge"/>
          <c:yMode val="edge"/>
          <c:x val="0.12688384361265012"/>
          <c:y val="0.2212239430464055"/>
          <c:w val="0.79826851980978464"/>
          <c:h val="0.55791896283324471"/>
        </c:manualLayout>
      </c:layout>
      <c:barChart>
        <c:barDir val="col"/>
        <c:grouping val="clustered"/>
        <c:varyColors val="0"/>
        <c:ser>
          <c:idx val="0"/>
          <c:order val="0"/>
          <c:tx>
            <c:strRef>
              <c:f>'PIVOT TABLE &amp; CHARTS'!$AB$5</c:f>
              <c:strCache>
                <c:ptCount val="1"/>
                <c:pt idx="0">
                  <c:v>Total</c:v>
                </c:pt>
              </c:strCache>
            </c:strRef>
          </c:tx>
          <c:spPr>
            <a:solidFill>
              <a:srgbClr val="002060"/>
            </a:solidFill>
            <a:ln>
              <a:solidFill>
                <a:schemeClr val="accent5">
                  <a:lumMod val="75000"/>
                </a:schemeClr>
              </a:solidFill>
            </a:ln>
            <a:effectLst/>
          </c:spPr>
          <c:invertIfNegative val="0"/>
          <c:dPt>
            <c:idx val="11"/>
            <c:invertIfNegative val="0"/>
            <c:bubble3D val="0"/>
            <c:spPr>
              <a:solidFill>
                <a:srgbClr val="002060"/>
              </a:solidFill>
              <a:ln>
                <a:solidFill>
                  <a:schemeClr val="accent5">
                    <a:lumMod val="50000"/>
                  </a:schemeClr>
                </a:solidFill>
              </a:ln>
              <a:effectLst/>
            </c:spPr>
            <c:extLst>
              <c:ext xmlns:c16="http://schemas.microsoft.com/office/drawing/2014/chart" uri="{C3380CC4-5D6E-409C-BE32-E72D297353CC}">
                <c16:uniqueId val="{00000007-446A-42EC-93CA-5606472AD15A}"/>
              </c:ext>
            </c:extLst>
          </c:dPt>
          <c:cat>
            <c:strRef>
              <c:f>'PIVOT TABLE &amp; CHARTS'!$AA$6:$AA$20</c:f>
              <c:strCache>
                <c:ptCount val="14"/>
                <c:pt idx="0">
                  <c:v>01-Jan</c:v>
                </c:pt>
                <c:pt idx="1">
                  <c:v>02-Jan</c:v>
                </c:pt>
                <c:pt idx="2">
                  <c:v>08-Jan</c:v>
                </c:pt>
                <c:pt idx="3">
                  <c:v>09-Jan</c:v>
                </c:pt>
                <c:pt idx="4">
                  <c:v>15-Jan</c:v>
                </c:pt>
                <c:pt idx="5">
                  <c:v>16-Jan</c:v>
                </c:pt>
                <c:pt idx="6">
                  <c:v>22-Jan</c:v>
                </c:pt>
                <c:pt idx="7">
                  <c:v>23-Jan</c:v>
                </c:pt>
                <c:pt idx="8">
                  <c:v>29-Jan</c:v>
                </c:pt>
                <c:pt idx="9">
                  <c:v>30-Jan</c:v>
                </c:pt>
                <c:pt idx="10">
                  <c:v>05-Feb</c:v>
                </c:pt>
                <c:pt idx="11">
                  <c:v>06-Feb</c:v>
                </c:pt>
                <c:pt idx="12">
                  <c:v>12-Feb</c:v>
                </c:pt>
                <c:pt idx="13">
                  <c:v>13-Feb</c:v>
                </c:pt>
              </c:strCache>
            </c:strRef>
          </c:cat>
          <c:val>
            <c:numRef>
              <c:f>'PIVOT TABLE &amp; CHARTS'!$AB$6:$AB$20</c:f>
              <c:numCache>
                <c:formatCode>General</c:formatCode>
                <c:ptCount val="14"/>
                <c:pt idx="0">
                  <c:v>985</c:v>
                </c:pt>
                <c:pt idx="1">
                  <c:v>801</c:v>
                </c:pt>
                <c:pt idx="2">
                  <c:v>959</c:v>
                </c:pt>
                <c:pt idx="3">
                  <c:v>822</c:v>
                </c:pt>
                <c:pt idx="4">
                  <c:v>1248</c:v>
                </c:pt>
                <c:pt idx="5">
                  <c:v>1204</c:v>
                </c:pt>
                <c:pt idx="6">
                  <c:v>981</c:v>
                </c:pt>
                <c:pt idx="7">
                  <c:v>986</c:v>
                </c:pt>
                <c:pt idx="8">
                  <c:v>1098</c:v>
                </c:pt>
                <c:pt idx="9">
                  <c:v>1096</c:v>
                </c:pt>
                <c:pt idx="10">
                  <c:v>1005</c:v>
                </c:pt>
                <c:pt idx="11">
                  <c:v>1623</c:v>
                </c:pt>
                <c:pt idx="12">
                  <c:v>1472</c:v>
                </c:pt>
                <c:pt idx="13">
                  <c:v>1589</c:v>
                </c:pt>
              </c:numCache>
            </c:numRef>
          </c:val>
          <c:extLst>
            <c:ext xmlns:c16="http://schemas.microsoft.com/office/drawing/2014/chart" uri="{C3380CC4-5D6E-409C-BE32-E72D297353CC}">
              <c16:uniqueId val="{00000000-3C5A-4EF3-964B-303F96548AAB}"/>
            </c:ext>
          </c:extLst>
        </c:ser>
        <c:dLbls>
          <c:showLegendKey val="0"/>
          <c:showVal val="0"/>
          <c:showCatName val="0"/>
          <c:showSerName val="0"/>
          <c:showPercent val="0"/>
          <c:showBubbleSize val="0"/>
        </c:dLbls>
        <c:gapWidth val="219"/>
        <c:overlap val="-27"/>
        <c:axId val="1014282927"/>
        <c:axId val="1014282095"/>
      </c:barChart>
      <c:catAx>
        <c:axId val="101428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282095"/>
        <c:crosses val="autoZero"/>
        <c:auto val="1"/>
        <c:lblAlgn val="ctr"/>
        <c:lblOffset val="100"/>
        <c:noMultiLvlLbl val="0"/>
      </c:catAx>
      <c:valAx>
        <c:axId val="1014282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28292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5305115055544025E-2"/>
          <c:y val="6.0606102082800109E-2"/>
          <c:w val="0.89407688169413602"/>
          <c:h val="0.63832293690561404"/>
        </c:manualLayout>
      </c:layout>
      <c:lineChart>
        <c:grouping val="standard"/>
        <c:varyColors val="0"/>
        <c:ser>
          <c:idx val="0"/>
          <c:order val="0"/>
          <c:tx>
            <c:strRef>
              <c:f>FORECASTING!$B$1</c:f>
              <c:strCache>
                <c:ptCount val="1"/>
                <c:pt idx="0">
                  <c:v>Count</c:v>
                </c:pt>
              </c:strCache>
            </c:strRef>
          </c:tx>
          <c:spPr>
            <a:ln w="22225" cap="rnd">
              <a:solidFill>
                <a:schemeClr val="accent1"/>
              </a:solidFill>
              <a:round/>
            </a:ln>
            <a:effectLst/>
          </c:spPr>
          <c:marker>
            <c:symbol val="none"/>
          </c:marker>
          <c:val>
            <c:numRef>
              <c:f>FORECASTING!$B$2:$B$58</c:f>
              <c:numCache>
                <c:formatCode>General</c:formatCode>
                <c:ptCount val="57"/>
                <c:pt idx="0">
                  <c:v>41.041666666666664</c:v>
                </c:pt>
                <c:pt idx="1">
                  <c:v>34.826086956521742</c:v>
                </c:pt>
                <c:pt idx="2">
                  <c:v>61.31818181818182</c:v>
                </c:pt>
                <c:pt idx="3">
                  <c:v>67.913043478260875</c:v>
                </c:pt>
                <c:pt idx="4">
                  <c:v>69.565217391304344</c:v>
                </c:pt>
                <c:pt idx="5">
                  <c:v>69.826086956521735</c:v>
                </c:pt>
                <c:pt idx="6">
                  <c:v>65.652173913043484</c:v>
                </c:pt>
                <c:pt idx="7">
                  <c:v>39.958333333333336</c:v>
                </c:pt>
                <c:pt idx="8">
                  <c:v>34.25</c:v>
                </c:pt>
                <c:pt idx="9">
                  <c:v>55.041666666666664</c:v>
                </c:pt>
                <c:pt idx="10">
                  <c:v>57.409090909090907</c:v>
                </c:pt>
                <c:pt idx="11">
                  <c:v>52.81818181818182</c:v>
                </c:pt>
                <c:pt idx="12">
                  <c:v>58.583333333333336</c:v>
                </c:pt>
                <c:pt idx="13">
                  <c:v>61.782608695652172</c:v>
                </c:pt>
                <c:pt idx="14">
                  <c:v>52</c:v>
                </c:pt>
                <c:pt idx="15">
                  <c:v>50.166666666666664</c:v>
                </c:pt>
                <c:pt idx="16">
                  <c:v>41.666666666666664</c:v>
                </c:pt>
                <c:pt idx="17">
                  <c:v>56.916666666666664</c:v>
                </c:pt>
                <c:pt idx="18">
                  <c:v>71.739130434782609</c:v>
                </c:pt>
                <c:pt idx="19">
                  <c:v>80.291666666666671</c:v>
                </c:pt>
                <c:pt idx="20">
                  <c:v>64.291666666666671</c:v>
                </c:pt>
                <c:pt idx="21">
                  <c:v>42.652173913043477</c:v>
                </c:pt>
                <c:pt idx="22">
                  <c:v>42.869565217391305</c:v>
                </c:pt>
                <c:pt idx="23">
                  <c:v>61.565217391304351</c:v>
                </c:pt>
                <c:pt idx="24">
                  <c:v>86.304347826086953</c:v>
                </c:pt>
                <c:pt idx="25">
                  <c:v>31.625</c:v>
                </c:pt>
                <c:pt idx="26">
                  <c:v>53.875</c:v>
                </c:pt>
                <c:pt idx="27">
                  <c:v>50.739130434782609</c:v>
                </c:pt>
                <c:pt idx="28">
                  <c:v>47.739130434782609</c:v>
                </c:pt>
                <c:pt idx="29">
                  <c:v>47.652173913043477</c:v>
                </c:pt>
                <c:pt idx="30">
                  <c:v>62.541666666666664</c:v>
                </c:pt>
                <c:pt idx="31">
                  <c:v>59.130434782608695</c:v>
                </c:pt>
                <c:pt idx="32">
                  <c:v>63.583333333333336</c:v>
                </c:pt>
                <c:pt idx="33">
                  <c:v>67.391304347826093</c:v>
                </c:pt>
                <c:pt idx="34">
                  <c:v>74.260869565217391</c:v>
                </c:pt>
                <c:pt idx="35">
                  <c:v>41.875</c:v>
                </c:pt>
                <c:pt idx="36">
                  <c:v>67.625</c:v>
                </c:pt>
                <c:pt idx="37">
                  <c:v>71.333333333333329</c:v>
                </c:pt>
                <c:pt idx="38">
                  <c:v>63.75</c:v>
                </c:pt>
                <c:pt idx="39">
                  <c:v>69.782608695652172</c:v>
                </c:pt>
                <c:pt idx="40">
                  <c:v>66.869565217391298</c:v>
                </c:pt>
                <c:pt idx="41">
                  <c:v>79.36363636363636</c:v>
                </c:pt>
                <c:pt idx="42">
                  <c:v>61.333333333333336</c:v>
                </c:pt>
                <c:pt idx="43">
                  <c:v>69.086956521739125</c:v>
                </c:pt>
                <c:pt idx="44">
                  <c:v>18.875</c:v>
                </c:pt>
              </c:numCache>
            </c:numRef>
          </c:val>
          <c:smooth val="0"/>
          <c:extLst>
            <c:ext xmlns:c16="http://schemas.microsoft.com/office/drawing/2014/chart" uri="{C3380CC4-5D6E-409C-BE32-E72D297353CC}">
              <c16:uniqueId val="{00000000-9244-4433-86D1-B4F559722ACA}"/>
            </c:ext>
          </c:extLst>
        </c:ser>
        <c:ser>
          <c:idx val="1"/>
          <c:order val="1"/>
          <c:tx>
            <c:strRef>
              <c:f>FORECASTING!$C$1</c:f>
              <c:strCache>
                <c:ptCount val="1"/>
                <c:pt idx="0">
                  <c:v>Forecast(Count)</c:v>
                </c:pt>
              </c:strCache>
            </c:strRef>
          </c:tx>
          <c:spPr>
            <a:ln w="22225" cap="rnd">
              <a:solidFill>
                <a:schemeClr val="accent2"/>
              </a:solidFill>
              <a:round/>
            </a:ln>
            <a:effectLst/>
          </c:spPr>
          <c:marker>
            <c:symbol val="none"/>
          </c:marker>
          <c:cat>
            <c:numRef>
              <c:f>FORECASTING!$A$2:$A$58</c:f>
              <c:numCache>
                <c:formatCode>dd\-mm\-yyyy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FORECASTING!$C$2:$C$58</c:f>
              <c:numCache>
                <c:formatCode>General</c:formatCode>
                <c:ptCount val="57"/>
                <c:pt idx="44">
                  <c:v>18.875</c:v>
                </c:pt>
                <c:pt idx="45">
                  <c:v>61.270134143024279</c:v>
                </c:pt>
                <c:pt idx="46">
                  <c:v>61.525827765725516</c:v>
                </c:pt>
                <c:pt idx="47">
                  <c:v>61.781521388426746</c:v>
                </c:pt>
                <c:pt idx="48">
                  <c:v>62.037215011127984</c:v>
                </c:pt>
                <c:pt idx="49">
                  <c:v>62.292908633829221</c:v>
                </c:pt>
                <c:pt idx="50">
                  <c:v>62.548602256530458</c:v>
                </c:pt>
                <c:pt idx="51">
                  <c:v>62.804295879231688</c:v>
                </c:pt>
                <c:pt idx="52">
                  <c:v>63.059989501932925</c:v>
                </c:pt>
                <c:pt idx="53">
                  <c:v>63.315683124634162</c:v>
                </c:pt>
                <c:pt idx="54">
                  <c:v>63.5713767473354</c:v>
                </c:pt>
                <c:pt idx="55">
                  <c:v>63.827070370036637</c:v>
                </c:pt>
                <c:pt idx="56">
                  <c:v>64.082763992737867</c:v>
                </c:pt>
              </c:numCache>
            </c:numRef>
          </c:val>
          <c:smooth val="0"/>
          <c:extLst>
            <c:ext xmlns:c16="http://schemas.microsoft.com/office/drawing/2014/chart" uri="{C3380CC4-5D6E-409C-BE32-E72D297353CC}">
              <c16:uniqueId val="{00000001-9244-4433-86D1-B4F559722ACA}"/>
            </c:ext>
          </c:extLst>
        </c:ser>
        <c:ser>
          <c:idx val="2"/>
          <c:order val="2"/>
          <c:tx>
            <c:strRef>
              <c:f>FORECASTING!$D$1</c:f>
              <c:strCache>
                <c:ptCount val="1"/>
                <c:pt idx="0">
                  <c:v>Lower Confidence Bound(Count)</c:v>
                </c:pt>
              </c:strCache>
            </c:strRef>
          </c:tx>
          <c:spPr>
            <a:ln w="22225" cap="rnd">
              <a:solidFill>
                <a:schemeClr val="accent3"/>
              </a:solidFill>
              <a:round/>
            </a:ln>
            <a:effectLst/>
          </c:spPr>
          <c:marker>
            <c:symbol val="none"/>
          </c:marker>
          <c:cat>
            <c:numRef>
              <c:f>FORECASTING!$A$2:$A$58</c:f>
              <c:numCache>
                <c:formatCode>dd\-mm\-yyyy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FORECASTING!$D$2:$D$58</c:f>
              <c:numCache>
                <c:formatCode>General</c:formatCode>
                <c:ptCount val="57"/>
                <c:pt idx="44" formatCode="0.00">
                  <c:v>18.875</c:v>
                </c:pt>
                <c:pt idx="45" formatCode="0.00">
                  <c:v>31.858655883675784</c:v>
                </c:pt>
                <c:pt idx="46" formatCode="0.00">
                  <c:v>31.878109408718345</c:v>
                </c:pt>
                <c:pt idx="47" formatCode="0.00">
                  <c:v>31.895739851191895</c:v>
                </c:pt>
                <c:pt idx="48" formatCode="0.00">
                  <c:v>31.911561716718598</c:v>
                </c:pt>
                <c:pt idx="49" formatCode="0.00">
                  <c:v>31.925589377473688</c:v>
                </c:pt>
                <c:pt idx="50" formatCode="0.00">
                  <c:v>31.937837068955986</c:v>
                </c:pt>
                <c:pt idx="51" formatCode="0.00">
                  <c:v>31.948318887095059</c:v>
                </c:pt>
                <c:pt idx="52" formatCode="0.00">
                  <c:v>31.95704878567814</c:v>
                </c:pt>
                <c:pt idx="53" formatCode="0.00">
                  <c:v>31.964040574080091</c:v>
                </c:pt>
                <c:pt idx="54" formatCode="0.00">
                  <c:v>31.969307915280588</c:v>
                </c:pt>
                <c:pt idx="55" formatCode="0.00">
                  <c:v>31.972864324152855</c:v>
                </c:pt>
                <c:pt idx="56" formatCode="0.00">
                  <c:v>31.974723166009028</c:v>
                </c:pt>
              </c:numCache>
            </c:numRef>
          </c:val>
          <c:smooth val="0"/>
          <c:extLst>
            <c:ext xmlns:c16="http://schemas.microsoft.com/office/drawing/2014/chart" uri="{C3380CC4-5D6E-409C-BE32-E72D297353CC}">
              <c16:uniqueId val="{00000002-9244-4433-86D1-B4F559722ACA}"/>
            </c:ext>
          </c:extLst>
        </c:ser>
        <c:ser>
          <c:idx val="3"/>
          <c:order val="3"/>
          <c:tx>
            <c:strRef>
              <c:f>FORECASTING!$E$1</c:f>
              <c:strCache>
                <c:ptCount val="1"/>
                <c:pt idx="0">
                  <c:v>Upper Confidence Bound(Count)</c:v>
                </c:pt>
              </c:strCache>
            </c:strRef>
          </c:tx>
          <c:spPr>
            <a:ln w="22225" cap="rnd">
              <a:solidFill>
                <a:schemeClr val="accent4"/>
              </a:solidFill>
              <a:round/>
            </a:ln>
            <a:effectLst/>
          </c:spPr>
          <c:marker>
            <c:symbol val="none"/>
          </c:marker>
          <c:cat>
            <c:numRef>
              <c:f>FORECASTING!$A$2:$A$58</c:f>
              <c:numCache>
                <c:formatCode>dd\-mm\-yyyy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FORECASTING!$E$2:$E$58</c:f>
              <c:numCache>
                <c:formatCode>General</c:formatCode>
                <c:ptCount val="57"/>
                <c:pt idx="44" formatCode="0.00">
                  <c:v>18.875</c:v>
                </c:pt>
                <c:pt idx="45" formatCode="0.00">
                  <c:v>90.681612402372778</c:v>
                </c:pt>
                <c:pt idx="46" formatCode="0.00">
                  <c:v>91.173546122732688</c:v>
                </c:pt>
                <c:pt idx="47" formatCode="0.00">
                  <c:v>91.667302925661602</c:v>
                </c:pt>
                <c:pt idx="48" formatCode="0.00">
                  <c:v>92.162868305537373</c:v>
                </c:pt>
                <c:pt idx="49" formatCode="0.00">
                  <c:v>92.660227890184757</c:v>
                </c:pt>
                <c:pt idx="50" formatCode="0.00">
                  <c:v>93.15936744410493</c:v>
                </c:pt>
                <c:pt idx="51" formatCode="0.00">
                  <c:v>93.660272871368321</c:v>
                </c:pt>
                <c:pt idx="52" formatCode="0.00">
                  <c:v>94.162930218187711</c:v>
                </c:pt>
                <c:pt idx="53" formatCode="0.00">
                  <c:v>94.667325675188238</c:v>
                </c:pt>
                <c:pt idx="54" formatCode="0.00">
                  <c:v>95.173445579390204</c:v>
                </c:pt>
                <c:pt idx="55" formatCode="0.00">
                  <c:v>95.681276415920422</c:v>
                </c:pt>
                <c:pt idx="56" formatCode="0.00">
                  <c:v>96.190804819466706</c:v>
                </c:pt>
              </c:numCache>
            </c:numRef>
          </c:val>
          <c:smooth val="0"/>
          <c:extLst>
            <c:ext xmlns:c16="http://schemas.microsoft.com/office/drawing/2014/chart" uri="{C3380CC4-5D6E-409C-BE32-E72D297353CC}">
              <c16:uniqueId val="{00000003-9244-4433-86D1-B4F559722ACA}"/>
            </c:ext>
          </c:extLst>
        </c:ser>
        <c:dLbls>
          <c:showLegendKey val="0"/>
          <c:showVal val="0"/>
          <c:showCatName val="0"/>
          <c:showSerName val="0"/>
          <c:showPercent val="0"/>
          <c:showBubbleSize val="0"/>
        </c:dLbls>
        <c:smooth val="0"/>
        <c:axId val="1014703695"/>
        <c:axId val="1014704527"/>
      </c:lineChart>
      <c:catAx>
        <c:axId val="1014703695"/>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014704527"/>
        <c:crosses val="autoZero"/>
        <c:auto val="1"/>
        <c:lblAlgn val="ctr"/>
        <c:lblOffset val="100"/>
        <c:noMultiLvlLbl val="0"/>
      </c:catAx>
      <c:valAx>
        <c:axId val="1014704527"/>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014703695"/>
        <c:crosses val="autoZero"/>
        <c:crossBetween val="between"/>
      </c:valAx>
      <c:spPr>
        <a:pattFill prst="ltDnDiag">
          <a:fgClr>
            <a:schemeClr val="dk1">
              <a:lumMod val="15000"/>
              <a:lumOff val="85000"/>
            </a:schemeClr>
          </a:fgClr>
          <a:bgClr>
            <a:schemeClr val="lt1"/>
          </a:bgClr>
        </a:patt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'FINAL RESULT'!$M$1</c:f>
              <c:strCache>
                <c:ptCount val="1"/>
                <c:pt idx="0">
                  <c:v>Count</c:v>
                </c:pt>
              </c:strCache>
            </c:strRef>
          </c:tx>
          <c:spPr>
            <a:ln w="22225" cap="rnd">
              <a:solidFill>
                <a:schemeClr val="accent1"/>
              </a:solidFill>
            </a:ln>
            <a:effectLst>
              <a:glow rad="139700">
                <a:schemeClr val="accent1">
                  <a:satMod val="175000"/>
                  <a:alpha val="14000"/>
                </a:schemeClr>
              </a:glow>
            </a:effectLst>
          </c:spPr>
          <c:marker>
            <c:symbol val="none"/>
          </c:marker>
          <c:cat>
            <c:numRef>
              <c:f>'FINAL RESULT'!$B$2:$B$1001</c:f>
              <c:numCache>
                <c:formatCode>dd\-mm\-yyyy</c:formatCode>
                <c:ptCount val="1000"/>
                <c:pt idx="0">
                  <c:v>40544</c:v>
                </c:pt>
                <c:pt idx="1">
                  <c:v>40544</c:v>
                </c:pt>
                <c:pt idx="2">
                  <c:v>40544</c:v>
                </c:pt>
                <c:pt idx="3">
                  <c:v>40544</c:v>
                </c:pt>
                <c:pt idx="4">
                  <c:v>40544</c:v>
                </c:pt>
                <c:pt idx="5">
                  <c:v>40544</c:v>
                </c:pt>
                <c:pt idx="6">
                  <c:v>40544</c:v>
                </c:pt>
                <c:pt idx="7">
                  <c:v>40544</c:v>
                </c:pt>
                <c:pt idx="8">
                  <c:v>40544</c:v>
                </c:pt>
                <c:pt idx="9">
                  <c:v>40544</c:v>
                </c:pt>
                <c:pt idx="10">
                  <c:v>40544</c:v>
                </c:pt>
                <c:pt idx="11">
                  <c:v>40544</c:v>
                </c:pt>
                <c:pt idx="12">
                  <c:v>40544</c:v>
                </c:pt>
                <c:pt idx="13">
                  <c:v>40544</c:v>
                </c:pt>
                <c:pt idx="14">
                  <c:v>40544</c:v>
                </c:pt>
                <c:pt idx="15">
                  <c:v>40544</c:v>
                </c:pt>
                <c:pt idx="16">
                  <c:v>40544</c:v>
                </c:pt>
                <c:pt idx="17">
                  <c:v>40544</c:v>
                </c:pt>
                <c:pt idx="18">
                  <c:v>40544</c:v>
                </c:pt>
                <c:pt idx="19">
                  <c:v>40544</c:v>
                </c:pt>
                <c:pt idx="20">
                  <c:v>40544</c:v>
                </c:pt>
                <c:pt idx="21">
                  <c:v>40544</c:v>
                </c:pt>
                <c:pt idx="22">
                  <c:v>40544</c:v>
                </c:pt>
                <c:pt idx="23">
                  <c:v>40544</c:v>
                </c:pt>
                <c:pt idx="24">
                  <c:v>40545</c:v>
                </c:pt>
                <c:pt idx="25">
                  <c:v>40545</c:v>
                </c:pt>
                <c:pt idx="26">
                  <c:v>40545</c:v>
                </c:pt>
                <c:pt idx="27">
                  <c:v>40545</c:v>
                </c:pt>
                <c:pt idx="28">
                  <c:v>40545</c:v>
                </c:pt>
                <c:pt idx="29">
                  <c:v>40545</c:v>
                </c:pt>
                <c:pt idx="30">
                  <c:v>40545</c:v>
                </c:pt>
                <c:pt idx="31">
                  <c:v>40545</c:v>
                </c:pt>
                <c:pt idx="32">
                  <c:v>40545</c:v>
                </c:pt>
                <c:pt idx="33">
                  <c:v>40545</c:v>
                </c:pt>
                <c:pt idx="34">
                  <c:v>40545</c:v>
                </c:pt>
                <c:pt idx="35">
                  <c:v>40545</c:v>
                </c:pt>
                <c:pt idx="36">
                  <c:v>40545</c:v>
                </c:pt>
                <c:pt idx="37">
                  <c:v>40545</c:v>
                </c:pt>
                <c:pt idx="38">
                  <c:v>40545</c:v>
                </c:pt>
                <c:pt idx="39">
                  <c:v>40545</c:v>
                </c:pt>
                <c:pt idx="40">
                  <c:v>40545</c:v>
                </c:pt>
                <c:pt idx="41">
                  <c:v>40545</c:v>
                </c:pt>
                <c:pt idx="42">
                  <c:v>40545</c:v>
                </c:pt>
                <c:pt idx="43">
                  <c:v>40545</c:v>
                </c:pt>
                <c:pt idx="44">
                  <c:v>40545</c:v>
                </c:pt>
                <c:pt idx="45">
                  <c:v>40545</c:v>
                </c:pt>
                <c:pt idx="46">
                  <c:v>40545</c:v>
                </c:pt>
                <c:pt idx="47">
                  <c:v>40546</c:v>
                </c:pt>
                <c:pt idx="48">
                  <c:v>40546</c:v>
                </c:pt>
                <c:pt idx="49">
                  <c:v>40546</c:v>
                </c:pt>
                <c:pt idx="50">
                  <c:v>40546</c:v>
                </c:pt>
                <c:pt idx="51">
                  <c:v>40546</c:v>
                </c:pt>
                <c:pt idx="52">
                  <c:v>40546</c:v>
                </c:pt>
                <c:pt idx="53">
                  <c:v>40546</c:v>
                </c:pt>
                <c:pt idx="54">
                  <c:v>40546</c:v>
                </c:pt>
                <c:pt idx="55">
                  <c:v>40546</c:v>
                </c:pt>
                <c:pt idx="56">
                  <c:v>40546</c:v>
                </c:pt>
                <c:pt idx="57">
                  <c:v>40546</c:v>
                </c:pt>
                <c:pt idx="58">
                  <c:v>40546</c:v>
                </c:pt>
                <c:pt idx="59">
                  <c:v>40546</c:v>
                </c:pt>
                <c:pt idx="60">
                  <c:v>40546</c:v>
                </c:pt>
                <c:pt idx="61">
                  <c:v>40546</c:v>
                </c:pt>
                <c:pt idx="62">
                  <c:v>40546</c:v>
                </c:pt>
                <c:pt idx="63">
                  <c:v>40546</c:v>
                </c:pt>
                <c:pt idx="64">
                  <c:v>40546</c:v>
                </c:pt>
                <c:pt idx="65">
                  <c:v>40546</c:v>
                </c:pt>
                <c:pt idx="66">
                  <c:v>40546</c:v>
                </c:pt>
                <c:pt idx="67">
                  <c:v>40546</c:v>
                </c:pt>
                <c:pt idx="68">
                  <c:v>40546</c:v>
                </c:pt>
                <c:pt idx="69">
                  <c:v>40547</c:v>
                </c:pt>
                <c:pt idx="70">
                  <c:v>40547</c:v>
                </c:pt>
                <c:pt idx="71">
                  <c:v>40547</c:v>
                </c:pt>
                <c:pt idx="72">
                  <c:v>40547</c:v>
                </c:pt>
                <c:pt idx="73">
                  <c:v>40547</c:v>
                </c:pt>
                <c:pt idx="74">
                  <c:v>40547</c:v>
                </c:pt>
                <c:pt idx="75">
                  <c:v>40547</c:v>
                </c:pt>
                <c:pt idx="76">
                  <c:v>40547</c:v>
                </c:pt>
                <c:pt idx="77">
                  <c:v>40547</c:v>
                </c:pt>
                <c:pt idx="78">
                  <c:v>40547</c:v>
                </c:pt>
                <c:pt idx="79">
                  <c:v>40547</c:v>
                </c:pt>
                <c:pt idx="80">
                  <c:v>40547</c:v>
                </c:pt>
                <c:pt idx="81">
                  <c:v>40547</c:v>
                </c:pt>
                <c:pt idx="82">
                  <c:v>40547</c:v>
                </c:pt>
                <c:pt idx="83">
                  <c:v>40547</c:v>
                </c:pt>
                <c:pt idx="84">
                  <c:v>40547</c:v>
                </c:pt>
                <c:pt idx="85">
                  <c:v>40547</c:v>
                </c:pt>
                <c:pt idx="86">
                  <c:v>40547</c:v>
                </c:pt>
                <c:pt idx="87">
                  <c:v>40547</c:v>
                </c:pt>
                <c:pt idx="88">
                  <c:v>40547</c:v>
                </c:pt>
                <c:pt idx="89">
                  <c:v>40547</c:v>
                </c:pt>
                <c:pt idx="90">
                  <c:v>40547</c:v>
                </c:pt>
                <c:pt idx="91">
                  <c:v>40547</c:v>
                </c:pt>
                <c:pt idx="92">
                  <c:v>40548</c:v>
                </c:pt>
                <c:pt idx="93">
                  <c:v>40548</c:v>
                </c:pt>
                <c:pt idx="94">
                  <c:v>40548</c:v>
                </c:pt>
                <c:pt idx="95">
                  <c:v>40548</c:v>
                </c:pt>
                <c:pt idx="96">
                  <c:v>40548</c:v>
                </c:pt>
                <c:pt idx="97">
                  <c:v>40548</c:v>
                </c:pt>
                <c:pt idx="98">
                  <c:v>40548</c:v>
                </c:pt>
                <c:pt idx="99">
                  <c:v>40548</c:v>
                </c:pt>
                <c:pt idx="100">
                  <c:v>40548</c:v>
                </c:pt>
                <c:pt idx="101">
                  <c:v>40548</c:v>
                </c:pt>
                <c:pt idx="102">
                  <c:v>40548</c:v>
                </c:pt>
                <c:pt idx="103">
                  <c:v>40548</c:v>
                </c:pt>
                <c:pt idx="104">
                  <c:v>40548</c:v>
                </c:pt>
                <c:pt idx="105">
                  <c:v>40548</c:v>
                </c:pt>
                <c:pt idx="106">
                  <c:v>40548</c:v>
                </c:pt>
                <c:pt idx="107">
                  <c:v>40548</c:v>
                </c:pt>
                <c:pt idx="108">
                  <c:v>40548</c:v>
                </c:pt>
                <c:pt idx="109">
                  <c:v>40548</c:v>
                </c:pt>
                <c:pt idx="110">
                  <c:v>40548</c:v>
                </c:pt>
                <c:pt idx="111">
                  <c:v>40548</c:v>
                </c:pt>
                <c:pt idx="112">
                  <c:v>40548</c:v>
                </c:pt>
                <c:pt idx="113">
                  <c:v>40548</c:v>
                </c:pt>
                <c:pt idx="114">
                  <c:v>40548</c:v>
                </c:pt>
                <c:pt idx="115">
                  <c:v>40549</c:v>
                </c:pt>
                <c:pt idx="116">
                  <c:v>40549</c:v>
                </c:pt>
                <c:pt idx="117">
                  <c:v>40549</c:v>
                </c:pt>
                <c:pt idx="118">
                  <c:v>40549</c:v>
                </c:pt>
                <c:pt idx="119">
                  <c:v>40549</c:v>
                </c:pt>
                <c:pt idx="120">
                  <c:v>40549</c:v>
                </c:pt>
                <c:pt idx="121">
                  <c:v>40549</c:v>
                </c:pt>
                <c:pt idx="122">
                  <c:v>40549</c:v>
                </c:pt>
                <c:pt idx="123">
                  <c:v>40549</c:v>
                </c:pt>
                <c:pt idx="124">
                  <c:v>40549</c:v>
                </c:pt>
                <c:pt idx="125">
                  <c:v>40549</c:v>
                </c:pt>
                <c:pt idx="126">
                  <c:v>40549</c:v>
                </c:pt>
                <c:pt idx="127">
                  <c:v>40549</c:v>
                </c:pt>
                <c:pt idx="128">
                  <c:v>40549</c:v>
                </c:pt>
                <c:pt idx="129">
                  <c:v>40549</c:v>
                </c:pt>
                <c:pt idx="130">
                  <c:v>40549</c:v>
                </c:pt>
                <c:pt idx="131">
                  <c:v>40549</c:v>
                </c:pt>
                <c:pt idx="132">
                  <c:v>40549</c:v>
                </c:pt>
                <c:pt idx="133">
                  <c:v>40549</c:v>
                </c:pt>
                <c:pt idx="134">
                  <c:v>40549</c:v>
                </c:pt>
                <c:pt idx="135">
                  <c:v>40549</c:v>
                </c:pt>
                <c:pt idx="136">
                  <c:v>40549</c:v>
                </c:pt>
                <c:pt idx="137">
                  <c:v>40549</c:v>
                </c:pt>
                <c:pt idx="138">
                  <c:v>40550</c:v>
                </c:pt>
                <c:pt idx="139">
                  <c:v>40550</c:v>
                </c:pt>
                <c:pt idx="140">
                  <c:v>40550</c:v>
                </c:pt>
                <c:pt idx="141">
                  <c:v>40550</c:v>
                </c:pt>
                <c:pt idx="142">
                  <c:v>40550</c:v>
                </c:pt>
                <c:pt idx="143">
                  <c:v>40550</c:v>
                </c:pt>
                <c:pt idx="144">
                  <c:v>40550</c:v>
                </c:pt>
                <c:pt idx="145">
                  <c:v>40550</c:v>
                </c:pt>
                <c:pt idx="146">
                  <c:v>40550</c:v>
                </c:pt>
                <c:pt idx="147">
                  <c:v>40550</c:v>
                </c:pt>
                <c:pt idx="148">
                  <c:v>40550</c:v>
                </c:pt>
                <c:pt idx="149">
                  <c:v>40550</c:v>
                </c:pt>
                <c:pt idx="150">
                  <c:v>40550</c:v>
                </c:pt>
                <c:pt idx="151">
                  <c:v>40550</c:v>
                </c:pt>
                <c:pt idx="152">
                  <c:v>40550</c:v>
                </c:pt>
                <c:pt idx="153">
                  <c:v>40550</c:v>
                </c:pt>
                <c:pt idx="154">
                  <c:v>40550</c:v>
                </c:pt>
                <c:pt idx="155">
                  <c:v>40550</c:v>
                </c:pt>
                <c:pt idx="156">
                  <c:v>40550</c:v>
                </c:pt>
                <c:pt idx="157">
                  <c:v>40550</c:v>
                </c:pt>
                <c:pt idx="158">
                  <c:v>40550</c:v>
                </c:pt>
                <c:pt idx="159">
                  <c:v>40550</c:v>
                </c:pt>
                <c:pt idx="160">
                  <c:v>40550</c:v>
                </c:pt>
                <c:pt idx="161">
                  <c:v>40551</c:v>
                </c:pt>
                <c:pt idx="162">
                  <c:v>40551</c:v>
                </c:pt>
                <c:pt idx="163">
                  <c:v>40551</c:v>
                </c:pt>
                <c:pt idx="164">
                  <c:v>40551</c:v>
                </c:pt>
                <c:pt idx="165">
                  <c:v>40551</c:v>
                </c:pt>
                <c:pt idx="166">
                  <c:v>40551</c:v>
                </c:pt>
                <c:pt idx="167">
                  <c:v>40551</c:v>
                </c:pt>
                <c:pt idx="168">
                  <c:v>40551</c:v>
                </c:pt>
                <c:pt idx="169">
                  <c:v>40551</c:v>
                </c:pt>
                <c:pt idx="170">
                  <c:v>40551</c:v>
                </c:pt>
                <c:pt idx="171">
                  <c:v>40551</c:v>
                </c:pt>
                <c:pt idx="172">
                  <c:v>40551</c:v>
                </c:pt>
                <c:pt idx="173">
                  <c:v>40551</c:v>
                </c:pt>
                <c:pt idx="174">
                  <c:v>40551</c:v>
                </c:pt>
                <c:pt idx="175">
                  <c:v>40551</c:v>
                </c:pt>
                <c:pt idx="176">
                  <c:v>40551</c:v>
                </c:pt>
                <c:pt idx="177">
                  <c:v>40551</c:v>
                </c:pt>
                <c:pt idx="178">
                  <c:v>40551</c:v>
                </c:pt>
                <c:pt idx="179">
                  <c:v>40551</c:v>
                </c:pt>
                <c:pt idx="180">
                  <c:v>40551</c:v>
                </c:pt>
                <c:pt idx="181">
                  <c:v>40551</c:v>
                </c:pt>
                <c:pt idx="182">
                  <c:v>40551</c:v>
                </c:pt>
                <c:pt idx="183">
                  <c:v>40551</c:v>
                </c:pt>
                <c:pt idx="184">
                  <c:v>40551</c:v>
                </c:pt>
                <c:pt idx="185">
                  <c:v>40552</c:v>
                </c:pt>
                <c:pt idx="186">
                  <c:v>40552</c:v>
                </c:pt>
                <c:pt idx="187">
                  <c:v>40552</c:v>
                </c:pt>
                <c:pt idx="188">
                  <c:v>40552</c:v>
                </c:pt>
                <c:pt idx="189">
                  <c:v>40552</c:v>
                </c:pt>
                <c:pt idx="190">
                  <c:v>40552</c:v>
                </c:pt>
                <c:pt idx="191">
                  <c:v>40552</c:v>
                </c:pt>
                <c:pt idx="192">
                  <c:v>40552</c:v>
                </c:pt>
                <c:pt idx="193">
                  <c:v>40552</c:v>
                </c:pt>
                <c:pt idx="194">
                  <c:v>40552</c:v>
                </c:pt>
                <c:pt idx="195">
                  <c:v>40552</c:v>
                </c:pt>
                <c:pt idx="196">
                  <c:v>40552</c:v>
                </c:pt>
                <c:pt idx="197">
                  <c:v>40552</c:v>
                </c:pt>
                <c:pt idx="198">
                  <c:v>40552</c:v>
                </c:pt>
                <c:pt idx="199">
                  <c:v>40552</c:v>
                </c:pt>
                <c:pt idx="200">
                  <c:v>40552</c:v>
                </c:pt>
                <c:pt idx="201">
                  <c:v>40552</c:v>
                </c:pt>
                <c:pt idx="202">
                  <c:v>40552</c:v>
                </c:pt>
                <c:pt idx="203">
                  <c:v>40552</c:v>
                </c:pt>
                <c:pt idx="204">
                  <c:v>40552</c:v>
                </c:pt>
                <c:pt idx="205">
                  <c:v>40552</c:v>
                </c:pt>
                <c:pt idx="206">
                  <c:v>40552</c:v>
                </c:pt>
                <c:pt idx="207">
                  <c:v>40552</c:v>
                </c:pt>
                <c:pt idx="208">
                  <c:v>40552</c:v>
                </c:pt>
                <c:pt idx="209">
                  <c:v>40553</c:v>
                </c:pt>
                <c:pt idx="210">
                  <c:v>40553</c:v>
                </c:pt>
                <c:pt idx="211">
                  <c:v>40553</c:v>
                </c:pt>
                <c:pt idx="212">
                  <c:v>40553</c:v>
                </c:pt>
                <c:pt idx="213">
                  <c:v>40553</c:v>
                </c:pt>
                <c:pt idx="214">
                  <c:v>40553</c:v>
                </c:pt>
                <c:pt idx="215">
                  <c:v>40553</c:v>
                </c:pt>
                <c:pt idx="216">
                  <c:v>40553</c:v>
                </c:pt>
                <c:pt idx="217">
                  <c:v>40553</c:v>
                </c:pt>
                <c:pt idx="218">
                  <c:v>40553</c:v>
                </c:pt>
                <c:pt idx="219">
                  <c:v>40553</c:v>
                </c:pt>
                <c:pt idx="220">
                  <c:v>40553</c:v>
                </c:pt>
                <c:pt idx="221">
                  <c:v>40553</c:v>
                </c:pt>
                <c:pt idx="222">
                  <c:v>40553</c:v>
                </c:pt>
                <c:pt idx="223">
                  <c:v>40553</c:v>
                </c:pt>
                <c:pt idx="224">
                  <c:v>40553</c:v>
                </c:pt>
                <c:pt idx="225">
                  <c:v>40553</c:v>
                </c:pt>
                <c:pt idx="226">
                  <c:v>40553</c:v>
                </c:pt>
                <c:pt idx="227">
                  <c:v>40553</c:v>
                </c:pt>
                <c:pt idx="228">
                  <c:v>40553</c:v>
                </c:pt>
                <c:pt idx="229">
                  <c:v>40553</c:v>
                </c:pt>
                <c:pt idx="230">
                  <c:v>40553</c:v>
                </c:pt>
                <c:pt idx="231">
                  <c:v>40553</c:v>
                </c:pt>
                <c:pt idx="232">
                  <c:v>40553</c:v>
                </c:pt>
                <c:pt idx="233">
                  <c:v>40554</c:v>
                </c:pt>
                <c:pt idx="234">
                  <c:v>40554</c:v>
                </c:pt>
                <c:pt idx="235">
                  <c:v>40554</c:v>
                </c:pt>
                <c:pt idx="236">
                  <c:v>40554</c:v>
                </c:pt>
                <c:pt idx="237">
                  <c:v>40554</c:v>
                </c:pt>
                <c:pt idx="238">
                  <c:v>40554</c:v>
                </c:pt>
                <c:pt idx="239">
                  <c:v>40554</c:v>
                </c:pt>
                <c:pt idx="240">
                  <c:v>40554</c:v>
                </c:pt>
                <c:pt idx="241">
                  <c:v>40554</c:v>
                </c:pt>
                <c:pt idx="242">
                  <c:v>40554</c:v>
                </c:pt>
                <c:pt idx="243">
                  <c:v>40554</c:v>
                </c:pt>
                <c:pt idx="244">
                  <c:v>40554</c:v>
                </c:pt>
                <c:pt idx="245">
                  <c:v>40554</c:v>
                </c:pt>
                <c:pt idx="246">
                  <c:v>40554</c:v>
                </c:pt>
                <c:pt idx="247">
                  <c:v>40554</c:v>
                </c:pt>
                <c:pt idx="248">
                  <c:v>40554</c:v>
                </c:pt>
                <c:pt idx="249">
                  <c:v>40554</c:v>
                </c:pt>
                <c:pt idx="250">
                  <c:v>40554</c:v>
                </c:pt>
                <c:pt idx="251">
                  <c:v>40554</c:v>
                </c:pt>
                <c:pt idx="252">
                  <c:v>40554</c:v>
                </c:pt>
                <c:pt idx="253">
                  <c:v>40554</c:v>
                </c:pt>
                <c:pt idx="254">
                  <c:v>40554</c:v>
                </c:pt>
                <c:pt idx="255">
                  <c:v>40555</c:v>
                </c:pt>
                <c:pt idx="256">
                  <c:v>40555</c:v>
                </c:pt>
                <c:pt idx="257">
                  <c:v>40555</c:v>
                </c:pt>
                <c:pt idx="258">
                  <c:v>40555</c:v>
                </c:pt>
                <c:pt idx="259">
                  <c:v>40555</c:v>
                </c:pt>
                <c:pt idx="260">
                  <c:v>40555</c:v>
                </c:pt>
                <c:pt idx="261">
                  <c:v>40555</c:v>
                </c:pt>
                <c:pt idx="262">
                  <c:v>40555</c:v>
                </c:pt>
                <c:pt idx="263">
                  <c:v>40555</c:v>
                </c:pt>
                <c:pt idx="264">
                  <c:v>40555</c:v>
                </c:pt>
                <c:pt idx="265">
                  <c:v>40555</c:v>
                </c:pt>
                <c:pt idx="266">
                  <c:v>40555</c:v>
                </c:pt>
                <c:pt idx="267">
                  <c:v>40555</c:v>
                </c:pt>
                <c:pt idx="268">
                  <c:v>40555</c:v>
                </c:pt>
                <c:pt idx="269">
                  <c:v>40555</c:v>
                </c:pt>
                <c:pt idx="270">
                  <c:v>40555</c:v>
                </c:pt>
                <c:pt idx="271">
                  <c:v>40555</c:v>
                </c:pt>
                <c:pt idx="272">
                  <c:v>40555</c:v>
                </c:pt>
                <c:pt idx="273">
                  <c:v>40555</c:v>
                </c:pt>
                <c:pt idx="274">
                  <c:v>40555</c:v>
                </c:pt>
                <c:pt idx="275">
                  <c:v>40555</c:v>
                </c:pt>
                <c:pt idx="276">
                  <c:v>40555</c:v>
                </c:pt>
                <c:pt idx="277">
                  <c:v>40556</c:v>
                </c:pt>
                <c:pt idx="278">
                  <c:v>40556</c:v>
                </c:pt>
                <c:pt idx="279">
                  <c:v>40556</c:v>
                </c:pt>
                <c:pt idx="280">
                  <c:v>40556</c:v>
                </c:pt>
                <c:pt idx="281">
                  <c:v>40556</c:v>
                </c:pt>
                <c:pt idx="282">
                  <c:v>40556</c:v>
                </c:pt>
                <c:pt idx="283">
                  <c:v>40556</c:v>
                </c:pt>
                <c:pt idx="284">
                  <c:v>40556</c:v>
                </c:pt>
                <c:pt idx="285">
                  <c:v>40556</c:v>
                </c:pt>
                <c:pt idx="286">
                  <c:v>40556</c:v>
                </c:pt>
                <c:pt idx="287">
                  <c:v>40556</c:v>
                </c:pt>
                <c:pt idx="288">
                  <c:v>40556</c:v>
                </c:pt>
                <c:pt idx="289">
                  <c:v>40556</c:v>
                </c:pt>
                <c:pt idx="290">
                  <c:v>40556</c:v>
                </c:pt>
                <c:pt idx="291">
                  <c:v>40556</c:v>
                </c:pt>
                <c:pt idx="292">
                  <c:v>40556</c:v>
                </c:pt>
                <c:pt idx="293">
                  <c:v>40556</c:v>
                </c:pt>
                <c:pt idx="294">
                  <c:v>40556</c:v>
                </c:pt>
                <c:pt idx="295">
                  <c:v>40556</c:v>
                </c:pt>
                <c:pt idx="296">
                  <c:v>40556</c:v>
                </c:pt>
                <c:pt idx="297">
                  <c:v>40556</c:v>
                </c:pt>
                <c:pt idx="298">
                  <c:v>40556</c:v>
                </c:pt>
                <c:pt idx="299">
                  <c:v>40556</c:v>
                </c:pt>
                <c:pt idx="300">
                  <c:v>40556</c:v>
                </c:pt>
                <c:pt idx="301">
                  <c:v>40557</c:v>
                </c:pt>
                <c:pt idx="302">
                  <c:v>40557</c:v>
                </c:pt>
                <c:pt idx="303">
                  <c:v>40557</c:v>
                </c:pt>
                <c:pt idx="304">
                  <c:v>40557</c:v>
                </c:pt>
                <c:pt idx="305">
                  <c:v>40557</c:v>
                </c:pt>
                <c:pt idx="306">
                  <c:v>40557</c:v>
                </c:pt>
                <c:pt idx="307">
                  <c:v>40557</c:v>
                </c:pt>
                <c:pt idx="308">
                  <c:v>40557</c:v>
                </c:pt>
                <c:pt idx="309">
                  <c:v>40557</c:v>
                </c:pt>
                <c:pt idx="310">
                  <c:v>40557</c:v>
                </c:pt>
                <c:pt idx="311">
                  <c:v>40557</c:v>
                </c:pt>
                <c:pt idx="312">
                  <c:v>40557</c:v>
                </c:pt>
                <c:pt idx="313">
                  <c:v>40557</c:v>
                </c:pt>
                <c:pt idx="314">
                  <c:v>40557</c:v>
                </c:pt>
                <c:pt idx="315">
                  <c:v>40557</c:v>
                </c:pt>
                <c:pt idx="316">
                  <c:v>40557</c:v>
                </c:pt>
                <c:pt idx="317">
                  <c:v>40557</c:v>
                </c:pt>
                <c:pt idx="318">
                  <c:v>40557</c:v>
                </c:pt>
                <c:pt idx="319">
                  <c:v>40557</c:v>
                </c:pt>
                <c:pt idx="320">
                  <c:v>40557</c:v>
                </c:pt>
                <c:pt idx="321">
                  <c:v>40557</c:v>
                </c:pt>
                <c:pt idx="322">
                  <c:v>40557</c:v>
                </c:pt>
                <c:pt idx="323">
                  <c:v>40557</c:v>
                </c:pt>
                <c:pt idx="324">
                  <c:v>40558</c:v>
                </c:pt>
                <c:pt idx="325">
                  <c:v>40558</c:v>
                </c:pt>
                <c:pt idx="326">
                  <c:v>40558</c:v>
                </c:pt>
                <c:pt idx="327">
                  <c:v>40558</c:v>
                </c:pt>
                <c:pt idx="328">
                  <c:v>40558</c:v>
                </c:pt>
                <c:pt idx="329">
                  <c:v>40558</c:v>
                </c:pt>
                <c:pt idx="330">
                  <c:v>40558</c:v>
                </c:pt>
                <c:pt idx="331">
                  <c:v>40558</c:v>
                </c:pt>
                <c:pt idx="332">
                  <c:v>40558</c:v>
                </c:pt>
                <c:pt idx="333">
                  <c:v>40558</c:v>
                </c:pt>
                <c:pt idx="334">
                  <c:v>40558</c:v>
                </c:pt>
                <c:pt idx="335">
                  <c:v>40558</c:v>
                </c:pt>
                <c:pt idx="336">
                  <c:v>40558</c:v>
                </c:pt>
                <c:pt idx="337">
                  <c:v>40558</c:v>
                </c:pt>
                <c:pt idx="338">
                  <c:v>40558</c:v>
                </c:pt>
                <c:pt idx="339">
                  <c:v>40558</c:v>
                </c:pt>
                <c:pt idx="340">
                  <c:v>40558</c:v>
                </c:pt>
                <c:pt idx="341">
                  <c:v>40558</c:v>
                </c:pt>
                <c:pt idx="342">
                  <c:v>40558</c:v>
                </c:pt>
                <c:pt idx="343">
                  <c:v>40558</c:v>
                </c:pt>
                <c:pt idx="344">
                  <c:v>40558</c:v>
                </c:pt>
                <c:pt idx="345">
                  <c:v>40558</c:v>
                </c:pt>
                <c:pt idx="346">
                  <c:v>40558</c:v>
                </c:pt>
                <c:pt idx="347">
                  <c:v>40558</c:v>
                </c:pt>
                <c:pt idx="348">
                  <c:v>40559</c:v>
                </c:pt>
                <c:pt idx="349">
                  <c:v>40559</c:v>
                </c:pt>
                <c:pt idx="350">
                  <c:v>40559</c:v>
                </c:pt>
                <c:pt idx="351">
                  <c:v>40559</c:v>
                </c:pt>
                <c:pt idx="352">
                  <c:v>40559</c:v>
                </c:pt>
                <c:pt idx="353">
                  <c:v>40559</c:v>
                </c:pt>
                <c:pt idx="354">
                  <c:v>40559</c:v>
                </c:pt>
                <c:pt idx="355">
                  <c:v>40559</c:v>
                </c:pt>
                <c:pt idx="356">
                  <c:v>40559</c:v>
                </c:pt>
                <c:pt idx="357">
                  <c:v>40559</c:v>
                </c:pt>
                <c:pt idx="358">
                  <c:v>40559</c:v>
                </c:pt>
                <c:pt idx="359">
                  <c:v>40559</c:v>
                </c:pt>
                <c:pt idx="360">
                  <c:v>40559</c:v>
                </c:pt>
                <c:pt idx="361">
                  <c:v>40559</c:v>
                </c:pt>
                <c:pt idx="362">
                  <c:v>40559</c:v>
                </c:pt>
                <c:pt idx="363">
                  <c:v>40559</c:v>
                </c:pt>
                <c:pt idx="364">
                  <c:v>40559</c:v>
                </c:pt>
                <c:pt idx="365">
                  <c:v>40559</c:v>
                </c:pt>
                <c:pt idx="366">
                  <c:v>40559</c:v>
                </c:pt>
                <c:pt idx="367">
                  <c:v>40559</c:v>
                </c:pt>
                <c:pt idx="368">
                  <c:v>40559</c:v>
                </c:pt>
                <c:pt idx="369">
                  <c:v>40559</c:v>
                </c:pt>
                <c:pt idx="370">
                  <c:v>40559</c:v>
                </c:pt>
                <c:pt idx="371">
                  <c:v>40559</c:v>
                </c:pt>
                <c:pt idx="372">
                  <c:v>40560</c:v>
                </c:pt>
                <c:pt idx="373">
                  <c:v>40560</c:v>
                </c:pt>
                <c:pt idx="374">
                  <c:v>40560</c:v>
                </c:pt>
                <c:pt idx="375">
                  <c:v>40560</c:v>
                </c:pt>
                <c:pt idx="376">
                  <c:v>40560</c:v>
                </c:pt>
                <c:pt idx="377">
                  <c:v>40560</c:v>
                </c:pt>
                <c:pt idx="378">
                  <c:v>40560</c:v>
                </c:pt>
                <c:pt idx="379">
                  <c:v>40560</c:v>
                </c:pt>
                <c:pt idx="380">
                  <c:v>40560</c:v>
                </c:pt>
                <c:pt idx="381">
                  <c:v>40560</c:v>
                </c:pt>
                <c:pt idx="382">
                  <c:v>40560</c:v>
                </c:pt>
                <c:pt idx="383">
                  <c:v>40560</c:v>
                </c:pt>
                <c:pt idx="384">
                  <c:v>40560</c:v>
                </c:pt>
                <c:pt idx="385">
                  <c:v>40560</c:v>
                </c:pt>
                <c:pt idx="386">
                  <c:v>40560</c:v>
                </c:pt>
                <c:pt idx="387">
                  <c:v>40560</c:v>
                </c:pt>
                <c:pt idx="388">
                  <c:v>40560</c:v>
                </c:pt>
                <c:pt idx="389">
                  <c:v>40560</c:v>
                </c:pt>
                <c:pt idx="390">
                  <c:v>40560</c:v>
                </c:pt>
                <c:pt idx="391">
                  <c:v>40560</c:v>
                </c:pt>
                <c:pt idx="392">
                  <c:v>40560</c:v>
                </c:pt>
                <c:pt idx="393">
                  <c:v>40560</c:v>
                </c:pt>
                <c:pt idx="394">
                  <c:v>40560</c:v>
                </c:pt>
                <c:pt idx="395">
                  <c:v>40560</c:v>
                </c:pt>
                <c:pt idx="396">
                  <c:v>40561</c:v>
                </c:pt>
                <c:pt idx="397">
                  <c:v>40561</c:v>
                </c:pt>
                <c:pt idx="398">
                  <c:v>40561</c:v>
                </c:pt>
                <c:pt idx="399">
                  <c:v>40561</c:v>
                </c:pt>
                <c:pt idx="400">
                  <c:v>40561</c:v>
                </c:pt>
                <c:pt idx="401">
                  <c:v>40561</c:v>
                </c:pt>
                <c:pt idx="402">
                  <c:v>40561</c:v>
                </c:pt>
                <c:pt idx="403">
                  <c:v>40561</c:v>
                </c:pt>
                <c:pt idx="404">
                  <c:v>40561</c:v>
                </c:pt>
                <c:pt idx="405">
                  <c:v>40561</c:v>
                </c:pt>
                <c:pt idx="406">
                  <c:v>40561</c:v>
                </c:pt>
                <c:pt idx="407">
                  <c:v>40561</c:v>
                </c:pt>
                <c:pt idx="408">
                  <c:v>40562</c:v>
                </c:pt>
                <c:pt idx="409">
                  <c:v>40562</c:v>
                </c:pt>
                <c:pt idx="410">
                  <c:v>40562</c:v>
                </c:pt>
                <c:pt idx="411">
                  <c:v>40562</c:v>
                </c:pt>
                <c:pt idx="412">
                  <c:v>40562</c:v>
                </c:pt>
                <c:pt idx="413">
                  <c:v>40562</c:v>
                </c:pt>
                <c:pt idx="414">
                  <c:v>40562</c:v>
                </c:pt>
                <c:pt idx="415">
                  <c:v>40562</c:v>
                </c:pt>
                <c:pt idx="416">
                  <c:v>40562</c:v>
                </c:pt>
                <c:pt idx="417">
                  <c:v>40562</c:v>
                </c:pt>
                <c:pt idx="418">
                  <c:v>40562</c:v>
                </c:pt>
                <c:pt idx="419">
                  <c:v>40562</c:v>
                </c:pt>
                <c:pt idx="420">
                  <c:v>40562</c:v>
                </c:pt>
                <c:pt idx="421">
                  <c:v>40562</c:v>
                </c:pt>
                <c:pt idx="422">
                  <c:v>40562</c:v>
                </c:pt>
                <c:pt idx="423">
                  <c:v>40562</c:v>
                </c:pt>
                <c:pt idx="424">
                  <c:v>40562</c:v>
                </c:pt>
                <c:pt idx="425">
                  <c:v>40562</c:v>
                </c:pt>
                <c:pt idx="426">
                  <c:v>40562</c:v>
                </c:pt>
                <c:pt idx="427">
                  <c:v>40562</c:v>
                </c:pt>
                <c:pt idx="428">
                  <c:v>40562</c:v>
                </c:pt>
                <c:pt idx="429">
                  <c:v>40562</c:v>
                </c:pt>
                <c:pt idx="430">
                  <c:v>40562</c:v>
                </c:pt>
                <c:pt idx="431">
                  <c:v>40563</c:v>
                </c:pt>
                <c:pt idx="432">
                  <c:v>40563</c:v>
                </c:pt>
                <c:pt idx="433">
                  <c:v>40563</c:v>
                </c:pt>
                <c:pt idx="434">
                  <c:v>40563</c:v>
                </c:pt>
                <c:pt idx="435">
                  <c:v>40563</c:v>
                </c:pt>
                <c:pt idx="436">
                  <c:v>40563</c:v>
                </c:pt>
                <c:pt idx="437">
                  <c:v>40563</c:v>
                </c:pt>
                <c:pt idx="438">
                  <c:v>40563</c:v>
                </c:pt>
                <c:pt idx="439">
                  <c:v>40563</c:v>
                </c:pt>
                <c:pt idx="440">
                  <c:v>40563</c:v>
                </c:pt>
                <c:pt idx="441">
                  <c:v>40563</c:v>
                </c:pt>
                <c:pt idx="442">
                  <c:v>40563</c:v>
                </c:pt>
                <c:pt idx="443">
                  <c:v>40563</c:v>
                </c:pt>
                <c:pt idx="444">
                  <c:v>40563</c:v>
                </c:pt>
                <c:pt idx="445">
                  <c:v>40563</c:v>
                </c:pt>
                <c:pt idx="446">
                  <c:v>40563</c:v>
                </c:pt>
                <c:pt idx="447">
                  <c:v>40563</c:v>
                </c:pt>
                <c:pt idx="448">
                  <c:v>40563</c:v>
                </c:pt>
                <c:pt idx="449">
                  <c:v>40563</c:v>
                </c:pt>
                <c:pt idx="450">
                  <c:v>40563</c:v>
                </c:pt>
                <c:pt idx="451">
                  <c:v>40563</c:v>
                </c:pt>
                <c:pt idx="452">
                  <c:v>40563</c:v>
                </c:pt>
                <c:pt idx="453">
                  <c:v>40563</c:v>
                </c:pt>
                <c:pt idx="454">
                  <c:v>40563</c:v>
                </c:pt>
                <c:pt idx="455">
                  <c:v>40564</c:v>
                </c:pt>
                <c:pt idx="456">
                  <c:v>40564</c:v>
                </c:pt>
                <c:pt idx="457">
                  <c:v>40564</c:v>
                </c:pt>
                <c:pt idx="458">
                  <c:v>40564</c:v>
                </c:pt>
                <c:pt idx="459">
                  <c:v>40564</c:v>
                </c:pt>
                <c:pt idx="460">
                  <c:v>40564</c:v>
                </c:pt>
                <c:pt idx="461">
                  <c:v>40564</c:v>
                </c:pt>
                <c:pt idx="462">
                  <c:v>40564</c:v>
                </c:pt>
                <c:pt idx="463">
                  <c:v>40564</c:v>
                </c:pt>
                <c:pt idx="464">
                  <c:v>40564</c:v>
                </c:pt>
                <c:pt idx="465">
                  <c:v>40564</c:v>
                </c:pt>
                <c:pt idx="466">
                  <c:v>40564</c:v>
                </c:pt>
                <c:pt idx="467">
                  <c:v>40564</c:v>
                </c:pt>
                <c:pt idx="468">
                  <c:v>40564</c:v>
                </c:pt>
                <c:pt idx="469">
                  <c:v>40564</c:v>
                </c:pt>
                <c:pt idx="470">
                  <c:v>40564</c:v>
                </c:pt>
                <c:pt idx="471">
                  <c:v>40564</c:v>
                </c:pt>
                <c:pt idx="472">
                  <c:v>40564</c:v>
                </c:pt>
                <c:pt idx="473">
                  <c:v>40564</c:v>
                </c:pt>
                <c:pt idx="474">
                  <c:v>40564</c:v>
                </c:pt>
                <c:pt idx="475">
                  <c:v>40564</c:v>
                </c:pt>
                <c:pt idx="476">
                  <c:v>40564</c:v>
                </c:pt>
                <c:pt idx="477">
                  <c:v>40564</c:v>
                </c:pt>
                <c:pt idx="478">
                  <c:v>40564</c:v>
                </c:pt>
                <c:pt idx="479">
                  <c:v>40565</c:v>
                </c:pt>
                <c:pt idx="480">
                  <c:v>40565</c:v>
                </c:pt>
                <c:pt idx="481">
                  <c:v>40565</c:v>
                </c:pt>
                <c:pt idx="482">
                  <c:v>40565</c:v>
                </c:pt>
                <c:pt idx="483">
                  <c:v>40565</c:v>
                </c:pt>
                <c:pt idx="484">
                  <c:v>40565</c:v>
                </c:pt>
                <c:pt idx="485">
                  <c:v>40565</c:v>
                </c:pt>
                <c:pt idx="486">
                  <c:v>40565</c:v>
                </c:pt>
                <c:pt idx="487">
                  <c:v>40565</c:v>
                </c:pt>
                <c:pt idx="488">
                  <c:v>40565</c:v>
                </c:pt>
                <c:pt idx="489">
                  <c:v>40565</c:v>
                </c:pt>
                <c:pt idx="490">
                  <c:v>40565</c:v>
                </c:pt>
                <c:pt idx="491">
                  <c:v>40565</c:v>
                </c:pt>
                <c:pt idx="492">
                  <c:v>40565</c:v>
                </c:pt>
                <c:pt idx="493">
                  <c:v>40565</c:v>
                </c:pt>
                <c:pt idx="494">
                  <c:v>40565</c:v>
                </c:pt>
                <c:pt idx="495">
                  <c:v>40565</c:v>
                </c:pt>
                <c:pt idx="496">
                  <c:v>40565</c:v>
                </c:pt>
                <c:pt idx="497">
                  <c:v>40565</c:v>
                </c:pt>
                <c:pt idx="498">
                  <c:v>40565</c:v>
                </c:pt>
                <c:pt idx="499">
                  <c:v>40565</c:v>
                </c:pt>
                <c:pt idx="500">
                  <c:v>40565</c:v>
                </c:pt>
                <c:pt idx="501">
                  <c:v>40565</c:v>
                </c:pt>
                <c:pt idx="502">
                  <c:v>40566</c:v>
                </c:pt>
                <c:pt idx="503">
                  <c:v>40566</c:v>
                </c:pt>
                <c:pt idx="504">
                  <c:v>40566</c:v>
                </c:pt>
                <c:pt idx="505">
                  <c:v>40566</c:v>
                </c:pt>
                <c:pt idx="506">
                  <c:v>40566</c:v>
                </c:pt>
                <c:pt idx="507">
                  <c:v>40566</c:v>
                </c:pt>
                <c:pt idx="508">
                  <c:v>40566</c:v>
                </c:pt>
                <c:pt idx="509">
                  <c:v>40566</c:v>
                </c:pt>
                <c:pt idx="510">
                  <c:v>40566</c:v>
                </c:pt>
                <c:pt idx="511">
                  <c:v>40566</c:v>
                </c:pt>
                <c:pt idx="512">
                  <c:v>40566</c:v>
                </c:pt>
                <c:pt idx="513">
                  <c:v>40566</c:v>
                </c:pt>
                <c:pt idx="514">
                  <c:v>40566</c:v>
                </c:pt>
                <c:pt idx="515">
                  <c:v>40566</c:v>
                </c:pt>
                <c:pt idx="516">
                  <c:v>40566</c:v>
                </c:pt>
                <c:pt idx="517">
                  <c:v>40566</c:v>
                </c:pt>
                <c:pt idx="518">
                  <c:v>40566</c:v>
                </c:pt>
                <c:pt idx="519">
                  <c:v>40566</c:v>
                </c:pt>
                <c:pt idx="520">
                  <c:v>40566</c:v>
                </c:pt>
                <c:pt idx="521">
                  <c:v>40566</c:v>
                </c:pt>
                <c:pt idx="522">
                  <c:v>40566</c:v>
                </c:pt>
                <c:pt idx="523">
                  <c:v>40566</c:v>
                </c:pt>
                <c:pt idx="524">
                  <c:v>40566</c:v>
                </c:pt>
                <c:pt idx="525">
                  <c:v>40567</c:v>
                </c:pt>
                <c:pt idx="526">
                  <c:v>40567</c:v>
                </c:pt>
                <c:pt idx="527">
                  <c:v>40567</c:v>
                </c:pt>
                <c:pt idx="528">
                  <c:v>40567</c:v>
                </c:pt>
                <c:pt idx="529">
                  <c:v>40567</c:v>
                </c:pt>
                <c:pt idx="530">
                  <c:v>40567</c:v>
                </c:pt>
                <c:pt idx="531">
                  <c:v>40567</c:v>
                </c:pt>
                <c:pt idx="532">
                  <c:v>40567</c:v>
                </c:pt>
                <c:pt idx="533">
                  <c:v>40567</c:v>
                </c:pt>
                <c:pt idx="534">
                  <c:v>40567</c:v>
                </c:pt>
                <c:pt idx="535">
                  <c:v>40567</c:v>
                </c:pt>
                <c:pt idx="536">
                  <c:v>40567</c:v>
                </c:pt>
                <c:pt idx="537">
                  <c:v>40567</c:v>
                </c:pt>
                <c:pt idx="538">
                  <c:v>40567</c:v>
                </c:pt>
                <c:pt idx="539">
                  <c:v>40567</c:v>
                </c:pt>
                <c:pt idx="540">
                  <c:v>40567</c:v>
                </c:pt>
                <c:pt idx="541">
                  <c:v>40567</c:v>
                </c:pt>
                <c:pt idx="542">
                  <c:v>40567</c:v>
                </c:pt>
                <c:pt idx="543">
                  <c:v>40567</c:v>
                </c:pt>
                <c:pt idx="544">
                  <c:v>40567</c:v>
                </c:pt>
                <c:pt idx="545">
                  <c:v>40567</c:v>
                </c:pt>
                <c:pt idx="546">
                  <c:v>40567</c:v>
                </c:pt>
                <c:pt idx="547">
                  <c:v>40567</c:v>
                </c:pt>
                <c:pt idx="548">
                  <c:v>40568</c:v>
                </c:pt>
                <c:pt idx="549">
                  <c:v>40568</c:v>
                </c:pt>
                <c:pt idx="550">
                  <c:v>40568</c:v>
                </c:pt>
                <c:pt idx="551">
                  <c:v>40568</c:v>
                </c:pt>
                <c:pt idx="552">
                  <c:v>40568</c:v>
                </c:pt>
                <c:pt idx="553">
                  <c:v>40568</c:v>
                </c:pt>
                <c:pt idx="554">
                  <c:v>40568</c:v>
                </c:pt>
                <c:pt idx="555">
                  <c:v>40568</c:v>
                </c:pt>
                <c:pt idx="556">
                  <c:v>40568</c:v>
                </c:pt>
                <c:pt idx="557">
                  <c:v>40568</c:v>
                </c:pt>
                <c:pt idx="558">
                  <c:v>40568</c:v>
                </c:pt>
                <c:pt idx="559">
                  <c:v>40568</c:v>
                </c:pt>
                <c:pt idx="560">
                  <c:v>40568</c:v>
                </c:pt>
                <c:pt idx="561">
                  <c:v>40568</c:v>
                </c:pt>
                <c:pt idx="562">
                  <c:v>40568</c:v>
                </c:pt>
                <c:pt idx="563">
                  <c:v>40568</c:v>
                </c:pt>
                <c:pt idx="564">
                  <c:v>40568</c:v>
                </c:pt>
                <c:pt idx="565">
                  <c:v>40568</c:v>
                </c:pt>
                <c:pt idx="566">
                  <c:v>40568</c:v>
                </c:pt>
                <c:pt idx="567">
                  <c:v>40568</c:v>
                </c:pt>
                <c:pt idx="568">
                  <c:v>40568</c:v>
                </c:pt>
                <c:pt idx="569">
                  <c:v>40568</c:v>
                </c:pt>
                <c:pt idx="570">
                  <c:v>40568</c:v>
                </c:pt>
                <c:pt idx="571">
                  <c:v>40569</c:v>
                </c:pt>
                <c:pt idx="572">
                  <c:v>40569</c:v>
                </c:pt>
                <c:pt idx="573">
                  <c:v>40569</c:v>
                </c:pt>
                <c:pt idx="574">
                  <c:v>40569</c:v>
                </c:pt>
                <c:pt idx="575">
                  <c:v>40569</c:v>
                </c:pt>
                <c:pt idx="576">
                  <c:v>40569</c:v>
                </c:pt>
                <c:pt idx="577">
                  <c:v>40569</c:v>
                </c:pt>
                <c:pt idx="578">
                  <c:v>40569</c:v>
                </c:pt>
                <c:pt idx="579">
                  <c:v>40569</c:v>
                </c:pt>
                <c:pt idx="580">
                  <c:v>40569</c:v>
                </c:pt>
                <c:pt idx="581">
                  <c:v>40569</c:v>
                </c:pt>
                <c:pt idx="582">
                  <c:v>40569</c:v>
                </c:pt>
                <c:pt idx="583">
                  <c:v>40569</c:v>
                </c:pt>
                <c:pt idx="584">
                  <c:v>40569</c:v>
                </c:pt>
                <c:pt idx="585">
                  <c:v>40569</c:v>
                </c:pt>
                <c:pt idx="586">
                  <c:v>40569</c:v>
                </c:pt>
                <c:pt idx="587">
                  <c:v>40570</c:v>
                </c:pt>
                <c:pt idx="588">
                  <c:v>40570</c:v>
                </c:pt>
                <c:pt idx="589">
                  <c:v>40570</c:v>
                </c:pt>
                <c:pt idx="590">
                  <c:v>40570</c:v>
                </c:pt>
                <c:pt idx="591">
                  <c:v>40570</c:v>
                </c:pt>
                <c:pt idx="592">
                  <c:v>40570</c:v>
                </c:pt>
                <c:pt idx="593">
                  <c:v>40570</c:v>
                </c:pt>
                <c:pt idx="594">
                  <c:v>40570</c:v>
                </c:pt>
                <c:pt idx="595">
                  <c:v>40571</c:v>
                </c:pt>
                <c:pt idx="596">
                  <c:v>40571</c:v>
                </c:pt>
                <c:pt idx="597">
                  <c:v>40571</c:v>
                </c:pt>
                <c:pt idx="598">
                  <c:v>40571</c:v>
                </c:pt>
                <c:pt idx="599">
                  <c:v>40571</c:v>
                </c:pt>
                <c:pt idx="600">
                  <c:v>40571</c:v>
                </c:pt>
                <c:pt idx="601">
                  <c:v>40571</c:v>
                </c:pt>
                <c:pt idx="602">
                  <c:v>40571</c:v>
                </c:pt>
                <c:pt idx="603">
                  <c:v>40571</c:v>
                </c:pt>
                <c:pt idx="604">
                  <c:v>40571</c:v>
                </c:pt>
                <c:pt idx="605">
                  <c:v>40571</c:v>
                </c:pt>
                <c:pt idx="606">
                  <c:v>40571</c:v>
                </c:pt>
                <c:pt idx="607">
                  <c:v>40571</c:v>
                </c:pt>
                <c:pt idx="608">
                  <c:v>40571</c:v>
                </c:pt>
                <c:pt idx="609">
                  <c:v>40571</c:v>
                </c:pt>
                <c:pt idx="610">
                  <c:v>40572</c:v>
                </c:pt>
                <c:pt idx="611">
                  <c:v>40572</c:v>
                </c:pt>
                <c:pt idx="612">
                  <c:v>40572</c:v>
                </c:pt>
                <c:pt idx="613">
                  <c:v>40572</c:v>
                </c:pt>
                <c:pt idx="614">
                  <c:v>40572</c:v>
                </c:pt>
                <c:pt idx="615">
                  <c:v>40572</c:v>
                </c:pt>
                <c:pt idx="616">
                  <c:v>40572</c:v>
                </c:pt>
                <c:pt idx="617">
                  <c:v>40572</c:v>
                </c:pt>
                <c:pt idx="618">
                  <c:v>40572</c:v>
                </c:pt>
                <c:pt idx="619">
                  <c:v>40572</c:v>
                </c:pt>
                <c:pt idx="620">
                  <c:v>40572</c:v>
                </c:pt>
                <c:pt idx="621">
                  <c:v>40572</c:v>
                </c:pt>
                <c:pt idx="622">
                  <c:v>40572</c:v>
                </c:pt>
                <c:pt idx="623">
                  <c:v>40572</c:v>
                </c:pt>
                <c:pt idx="624">
                  <c:v>40572</c:v>
                </c:pt>
                <c:pt idx="625">
                  <c:v>40572</c:v>
                </c:pt>
                <c:pt idx="626">
                  <c:v>40572</c:v>
                </c:pt>
                <c:pt idx="627">
                  <c:v>40572</c:v>
                </c:pt>
                <c:pt idx="628">
                  <c:v>40572</c:v>
                </c:pt>
                <c:pt idx="629">
                  <c:v>40572</c:v>
                </c:pt>
                <c:pt idx="630">
                  <c:v>40572</c:v>
                </c:pt>
                <c:pt idx="631">
                  <c:v>40572</c:v>
                </c:pt>
                <c:pt idx="632">
                  <c:v>40573</c:v>
                </c:pt>
                <c:pt idx="633">
                  <c:v>40573</c:v>
                </c:pt>
                <c:pt idx="634">
                  <c:v>40573</c:v>
                </c:pt>
                <c:pt idx="635">
                  <c:v>40573</c:v>
                </c:pt>
                <c:pt idx="636">
                  <c:v>40573</c:v>
                </c:pt>
                <c:pt idx="637">
                  <c:v>40573</c:v>
                </c:pt>
                <c:pt idx="638">
                  <c:v>40573</c:v>
                </c:pt>
                <c:pt idx="639">
                  <c:v>40573</c:v>
                </c:pt>
                <c:pt idx="640">
                  <c:v>40573</c:v>
                </c:pt>
                <c:pt idx="641">
                  <c:v>40573</c:v>
                </c:pt>
                <c:pt idx="642">
                  <c:v>40573</c:v>
                </c:pt>
                <c:pt idx="643">
                  <c:v>40573</c:v>
                </c:pt>
                <c:pt idx="644">
                  <c:v>40573</c:v>
                </c:pt>
                <c:pt idx="645">
                  <c:v>40573</c:v>
                </c:pt>
                <c:pt idx="646">
                  <c:v>40573</c:v>
                </c:pt>
                <c:pt idx="647">
                  <c:v>40573</c:v>
                </c:pt>
                <c:pt idx="648">
                  <c:v>40573</c:v>
                </c:pt>
                <c:pt idx="649">
                  <c:v>40573</c:v>
                </c:pt>
                <c:pt idx="650">
                  <c:v>40573</c:v>
                </c:pt>
                <c:pt idx="651">
                  <c:v>40573</c:v>
                </c:pt>
                <c:pt idx="652">
                  <c:v>40573</c:v>
                </c:pt>
                <c:pt idx="653">
                  <c:v>40573</c:v>
                </c:pt>
                <c:pt idx="654">
                  <c:v>40573</c:v>
                </c:pt>
                <c:pt idx="655">
                  <c:v>40574</c:v>
                </c:pt>
                <c:pt idx="656">
                  <c:v>40574</c:v>
                </c:pt>
                <c:pt idx="657">
                  <c:v>40574</c:v>
                </c:pt>
                <c:pt idx="658">
                  <c:v>40574</c:v>
                </c:pt>
                <c:pt idx="659">
                  <c:v>40574</c:v>
                </c:pt>
                <c:pt idx="660">
                  <c:v>40574</c:v>
                </c:pt>
                <c:pt idx="661">
                  <c:v>40574</c:v>
                </c:pt>
                <c:pt idx="662">
                  <c:v>40574</c:v>
                </c:pt>
                <c:pt idx="663">
                  <c:v>40574</c:v>
                </c:pt>
                <c:pt idx="664">
                  <c:v>40574</c:v>
                </c:pt>
                <c:pt idx="665">
                  <c:v>40574</c:v>
                </c:pt>
                <c:pt idx="666">
                  <c:v>40574</c:v>
                </c:pt>
                <c:pt idx="667">
                  <c:v>40574</c:v>
                </c:pt>
                <c:pt idx="668">
                  <c:v>40574</c:v>
                </c:pt>
                <c:pt idx="669">
                  <c:v>40574</c:v>
                </c:pt>
                <c:pt idx="670">
                  <c:v>40574</c:v>
                </c:pt>
                <c:pt idx="671">
                  <c:v>40574</c:v>
                </c:pt>
                <c:pt idx="672">
                  <c:v>40574</c:v>
                </c:pt>
                <c:pt idx="673">
                  <c:v>40574</c:v>
                </c:pt>
                <c:pt idx="674">
                  <c:v>40574</c:v>
                </c:pt>
                <c:pt idx="675">
                  <c:v>40574</c:v>
                </c:pt>
                <c:pt idx="676">
                  <c:v>40574</c:v>
                </c:pt>
                <c:pt idx="677">
                  <c:v>40574</c:v>
                </c:pt>
                <c:pt idx="678">
                  <c:v>40574</c:v>
                </c:pt>
                <c:pt idx="679">
                  <c:v>40575</c:v>
                </c:pt>
                <c:pt idx="680">
                  <c:v>40575</c:v>
                </c:pt>
                <c:pt idx="681">
                  <c:v>40575</c:v>
                </c:pt>
                <c:pt idx="682">
                  <c:v>40575</c:v>
                </c:pt>
                <c:pt idx="683">
                  <c:v>40575</c:v>
                </c:pt>
                <c:pt idx="684">
                  <c:v>40575</c:v>
                </c:pt>
                <c:pt idx="685">
                  <c:v>40575</c:v>
                </c:pt>
                <c:pt idx="686">
                  <c:v>40575</c:v>
                </c:pt>
                <c:pt idx="687">
                  <c:v>40575</c:v>
                </c:pt>
                <c:pt idx="688">
                  <c:v>40575</c:v>
                </c:pt>
                <c:pt idx="689">
                  <c:v>40575</c:v>
                </c:pt>
                <c:pt idx="690">
                  <c:v>40575</c:v>
                </c:pt>
                <c:pt idx="691">
                  <c:v>40575</c:v>
                </c:pt>
                <c:pt idx="692">
                  <c:v>40575</c:v>
                </c:pt>
                <c:pt idx="693">
                  <c:v>40575</c:v>
                </c:pt>
                <c:pt idx="694">
                  <c:v>40575</c:v>
                </c:pt>
                <c:pt idx="695">
                  <c:v>40575</c:v>
                </c:pt>
                <c:pt idx="696">
                  <c:v>40575</c:v>
                </c:pt>
                <c:pt idx="697">
                  <c:v>40575</c:v>
                </c:pt>
                <c:pt idx="698">
                  <c:v>40575</c:v>
                </c:pt>
                <c:pt idx="699">
                  <c:v>40575</c:v>
                </c:pt>
                <c:pt idx="700">
                  <c:v>40575</c:v>
                </c:pt>
                <c:pt idx="701">
                  <c:v>40575</c:v>
                </c:pt>
                <c:pt idx="702">
                  <c:v>40576</c:v>
                </c:pt>
                <c:pt idx="703">
                  <c:v>40576</c:v>
                </c:pt>
                <c:pt idx="704">
                  <c:v>40576</c:v>
                </c:pt>
                <c:pt idx="705">
                  <c:v>40576</c:v>
                </c:pt>
                <c:pt idx="706">
                  <c:v>40576</c:v>
                </c:pt>
                <c:pt idx="707">
                  <c:v>40576</c:v>
                </c:pt>
                <c:pt idx="708">
                  <c:v>40576</c:v>
                </c:pt>
                <c:pt idx="709">
                  <c:v>40576</c:v>
                </c:pt>
                <c:pt idx="710">
                  <c:v>40576</c:v>
                </c:pt>
                <c:pt idx="711">
                  <c:v>40576</c:v>
                </c:pt>
                <c:pt idx="712">
                  <c:v>40576</c:v>
                </c:pt>
                <c:pt idx="713">
                  <c:v>40576</c:v>
                </c:pt>
                <c:pt idx="714">
                  <c:v>40576</c:v>
                </c:pt>
                <c:pt idx="715">
                  <c:v>40576</c:v>
                </c:pt>
                <c:pt idx="716">
                  <c:v>40576</c:v>
                </c:pt>
                <c:pt idx="717">
                  <c:v>40576</c:v>
                </c:pt>
                <c:pt idx="718">
                  <c:v>40576</c:v>
                </c:pt>
                <c:pt idx="719">
                  <c:v>40576</c:v>
                </c:pt>
                <c:pt idx="720">
                  <c:v>40576</c:v>
                </c:pt>
                <c:pt idx="721">
                  <c:v>40576</c:v>
                </c:pt>
                <c:pt idx="722">
                  <c:v>40576</c:v>
                </c:pt>
                <c:pt idx="723">
                  <c:v>40576</c:v>
                </c:pt>
                <c:pt idx="724">
                  <c:v>40576</c:v>
                </c:pt>
                <c:pt idx="725">
                  <c:v>40576</c:v>
                </c:pt>
                <c:pt idx="726">
                  <c:v>40577</c:v>
                </c:pt>
                <c:pt idx="727">
                  <c:v>40577</c:v>
                </c:pt>
                <c:pt idx="728">
                  <c:v>40577</c:v>
                </c:pt>
                <c:pt idx="729">
                  <c:v>40577</c:v>
                </c:pt>
                <c:pt idx="730">
                  <c:v>40577</c:v>
                </c:pt>
                <c:pt idx="731">
                  <c:v>40577</c:v>
                </c:pt>
                <c:pt idx="732">
                  <c:v>40577</c:v>
                </c:pt>
                <c:pt idx="733">
                  <c:v>40577</c:v>
                </c:pt>
                <c:pt idx="734">
                  <c:v>40577</c:v>
                </c:pt>
                <c:pt idx="735">
                  <c:v>40577</c:v>
                </c:pt>
                <c:pt idx="736">
                  <c:v>40577</c:v>
                </c:pt>
                <c:pt idx="737">
                  <c:v>40577</c:v>
                </c:pt>
                <c:pt idx="738">
                  <c:v>40577</c:v>
                </c:pt>
                <c:pt idx="739">
                  <c:v>40577</c:v>
                </c:pt>
                <c:pt idx="740">
                  <c:v>40577</c:v>
                </c:pt>
                <c:pt idx="741">
                  <c:v>40577</c:v>
                </c:pt>
                <c:pt idx="742">
                  <c:v>40577</c:v>
                </c:pt>
                <c:pt idx="743">
                  <c:v>40577</c:v>
                </c:pt>
                <c:pt idx="744">
                  <c:v>40577</c:v>
                </c:pt>
                <c:pt idx="745">
                  <c:v>40577</c:v>
                </c:pt>
                <c:pt idx="746">
                  <c:v>40577</c:v>
                </c:pt>
                <c:pt idx="747">
                  <c:v>40577</c:v>
                </c:pt>
                <c:pt idx="748">
                  <c:v>40577</c:v>
                </c:pt>
                <c:pt idx="749">
                  <c:v>40578</c:v>
                </c:pt>
                <c:pt idx="750">
                  <c:v>40578</c:v>
                </c:pt>
                <c:pt idx="751">
                  <c:v>40578</c:v>
                </c:pt>
                <c:pt idx="752">
                  <c:v>40578</c:v>
                </c:pt>
                <c:pt idx="753">
                  <c:v>40578</c:v>
                </c:pt>
                <c:pt idx="754">
                  <c:v>40578</c:v>
                </c:pt>
                <c:pt idx="755">
                  <c:v>40578</c:v>
                </c:pt>
                <c:pt idx="756">
                  <c:v>40578</c:v>
                </c:pt>
                <c:pt idx="757">
                  <c:v>40578</c:v>
                </c:pt>
                <c:pt idx="758">
                  <c:v>40578</c:v>
                </c:pt>
                <c:pt idx="759">
                  <c:v>40578</c:v>
                </c:pt>
                <c:pt idx="760">
                  <c:v>40578</c:v>
                </c:pt>
                <c:pt idx="761">
                  <c:v>40578</c:v>
                </c:pt>
                <c:pt idx="762">
                  <c:v>40578</c:v>
                </c:pt>
                <c:pt idx="763">
                  <c:v>40578</c:v>
                </c:pt>
                <c:pt idx="764">
                  <c:v>40578</c:v>
                </c:pt>
                <c:pt idx="765">
                  <c:v>40578</c:v>
                </c:pt>
                <c:pt idx="766">
                  <c:v>40578</c:v>
                </c:pt>
                <c:pt idx="767">
                  <c:v>40578</c:v>
                </c:pt>
                <c:pt idx="768">
                  <c:v>40578</c:v>
                </c:pt>
                <c:pt idx="769">
                  <c:v>40578</c:v>
                </c:pt>
                <c:pt idx="770">
                  <c:v>40578</c:v>
                </c:pt>
                <c:pt idx="771">
                  <c:v>40578</c:v>
                </c:pt>
                <c:pt idx="772">
                  <c:v>40579</c:v>
                </c:pt>
                <c:pt idx="773">
                  <c:v>40579</c:v>
                </c:pt>
                <c:pt idx="774">
                  <c:v>40579</c:v>
                </c:pt>
                <c:pt idx="775">
                  <c:v>40579</c:v>
                </c:pt>
                <c:pt idx="776">
                  <c:v>40579</c:v>
                </c:pt>
                <c:pt idx="777">
                  <c:v>40579</c:v>
                </c:pt>
                <c:pt idx="778">
                  <c:v>40579</c:v>
                </c:pt>
                <c:pt idx="779">
                  <c:v>40579</c:v>
                </c:pt>
                <c:pt idx="780">
                  <c:v>40579</c:v>
                </c:pt>
                <c:pt idx="781">
                  <c:v>40579</c:v>
                </c:pt>
                <c:pt idx="782">
                  <c:v>40579</c:v>
                </c:pt>
                <c:pt idx="783">
                  <c:v>40579</c:v>
                </c:pt>
                <c:pt idx="784">
                  <c:v>40579</c:v>
                </c:pt>
                <c:pt idx="785">
                  <c:v>40579</c:v>
                </c:pt>
                <c:pt idx="786">
                  <c:v>40579</c:v>
                </c:pt>
                <c:pt idx="787">
                  <c:v>40579</c:v>
                </c:pt>
                <c:pt idx="788">
                  <c:v>40579</c:v>
                </c:pt>
                <c:pt idx="789">
                  <c:v>40579</c:v>
                </c:pt>
                <c:pt idx="790">
                  <c:v>40579</c:v>
                </c:pt>
                <c:pt idx="791">
                  <c:v>40579</c:v>
                </c:pt>
                <c:pt idx="792">
                  <c:v>40579</c:v>
                </c:pt>
                <c:pt idx="793">
                  <c:v>40579</c:v>
                </c:pt>
                <c:pt idx="794">
                  <c:v>40579</c:v>
                </c:pt>
                <c:pt idx="795">
                  <c:v>40579</c:v>
                </c:pt>
                <c:pt idx="796">
                  <c:v>40580</c:v>
                </c:pt>
                <c:pt idx="797">
                  <c:v>40580</c:v>
                </c:pt>
                <c:pt idx="798">
                  <c:v>40580</c:v>
                </c:pt>
                <c:pt idx="799">
                  <c:v>40580</c:v>
                </c:pt>
                <c:pt idx="800">
                  <c:v>40580</c:v>
                </c:pt>
                <c:pt idx="801">
                  <c:v>40580</c:v>
                </c:pt>
                <c:pt idx="802">
                  <c:v>40580</c:v>
                </c:pt>
                <c:pt idx="803">
                  <c:v>40580</c:v>
                </c:pt>
                <c:pt idx="804">
                  <c:v>40580</c:v>
                </c:pt>
                <c:pt idx="805">
                  <c:v>40580</c:v>
                </c:pt>
                <c:pt idx="806">
                  <c:v>40580</c:v>
                </c:pt>
                <c:pt idx="807">
                  <c:v>40580</c:v>
                </c:pt>
                <c:pt idx="808">
                  <c:v>40580</c:v>
                </c:pt>
                <c:pt idx="809">
                  <c:v>40580</c:v>
                </c:pt>
                <c:pt idx="810">
                  <c:v>40580</c:v>
                </c:pt>
                <c:pt idx="811">
                  <c:v>40580</c:v>
                </c:pt>
                <c:pt idx="812">
                  <c:v>40580</c:v>
                </c:pt>
                <c:pt idx="813">
                  <c:v>40580</c:v>
                </c:pt>
                <c:pt idx="814">
                  <c:v>40580</c:v>
                </c:pt>
                <c:pt idx="815">
                  <c:v>40580</c:v>
                </c:pt>
                <c:pt idx="816">
                  <c:v>40580</c:v>
                </c:pt>
                <c:pt idx="817">
                  <c:v>40580</c:v>
                </c:pt>
                <c:pt idx="818">
                  <c:v>40580</c:v>
                </c:pt>
                <c:pt idx="819">
                  <c:v>40580</c:v>
                </c:pt>
                <c:pt idx="820">
                  <c:v>40581</c:v>
                </c:pt>
                <c:pt idx="821">
                  <c:v>40581</c:v>
                </c:pt>
                <c:pt idx="822">
                  <c:v>40581</c:v>
                </c:pt>
                <c:pt idx="823">
                  <c:v>40581</c:v>
                </c:pt>
                <c:pt idx="824">
                  <c:v>40581</c:v>
                </c:pt>
                <c:pt idx="825">
                  <c:v>40581</c:v>
                </c:pt>
                <c:pt idx="826">
                  <c:v>40581</c:v>
                </c:pt>
                <c:pt idx="827">
                  <c:v>40581</c:v>
                </c:pt>
                <c:pt idx="828">
                  <c:v>40581</c:v>
                </c:pt>
                <c:pt idx="829">
                  <c:v>40581</c:v>
                </c:pt>
                <c:pt idx="830">
                  <c:v>40581</c:v>
                </c:pt>
                <c:pt idx="831">
                  <c:v>40581</c:v>
                </c:pt>
                <c:pt idx="832">
                  <c:v>40581</c:v>
                </c:pt>
                <c:pt idx="833">
                  <c:v>40581</c:v>
                </c:pt>
                <c:pt idx="834">
                  <c:v>40581</c:v>
                </c:pt>
                <c:pt idx="835">
                  <c:v>40581</c:v>
                </c:pt>
                <c:pt idx="836">
                  <c:v>40581</c:v>
                </c:pt>
                <c:pt idx="837">
                  <c:v>40581</c:v>
                </c:pt>
                <c:pt idx="838">
                  <c:v>40581</c:v>
                </c:pt>
                <c:pt idx="839">
                  <c:v>40581</c:v>
                </c:pt>
                <c:pt idx="840">
                  <c:v>40581</c:v>
                </c:pt>
                <c:pt idx="841">
                  <c:v>40581</c:v>
                </c:pt>
                <c:pt idx="842">
                  <c:v>40581</c:v>
                </c:pt>
                <c:pt idx="843">
                  <c:v>40581</c:v>
                </c:pt>
                <c:pt idx="844">
                  <c:v>40582</c:v>
                </c:pt>
                <c:pt idx="845">
                  <c:v>40582</c:v>
                </c:pt>
                <c:pt idx="846">
                  <c:v>40582</c:v>
                </c:pt>
                <c:pt idx="847">
                  <c:v>40582</c:v>
                </c:pt>
                <c:pt idx="848">
                  <c:v>40582</c:v>
                </c:pt>
                <c:pt idx="849">
                  <c:v>40582</c:v>
                </c:pt>
                <c:pt idx="850">
                  <c:v>40582</c:v>
                </c:pt>
                <c:pt idx="851">
                  <c:v>40582</c:v>
                </c:pt>
                <c:pt idx="852">
                  <c:v>40582</c:v>
                </c:pt>
                <c:pt idx="853">
                  <c:v>40582</c:v>
                </c:pt>
                <c:pt idx="854">
                  <c:v>40582</c:v>
                </c:pt>
                <c:pt idx="855">
                  <c:v>40582</c:v>
                </c:pt>
                <c:pt idx="856">
                  <c:v>40582</c:v>
                </c:pt>
                <c:pt idx="857">
                  <c:v>40582</c:v>
                </c:pt>
                <c:pt idx="858">
                  <c:v>40582</c:v>
                </c:pt>
                <c:pt idx="859">
                  <c:v>40582</c:v>
                </c:pt>
                <c:pt idx="860">
                  <c:v>40582</c:v>
                </c:pt>
                <c:pt idx="861">
                  <c:v>40582</c:v>
                </c:pt>
                <c:pt idx="862">
                  <c:v>40582</c:v>
                </c:pt>
                <c:pt idx="863">
                  <c:v>40582</c:v>
                </c:pt>
                <c:pt idx="864">
                  <c:v>40582</c:v>
                </c:pt>
                <c:pt idx="865">
                  <c:v>40582</c:v>
                </c:pt>
                <c:pt idx="866">
                  <c:v>40582</c:v>
                </c:pt>
                <c:pt idx="867">
                  <c:v>40582</c:v>
                </c:pt>
                <c:pt idx="868">
                  <c:v>40583</c:v>
                </c:pt>
                <c:pt idx="869">
                  <c:v>40583</c:v>
                </c:pt>
                <c:pt idx="870">
                  <c:v>40583</c:v>
                </c:pt>
                <c:pt idx="871">
                  <c:v>40583</c:v>
                </c:pt>
                <c:pt idx="872">
                  <c:v>40583</c:v>
                </c:pt>
                <c:pt idx="873">
                  <c:v>40583</c:v>
                </c:pt>
                <c:pt idx="874">
                  <c:v>40583</c:v>
                </c:pt>
                <c:pt idx="875">
                  <c:v>40583</c:v>
                </c:pt>
                <c:pt idx="876">
                  <c:v>40583</c:v>
                </c:pt>
                <c:pt idx="877">
                  <c:v>40583</c:v>
                </c:pt>
                <c:pt idx="878">
                  <c:v>40583</c:v>
                </c:pt>
                <c:pt idx="879">
                  <c:v>40583</c:v>
                </c:pt>
                <c:pt idx="880">
                  <c:v>40583</c:v>
                </c:pt>
                <c:pt idx="881">
                  <c:v>40583</c:v>
                </c:pt>
                <c:pt idx="882">
                  <c:v>40583</c:v>
                </c:pt>
                <c:pt idx="883">
                  <c:v>40583</c:v>
                </c:pt>
                <c:pt idx="884">
                  <c:v>40583</c:v>
                </c:pt>
                <c:pt idx="885">
                  <c:v>40583</c:v>
                </c:pt>
                <c:pt idx="886">
                  <c:v>40583</c:v>
                </c:pt>
                <c:pt idx="887">
                  <c:v>40583</c:v>
                </c:pt>
                <c:pt idx="888">
                  <c:v>40583</c:v>
                </c:pt>
                <c:pt idx="889">
                  <c:v>40583</c:v>
                </c:pt>
                <c:pt idx="890">
                  <c:v>40583</c:v>
                </c:pt>
                <c:pt idx="891">
                  <c:v>40584</c:v>
                </c:pt>
                <c:pt idx="892">
                  <c:v>40584</c:v>
                </c:pt>
                <c:pt idx="893">
                  <c:v>40584</c:v>
                </c:pt>
                <c:pt idx="894">
                  <c:v>40584</c:v>
                </c:pt>
                <c:pt idx="895">
                  <c:v>40584</c:v>
                </c:pt>
                <c:pt idx="896">
                  <c:v>40584</c:v>
                </c:pt>
                <c:pt idx="897">
                  <c:v>40584</c:v>
                </c:pt>
                <c:pt idx="898">
                  <c:v>40584</c:v>
                </c:pt>
                <c:pt idx="899">
                  <c:v>40584</c:v>
                </c:pt>
                <c:pt idx="900">
                  <c:v>40584</c:v>
                </c:pt>
                <c:pt idx="901">
                  <c:v>40584</c:v>
                </c:pt>
                <c:pt idx="902">
                  <c:v>40584</c:v>
                </c:pt>
                <c:pt idx="903">
                  <c:v>40584</c:v>
                </c:pt>
                <c:pt idx="904">
                  <c:v>40584</c:v>
                </c:pt>
                <c:pt idx="905">
                  <c:v>40584</c:v>
                </c:pt>
                <c:pt idx="906">
                  <c:v>40584</c:v>
                </c:pt>
                <c:pt idx="907">
                  <c:v>40584</c:v>
                </c:pt>
                <c:pt idx="908">
                  <c:v>40584</c:v>
                </c:pt>
                <c:pt idx="909">
                  <c:v>40584</c:v>
                </c:pt>
                <c:pt idx="910">
                  <c:v>40584</c:v>
                </c:pt>
                <c:pt idx="911">
                  <c:v>40584</c:v>
                </c:pt>
                <c:pt idx="912">
                  <c:v>40584</c:v>
                </c:pt>
                <c:pt idx="913">
                  <c:v>40584</c:v>
                </c:pt>
                <c:pt idx="914">
                  <c:v>40585</c:v>
                </c:pt>
                <c:pt idx="915">
                  <c:v>40585</c:v>
                </c:pt>
                <c:pt idx="916">
                  <c:v>40585</c:v>
                </c:pt>
                <c:pt idx="917">
                  <c:v>40585</c:v>
                </c:pt>
                <c:pt idx="918">
                  <c:v>40585</c:v>
                </c:pt>
                <c:pt idx="919">
                  <c:v>40585</c:v>
                </c:pt>
                <c:pt idx="920">
                  <c:v>40585</c:v>
                </c:pt>
                <c:pt idx="921">
                  <c:v>40585</c:v>
                </c:pt>
                <c:pt idx="922">
                  <c:v>40585</c:v>
                </c:pt>
                <c:pt idx="923">
                  <c:v>40585</c:v>
                </c:pt>
                <c:pt idx="924">
                  <c:v>40585</c:v>
                </c:pt>
                <c:pt idx="925">
                  <c:v>40585</c:v>
                </c:pt>
                <c:pt idx="926">
                  <c:v>40585</c:v>
                </c:pt>
                <c:pt idx="927">
                  <c:v>40585</c:v>
                </c:pt>
                <c:pt idx="928">
                  <c:v>40585</c:v>
                </c:pt>
                <c:pt idx="929">
                  <c:v>40585</c:v>
                </c:pt>
                <c:pt idx="930">
                  <c:v>40585</c:v>
                </c:pt>
                <c:pt idx="931">
                  <c:v>40585</c:v>
                </c:pt>
                <c:pt idx="932">
                  <c:v>40585</c:v>
                </c:pt>
                <c:pt idx="933">
                  <c:v>40585</c:v>
                </c:pt>
                <c:pt idx="934">
                  <c:v>40585</c:v>
                </c:pt>
                <c:pt idx="935">
                  <c:v>40585</c:v>
                </c:pt>
                <c:pt idx="936">
                  <c:v>40586</c:v>
                </c:pt>
                <c:pt idx="937">
                  <c:v>40586</c:v>
                </c:pt>
                <c:pt idx="938">
                  <c:v>40586</c:v>
                </c:pt>
                <c:pt idx="939">
                  <c:v>40586</c:v>
                </c:pt>
                <c:pt idx="940">
                  <c:v>40586</c:v>
                </c:pt>
                <c:pt idx="941">
                  <c:v>40586</c:v>
                </c:pt>
                <c:pt idx="942">
                  <c:v>40586</c:v>
                </c:pt>
                <c:pt idx="943">
                  <c:v>40586</c:v>
                </c:pt>
                <c:pt idx="944">
                  <c:v>40586</c:v>
                </c:pt>
                <c:pt idx="945">
                  <c:v>40586</c:v>
                </c:pt>
                <c:pt idx="946">
                  <c:v>40586</c:v>
                </c:pt>
                <c:pt idx="947">
                  <c:v>40586</c:v>
                </c:pt>
                <c:pt idx="948">
                  <c:v>40586</c:v>
                </c:pt>
                <c:pt idx="949">
                  <c:v>40586</c:v>
                </c:pt>
                <c:pt idx="950">
                  <c:v>40586</c:v>
                </c:pt>
                <c:pt idx="951">
                  <c:v>40586</c:v>
                </c:pt>
                <c:pt idx="952">
                  <c:v>40586</c:v>
                </c:pt>
                <c:pt idx="953">
                  <c:v>40586</c:v>
                </c:pt>
                <c:pt idx="954">
                  <c:v>40586</c:v>
                </c:pt>
                <c:pt idx="955">
                  <c:v>40586</c:v>
                </c:pt>
                <c:pt idx="956">
                  <c:v>40586</c:v>
                </c:pt>
                <c:pt idx="957">
                  <c:v>40586</c:v>
                </c:pt>
                <c:pt idx="958">
                  <c:v>40586</c:v>
                </c:pt>
                <c:pt idx="959">
                  <c:v>40586</c:v>
                </c:pt>
                <c:pt idx="960">
                  <c:v>40587</c:v>
                </c:pt>
                <c:pt idx="961">
                  <c:v>40587</c:v>
                </c:pt>
                <c:pt idx="962">
                  <c:v>40587</c:v>
                </c:pt>
                <c:pt idx="963">
                  <c:v>40587</c:v>
                </c:pt>
                <c:pt idx="964">
                  <c:v>40587</c:v>
                </c:pt>
                <c:pt idx="965">
                  <c:v>40587</c:v>
                </c:pt>
                <c:pt idx="966">
                  <c:v>40587</c:v>
                </c:pt>
                <c:pt idx="967">
                  <c:v>40587</c:v>
                </c:pt>
                <c:pt idx="968">
                  <c:v>40587</c:v>
                </c:pt>
                <c:pt idx="969">
                  <c:v>40587</c:v>
                </c:pt>
                <c:pt idx="970">
                  <c:v>40587</c:v>
                </c:pt>
                <c:pt idx="971">
                  <c:v>40587</c:v>
                </c:pt>
                <c:pt idx="972">
                  <c:v>40587</c:v>
                </c:pt>
                <c:pt idx="973">
                  <c:v>40587</c:v>
                </c:pt>
                <c:pt idx="974">
                  <c:v>40587</c:v>
                </c:pt>
                <c:pt idx="975">
                  <c:v>40587</c:v>
                </c:pt>
                <c:pt idx="976">
                  <c:v>40587</c:v>
                </c:pt>
                <c:pt idx="977">
                  <c:v>40587</c:v>
                </c:pt>
                <c:pt idx="978">
                  <c:v>40587</c:v>
                </c:pt>
                <c:pt idx="979">
                  <c:v>40587</c:v>
                </c:pt>
                <c:pt idx="980">
                  <c:v>40587</c:v>
                </c:pt>
                <c:pt idx="981">
                  <c:v>40587</c:v>
                </c:pt>
                <c:pt idx="982">
                  <c:v>40587</c:v>
                </c:pt>
                <c:pt idx="983">
                  <c:v>40588</c:v>
                </c:pt>
                <c:pt idx="984">
                  <c:v>40588</c:v>
                </c:pt>
                <c:pt idx="985">
                  <c:v>40588</c:v>
                </c:pt>
                <c:pt idx="986">
                  <c:v>40588</c:v>
                </c:pt>
                <c:pt idx="987">
                  <c:v>40588</c:v>
                </c:pt>
                <c:pt idx="988">
                  <c:v>40588</c:v>
                </c:pt>
                <c:pt idx="989">
                  <c:v>40588</c:v>
                </c:pt>
                <c:pt idx="990">
                  <c:v>40588</c:v>
                </c:pt>
                <c:pt idx="991">
                  <c:v>40571</c:v>
                </c:pt>
                <c:pt idx="992">
                  <c:v>40571</c:v>
                </c:pt>
                <c:pt idx="993">
                  <c:v>40571</c:v>
                </c:pt>
                <c:pt idx="994">
                  <c:v>40571</c:v>
                </c:pt>
                <c:pt idx="995">
                  <c:v>40571</c:v>
                </c:pt>
                <c:pt idx="996">
                  <c:v>40571</c:v>
                </c:pt>
                <c:pt idx="997">
                  <c:v>40571</c:v>
                </c:pt>
                <c:pt idx="998">
                  <c:v>40571</c:v>
                </c:pt>
                <c:pt idx="999">
                  <c:v>40572</c:v>
                </c:pt>
              </c:numCache>
            </c:numRef>
          </c:cat>
          <c:val>
            <c:numRef>
              <c:f>'FINAL RESULT'!$M$2:$M$1001</c:f>
              <c:numCache>
                <c:formatCode>General</c:formatCode>
                <c:ptCount val="1000"/>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225</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20</c:v>
                </c:pt>
                <c:pt idx="611">
                  <c:v>15</c:v>
                </c:pt>
                <c:pt idx="612">
                  <c:v>8</c:v>
                </c:pt>
                <c:pt idx="613">
                  <c:v>3</c:v>
                </c:pt>
                <c:pt idx="614">
                  <c:v>2</c:v>
                </c:pt>
                <c:pt idx="615">
                  <c:v>5</c:v>
                </c:pt>
                <c:pt idx="616">
                  <c:v>34</c:v>
                </c:pt>
                <c:pt idx="617">
                  <c:v>34</c:v>
                </c:pt>
                <c:pt idx="618">
                  <c:v>55</c:v>
                </c:pt>
                <c:pt idx="619">
                  <c:v>64</c:v>
                </c:pt>
                <c:pt idx="620">
                  <c:v>78</c:v>
                </c:pt>
                <c:pt idx="621">
                  <c:v>65</c:v>
                </c:pt>
                <c:pt idx="622">
                  <c:v>99</c:v>
                </c:pt>
                <c:pt idx="623">
                  <c:v>120</c:v>
                </c:pt>
                <c:pt idx="624">
                  <c:v>107</c:v>
                </c:pt>
                <c:pt idx="625">
                  <c:v>91</c:v>
                </c:pt>
                <c:pt idx="626">
                  <c:v>68</c:v>
                </c:pt>
                <c:pt idx="627">
                  <c:v>58</c:v>
                </c:pt>
                <c:pt idx="628">
                  <c:v>43</c:v>
                </c:pt>
                <c:pt idx="629">
                  <c:v>36</c:v>
                </c:pt>
                <c:pt idx="630">
                  <c:v>32</c:v>
                </c:pt>
                <c:pt idx="631">
                  <c:v>33</c:v>
                </c:pt>
                <c:pt idx="632">
                  <c:v>33</c:v>
                </c:pt>
                <c:pt idx="633">
                  <c:v>29</c:v>
                </c:pt>
                <c:pt idx="634">
                  <c:v>11</c:v>
                </c:pt>
                <c:pt idx="635">
                  <c:v>8</c:v>
                </c:pt>
                <c:pt idx="636">
                  <c:v>1</c:v>
                </c:pt>
                <c:pt idx="637">
                  <c:v>3</c:v>
                </c:pt>
                <c:pt idx="638">
                  <c:v>3</c:v>
                </c:pt>
                <c:pt idx="639">
                  <c:v>12</c:v>
                </c:pt>
                <c:pt idx="640">
                  <c:v>38</c:v>
                </c:pt>
                <c:pt idx="641">
                  <c:v>64</c:v>
                </c:pt>
                <c:pt idx="642">
                  <c:v>59</c:v>
                </c:pt>
                <c:pt idx="643">
                  <c:v>97</c:v>
                </c:pt>
                <c:pt idx="644">
                  <c:v>84</c:v>
                </c:pt>
                <c:pt idx="645">
                  <c:v>122</c:v>
                </c:pt>
                <c:pt idx="646">
                  <c:v>109</c:v>
                </c:pt>
                <c:pt idx="647">
                  <c:v>123</c:v>
                </c:pt>
                <c:pt idx="648">
                  <c:v>77</c:v>
                </c:pt>
                <c:pt idx="649">
                  <c:v>65</c:v>
                </c:pt>
                <c:pt idx="650">
                  <c:v>55</c:v>
                </c:pt>
                <c:pt idx="651">
                  <c:v>33</c:v>
                </c:pt>
                <c:pt idx="652">
                  <c:v>28</c:v>
                </c:pt>
                <c:pt idx="653">
                  <c:v>21</c:v>
                </c:pt>
                <c:pt idx="654">
                  <c:v>21</c:v>
                </c:pt>
                <c:pt idx="655">
                  <c:v>7</c:v>
                </c:pt>
                <c:pt idx="656">
                  <c:v>7</c:v>
                </c:pt>
                <c:pt idx="657">
                  <c:v>1</c:v>
                </c:pt>
                <c:pt idx="658">
                  <c:v>2</c:v>
                </c:pt>
                <c:pt idx="659">
                  <c:v>2</c:v>
                </c:pt>
                <c:pt idx="660">
                  <c:v>8</c:v>
                </c:pt>
                <c:pt idx="661">
                  <c:v>37</c:v>
                </c:pt>
                <c:pt idx="662">
                  <c:v>72</c:v>
                </c:pt>
                <c:pt idx="663">
                  <c:v>185</c:v>
                </c:pt>
                <c:pt idx="664">
                  <c:v>112</c:v>
                </c:pt>
                <c:pt idx="665">
                  <c:v>69</c:v>
                </c:pt>
                <c:pt idx="666">
                  <c:v>48</c:v>
                </c:pt>
                <c:pt idx="667">
                  <c:v>68</c:v>
                </c:pt>
                <c:pt idx="668">
                  <c:v>54</c:v>
                </c:pt>
                <c:pt idx="669">
                  <c:v>86</c:v>
                </c:pt>
                <c:pt idx="670">
                  <c:v>44</c:v>
                </c:pt>
                <c:pt idx="671">
                  <c:v>86</c:v>
                </c:pt>
                <c:pt idx="672">
                  <c:v>161</c:v>
                </c:pt>
                <c:pt idx="673">
                  <c:v>156</c:v>
                </c:pt>
                <c:pt idx="674">
                  <c:v>111</c:v>
                </c:pt>
                <c:pt idx="675">
                  <c:v>78</c:v>
                </c:pt>
                <c:pt idx="676">
                  <c:v>56</c:v>
                </c:pt>
                <c:pt idx="677">
                  <c:v>34</c:v>
                </c:pt>
                <c:pt idx="678">
                  <c:v>17</c:v>
                </c:pt>
                <c:pt idx="679">
                  <c:v>8</c:v>
                </c:pt>
                <c:pt idx="680">
                  <c:v>3</c:v>
                </c:pt>
                <c:pt idx="681">
                  <c:v>2</c:v>
                </c:pt>
                <c:pt idx="682">
                  <c:v>2</c:v>
                </c:pt>
                <c:pt idx="683">
                  <c:v>3</c:v>
                </c:pt>
                <c:pt idx="684">
                  <c:v>22</c:v>
                </c:pt>
                <c:pt idx="685">
                  <c:v>52</c:v>
                </c:pt>
                <c:pt idx="686">
                  <c:v>135</c:v>
                </c:pt>
                <c:pt idx="687">
                  <c:v>116</c:v>
                </c:pt>
                <c:pt idx="688">
                  <c:v>47</c:v>
                </c:pt>
                <c:pt idx="689">
                  <c:v>51</c:v>
                </c:pt>
                <c:pt idx="690">
                  <c:v>55</c:v>
                </c:pt>
                <c:pt idx="691">
                  <c:v>52</c:v>
                </c:pt>
                <c:pt idx="692">
                  <c:v>54</c:v>
                </c:pt>
                <c:pt idx="693">
                  <c:v>52</c:v>
                </c:pt>
                <c:pt idx="694">
                  <c:v>64</c:v>
                </c:pt>
                <c:pt idx="695">
                  <c:v>176</c:v>
                </c:pt>
                <c:pt idx="696">
                  <c:v>168</c:v>
                </c:pt>
                <c:pt idx="697">
                  <c:v>108</c:v>
                </c:pt>
                <c:pt idx="698">
                  <c:v>74</c:v>
                </c:pt>
                <c:pt idx="699">
                  <c:v>64</c:v>
                </c:pt>
                <c:pt idx="700">
                  <c:v>36</c:v>
                </c:pt>
                <c:pt idx="701">
                  <c:v>16</c:v>
                </c:pt>
                <c:pt idx="702">
                  <c:v>2</c:v>
                </c:pt>
                <c:pt idx="703">
                  <c:v>3</c:v>
                </c:pt>
                <c:pt idx="704">
                  <c:v>4</c:v>
                </c:pt>
                <c:pt idx="705">
                  <c:v>1</c:v>
                </c:pt>
                <c:pt idx="706">
                  <c:v>1</c:v>
                </c:pt>
                <c:pt idx="707">
                  <c:v>3</c:v>
                </c:pt>
                <c:pt idx="708">
                  <c:v>18</c:v>
                </c:pt>
                <c:pt idx="709">
                  <c:v>49</c:v>
                </c:pt>
                <c:pt idx="710">
                  <c:v>155</c:v>
                </c:pt>
                <c:pt idx="711">
                  <c:v>123</c:v>
                </c:pt>
                <c:pt idx="712">
                  <c:v>61</c:v>
                </c:pt>
                <c:pt idx="713">
                  <c:v>52</c:v>
                </c:pt>
                <c:pt idx="714">
                  <c:v>64</c:v>
                </c:pt>
                <c:pt idx="715">
                  <c:v>75</c:v>
                </c:pt>
                <c:pt idx="716">
                  <c:v>63</c:v>
                </c:pt>
                <c:pt idx="717">
                  <c:v>76</c:v>
                </c:pt>
                <c:pt idx="718">
                  <c:v>103</c:v>
                </c:pt>
                <c:pt idx="719">
                  <c:v>190</c:v>
                </c:pt>
                <c:pt idx="720">
                  <c:v>182</c:v>
                </c:pt>
                <c:pt idx="721">
                  <c:v>91</c:v>
                </c:pt>
                <c:pt idx="722">
                  <c:v>75</c:v>
                </c:pt>
                <c:pt idx="723">
                  <c:v>63</c:v>
                </c:pt>
                <c:pt idx="724">
                  <c:v>40</c:v>
                </c:pt>
                <c:pt idx="725">
                  <c:v>32</c:v>
                </c:pt>
                <c:pt idx="726">
                  <c:v>12</c:v>
                </c:pt>
                <c:pt idx="727">
                  <c:v>5</c:v>
                </c:pt>
                <c:pt idx="728">
                  <c:v>2</c:v>
                </c:pt>
                <c:pt idx="729">
                  <c:v>1</c:v>
                </c:pt>
                <c:pt idx="730">
                  <c:v>2</c:v>
                </c:pt>
                <c:pt idx="731">
                  <c:v>39</c:v>
                </c:pt>
                <c:pt idx="732">
                  <c:v>87</c:v>
                </c:pt>
                <c:pt idx="733">
                  <c:v>188</c:v>
                </c:pt>
                <c:pt idx="734">
                  <c:v>133</c:v>
                </c:pt>
                <c:pt idx="735">
                  <c:v>52</c:v>
                </c:pt>
                <c:pt idx="736">
                  <c:v>64</c:v>
                </c:pt>
                <c:pt idx="737">
                  <c:v>69</c:v>
                </c:pt>
                <c:pt idx="738">
                  <c:v>51</c:v>
                </c:pt>
                <c:pt idx="739">
                  <c:v>47</c:v>
                </c:pt>
                <c:pt idx="740">
                  <c:v>60</c:v>
                </c:pt>
                <c:pt idx="741">
                  <c:v>78</c:v>
                </c:pt>
                <c:pt idx="742">
                  <c:v>175</c:v>
                </c:pt>
                <c:pt idx="743">
                  <c:v>147</c:v>
                </c:pt>
                <c:pt idx="744">
                  <c:v>96</c:v>
                </c:pt>
                <c:pt idx="745">
                  <c:v>109</c:v>
                </c:pt>
                <c:pt idx="746">
                  <c:v>54</c:v>
                </c:pt>
                <c:pt idx="747">
                  <c:v>41</c:v>
                </c:pt>
                <c:pt idx="748">
                  <c:v>38</c:v>
                </c:pt>
                <c:pt idx="749">
                  <c:v>13</c:v>
                </c:pt>
                <c:pt idx="750">
                  <c:v>7</c:v>
                </c:pt>
                <c:pt idx="751">
                  <c:v>1</c:v>
                </c:pt>
                <c:pt idx="752">
                  <c:v>1</c:v>
                </c:pt>
                <c:pt idx="753">
                  <c:v>7</c:v>
                </c:pt>
                <c:pt idx="754">
                  <c:v>28</c:v>
                </c:pt>
                <c:pt idx="755">
                  <c:v>87</c:v>
                </c:pt>
                <c:pt idx="756">
                  <c:v>220</c:v>
                </c:pt>
                <c:pt idx="757">
                  <c:v>127</c:v>
                </c:pt>
                <c:pt idx="758">
                  <c:v>51</c:v>
                </c:pt>
                <c:pt idx="759">
                  <c:v>64</c:v>
                </c:pt>
                <c:pt idx="760">
                  <c:v>86</c:v>
                </c:pt>
                <c:pt idx="761">
                  <c:v>82</c:v>
                </c:pt>
                <c:pt idx="762">
                  <c:v>91</c:v>
                </c:pt>
                <c:pt idx="763">
                  <c:v>90</c:v>
                </c:pt>
                <c:pt idx="764">
                  <c:v>99</c:v>
                </c:pt>
                <c:pt idx="765">
                  <c:v>205</c:v>
                </c:pt>
                <c:pt idx="766">
                  <c:v>155</c:v>
                </c:pt>
                <c:pt idx="767">
                  <c:v>103</c:v>
                </c:pt>
                <c:pt idx="768">
                  <c:v>71</c:v>
                </c:pt>
                <c:pt idx="769">
                  <c:v>43</c:v>
                </c:pt>
                <c:pt idx="770">
                  <c:v>46</c:v>
                </c:pt>
                <c:pt idx="771">
                  <c:v>31</c:v>
                </c:pt>
                <c:pt idx="772">
                  <c:v>39</c:v>
                </c:pt>
                <c:pt idx="773">
                  <c:v>18</c:v>
                </c:pt>
                <c:pt idx="774">
                  <c:v>17</c:v>
                </c:pt>
                <c:pt idx="775">
                  <c:v>11</c:v>
                </c:pt>
                <c:pt idx="776">
                  <c:v>8</c:v>
                </c:pt>
                <c:pt idx="777">
                  <c:v>9</c:v>
                </c:pt>
                <c:pt idx="778">
                  <c:v>4</c:v>
                </c:pt>
                <c:pt idx="779">
                  <c:v>4</c:v>
                </c:pt>
                <c:pt idx="780">
                  <c:v>10</c:v>
                </c:pt>
                <c:pt idx="781">
                  <c:v>20</c:v>
                </c:pt>
                <c:pt idx="782">
                  <c:v>34</c:v>
                </c:pt>
                <c:pt idx="783">
                  <c:v>47</c:v>
                </c:pt>
                <c:pt idx="784">
                  <c:v>52</c:v>
                </c:pt>
                <c:pt idx="785">
                  <c:v>72</c:v>
                </c:pt>
                <c:pt idx="786">
                  <c:v>55</c:v>
                </c:pt>
                <c:pt idx="787">
                  <c:v>60</c:v>
                </c:pt>
                <c:pt idx="788">
                  <c:v>71</c:v>
                </c:pt>
                <c:pt idx="789">
                  <c:v>78</c:v>
                </c:pt>
                <c:pt idx="790">
                  <c:v>83</c:v>
                </c:pt>
                <c:pt idx="791">
                  <c:v>84</c:v>
                </c:pt>
                <c:pt idx="792">
                  <c:v>69</c:v>
                </c:pt>
                <c:pt idx="793">
                  <c:v>56</c:v>
                </c:pt>
                <c:pt idx="794">
                  <c:v>45</c:v>
                </c:pt>
                <c:pt idx="795">
                  <c:v>59</c:v>
                </c:pt>
                <c:pt idx="796">
                  <c:v>39</c:v>
                </c:pt>
                <c:pt idx="797">
                  <c:v>44</c:v>
                </c:pt>
                <c:pt idx="798">
                  <c:v>20</c:v>
                </c:pt>
                <c:pt idx="799">
                  <c:v>13</c:v>
                </c:pt>
                <c:pt idx="800">
                  <c:v>2</c:v>
                </c:pt>
                <c:pt idx="801">
                  <c:v>1</c:v>
                </c:pt>
                <c:pt idx="802">
                  <c:v>1</c:v>
                </c:pt>
                <c:pt idx="803">
                  <c:v>8</c:v>
                </c:pt>
                <c:pt idx="804">
                  <c:v>23</c:v>
                </c:pt>
                <c:pt idx="805">
                  <c:v>45</c:v>
                </c:pt>
                <c:pt idx="806">
                  <c:v>89</c:v>
                </c:pt>
                <c:pt idx="807">
                  <c:v>117</c:v>
                </c:pt>
                <c:pt idx="808">
                  <c:v>174</c:v>
                </c:pt>
                <c:pt idx="809">
                  <c:v>182</c:v>
                </c:pt>
                <c:pt idx="810">
                  <c:v>161</c:v>
                </c:pt>
                <c:pt idx="811">
                  <c:v>182</c:v>
                </c:pt>
                <c:pt idx="812">
                  <c:v>157</c:v>
                </c:pt>
                <c:pt idx="813">
                  <c:v>121</c:v>
                </c:pt>
                <c:pt idx="814">
                  <c:v>78</c:v>
                </c:pt>
                <c:pt idx="815">
                  <c:v>21</c:v>
                </c:pt>
                <c:pt idx="816">
                  <c:v>26</c:v>
                </c:pt>
                <c:pt idx="817">
                  <c:v>27</c:v>
                </c:pt>
                <c:pt idx="818">
                  <c:v>62</c:v>
                </c:pt>
                <c:pt idx="819">
                  <c:v>30</c:v>
                </c:pt>
                <c:pt idx="820">
                  <c:v>15</c:v>
                </c:pt>
                <c:pt idx="821">
                  <c:v>5</c:v>
                </c:pt>
                <c:pt idx="822">
                  <c:v>3</c:v>
                </c:pt>
                <c:pt idx="823">
                  <c:v>1</c:v>
                </c:pt>
                <c:pt idx="824">
                  <c:v>2</c:v>
                </c:pt>
                <c:pt idx="825">
                  <c:v>10</c:v>
                </c:pt>
                <c:pt idx="826">
                  <c:v>30</c:v>
                </c:pt>
                <c:pt idx="827">
                  <c:v>95</c:v>
                </c:pt>
                <c:pt idx="828">
                  <c:v>230</c:v>
                </c:pt>
                <c:pt idx="829">
                  <c:v>118</c:v>
                </c:pt>
                <c:pt idx="830">
                  <c:v>55</c:v>
                </c:pt>
                <c:pt idx="831">
                  <c:v>47</c:v>
                </c:pt>
                <c:pt idx="832">
                  <c:v>66</c:v>
                </c:pt>
                <c:pt idx="833">
                  <c:v>64</c:v>
                </c:pt>
                <c:pt idx="834">
                  <c:v>60</c:v>
                </c:pt>
                <c:pt idx="835">
                  <c:v>50</c:v>
                </c:pt>
                <c:pt idx="836">
                  <c:v>114</c:v>
                </c:pt>
                <c:pt idx="837">
                  <c:v>216</c:v>
                </c:pt>
                <c:pt idx="838">
                  <c:v>175</c:v>
                </c:pt>
                <c:pt idx="839">
                  <c:v>128</c:v>
                </c:pt>
                <c:pt idx="840">
                  <c:v>88</c:v>
                </c:pt>
                <c:pt idx="841">
                  <c:v>78</c:v>
                </c:pt>
                <c:pt idx="842">
                  <c:v>37</c:v>
                </c:pt>
                <c:pt idx="843">
                  <c:v>25</c:v>
                </c:pt>
                <c:pt idx="844">
                  <c:v>10</c:v>
                </c:pt>
                <c:pt idx="845">
                  <c:v>4</c:v>
                </c:pt>
                <c:pt idx="846">
                  <c:v>2</c:v>
                </c:pt>
                <c:pt idx="847">
                  <c:v>1</c:v>
                </c:pt>
                <c:pt idx="848">
                  <c:v>3</c:v>
                </c:pt>
                <c:pt idx="849">
                  <c:v>2</c:v>
                </c:pt>
                <c:pt idx="850">
                  <c:v>39</c:v>
                </c:pt>
                <c:pt idx="851">
                  <c:v>100</c:v>
                </c:pt>
                <c:pt idx="852">
                  <c:v>243</c:v>
                </c:pt>
                <c:pt idx="853">
                  <c:v>135</c:v>
                </c:pt>
                <c:pt idx="854">
                  <c:v>48</c:v>
                </c:pt>
                <c:pt idx="855">
                  <c:v>50</c:v>
                </c:pt>
                <c:pt idx="856">
                  <c:v>65</c:v>
                </c:pt>
                <c:pt idx="857">
                  <c:v>50</c:v>
                </c:pt>
                <c:pt idx="858">
                  <c:v>64</c:v>
                </c:pt>
                <c:pt idx="859">
                  <c:v>51</c:v>
                </c:pt>
                <c:pt idx="860">
                  <c:v>83</c:v>
                </c:pt>
                <c:pt idx="861">
                  <c:v>176</c:v>
                </c:pt>
                <c:pt idx="862">
                  <c:v>152</c:v>
                </c:pt>
                <c:pt idx="863">
                  <c:v>101</c:v>
                </c:pt>
                <c:pt idx="864">
                  <c:v>56</c:v>
                </c:pt>
                <c:pt idx="865">
                  <c:v>54</c:v>
                </c:pt>
                <c:pt idx="866">
                  <c:v>29</c:v>
                </c:pt>
                <c:pt idx="867">
                  <c:v>12</c:v>
                </c:pt>
                <c:pt idx="868">
                  <c:v>17</c:v>
                </c:pt>
                <c:pt idx="869">
                  <c:v>7</c:v>
                </c:pt>
                <c:pt idx="870">
                  <c:v>3</c:v>
                </c:pt>
                <c:pt idx="871">
                  <c:v>2</c:v>
                </c:pt>
                <c:pt idx="872">
                  <c:v>7</c:v>
                </c:pt>
                <c:pt idx="873">
                  <c:v>43</c:v>
                </c:pt>
                <c:pt idx="874">
                  <c:v>99</c:v>
                </c:pt>
                <c:pt idx="875">
                  <c:v>199</c:v>
                </c:pt>
                <c:pt idx="876">
                  <c:v>123</c:v>
                </c:pt>
                <c:pt idx="877">
                  <c:v>59</c:v>
                </c:pt>
                <c:pt idx="878">
                  <c:v>41</c:v>
                </c:pt>
                <c:pt idx="879">
                  <c:v>61</c:v>
                </c:pt>
                <c:pt idx="880">
                  <c:v>69</c:v>
                </c:pt>
                <c:pt idx="881">
                  <c:v>58</c:v>
                </c:pt>
                <c:pt idx="882">
                  <c:v>64</c:v>
                </c:pt>
                <c:pt idx="883">
                  <c:v>79</c:v>
                </c:pt>
                <c:pt idx="884">
                  <c:v>166</c:v>
                </c:pt>
                <c:pt idx="885">
                  <c:v>170</c:v>
                </c:pt>
                <c:pt idx="886">
                  <c:v>88</c:v>
                </c:pt>
                <c:pt idx="887">
                  <c:v>84</c:v>
                </c:pt>
                <c:pt idx="888">
                  <c:v>83</c:v>
                </c:pt>
                <c:pt idx="889">
                  <c:v>46</c:v>
                </c:pt>
                <c:pt idx="890">
                  <c:v>37</c:v>
                </c:pt>
                <c:pt idx="891">
                  <c:v>16</c:v>
                </c:pt>
                <c:pt idx="892">
                  <c:v>7</c:v>
                </c:pt>
                <c:pt idx="893">
                  <c:v>3</c:v>
                </c:pt>
                <c:pt idx="894">
                  <c:v>1</c:v>
                </c:pt>
                <c:pt idx="895">
                  <c:v>6</c:v>
                </c:pt>
                <c:pt idx="896">
                  <c:v>26</c:v>
                </c:pt>
                <c:pt idx="897">
                  <c:v>99</c:v>
                </c:pt>
                <c:pt idx="898">
                  <c:v>178</c:v>
                </c:pt>
                <c:pt idx="899">
                  <c:v>122</c:v>
                </c:pt>
                <c:pt idx="900">
                  <c:v>35</c:v>
                </c:pt>
                <c:pt idx="901">
                  <c:v>45</c:v>
                </c:pt>
                <c:pt idx="902">
                  <c:v>69</c:v>
                </c:pt>
                <c:pt idx="903">
                  <c:v>62</c:v>
                </c:pt>
                <c:pt idx="904">
                  <c:v>48</c:v>
                </c:pt>
                <c:pt idx="905">
                  <c:v>50</c:v>
                </c:pt>
                <c:pt idx="906">
                  <c:v>80</c:v>
                </c:pt>
                <c:pt idx="907">
                  <c:v>165</c:v>
                </c:pt>
                <c:pt idx="908">
                  <c:v>160</c:v>
                </c:pt>
                <c:pt idx="909">
                  <c:v>112</c:v>
                </c:pt>
                <c:pt idx="910">
                  <c:v>97</c:v>
                </c:pt>
                <c:pt idx="911">
                  <c:v>72</c:v>
                </c:pt>
                <c:pt idx="912">
                  <c:v>51</c:v>
                </c:pt>
                <c:pt idx="913">
                  <c:v>34</c:v>
                </c:pt>
                <c:pt idx="914">
                  <c:v>14</c:v>
                </c:pt>
                <c:pt idx="915">
                  <c:v>7</c:v>
                </c:pt>
                <c:pt idx="916">
                  <c:v>3</c:v>
                </c:pt>
                <c:pt idx="917">
                  <c:v>4</c:v>
                </c:pt>
                <c:pt idx="918">
                  <c:v>24</c:v>
                </c:pt>
                <c:pt idx="919">
                  <c:v>74</c:v>
                </c:pt>
                <c:pt idx="920">
                  <c:v>216</c:v>
                </c:pt>
                <c:pt idx="921">
                  <c:v>140</c:v>
                </c:pt>
                <c:pt idx="922">
                  <c:v>44</c:v>
                </c:pt>
                <c:pt idx="923">
                  <c:v>64</c:v>
                </c:pt>
                <c:pt idx="924">
                  <c:v>71</c:v>
                </c:pt>
                <c:pt idx="925">
                  <c:v>110</c:v>
                </c:pt>
                <c:pt idx="926">
                  <c:v>84</c:v>
                </c:pt>
                <c:pt idx="927">
                  <c:v>74</c:v>
                </c:pt>
                <c:pt idx="928">
                  <c:v>125</c:v>
                </c:pt>
                <c:pt idx="929">
                  <c:v>211</c:v>
                </c:pt>
                <c:pt idx="930">
                  <c:v>174</c:v>
                </c:pt>
                <c:pt idx="931">
                  <c:v>101</c:v>
                </c:pt>
                <c:pt idx="932">
                  <c:v>63</c:v>
                </c:pt>
                <c:pt idx="933">
                  <c:v>47</c:v>
                </c:pt>
                <c:pt idx="934">
                  <c:v>43</c:v>
                </c:pt>
                <c:pt idx="935">
                  <c:v>53</c:v>
                </c:pt>
                <c:pt idx="936">
                  <c:v>30</c:v>
                </c:pt>
                <c:pt idx="937">
                  <c:v>24</c:v>
                </c:pt>
                <c:pt idx="938">
                  <c:v>15</c:v>
                </c:pt>
                <c:pt idx="939">
                  <c:v>10</c:v>
                </c:pt>
                <c:pt idx="940">
                  <c:v>4</c:v>
                </c:pt>
                <c:pt idx="941">
                  <c:v>1</c:v>
                </c:pt>
                <c:pt idx="942">
                  <c:v>2</c:v>
                </c:pt>
                <c:pt idx="943">
                  <c:v>11</c:v>
                </c:pt>
                <c:pt idx="944">
                  <c:v>30</c:v>
                </c:pt>
                <c:pt idx="945">
                  <c:v>43</c:v>
                </c:pt>
                <c:pt idx="946">
                  <c:v>84</c:v>
                </c:pt>
                <c:pt idx="947">
                  <c:v>114</c:v>
                </c:pt>
                <c:pt idx="948">
                  <c:v>120</c:v>
                </c:pt>
                <c:pt idx="949">
                  <c:v>135</c:v>
                </c:pt>
                <c:pt idx="950">
                  <c:v>120</c:v>
                </c:pt>
                <c:pt idx="951">
                  <c:v>174</c:v>
                </c:pt>
                <c:pt idx="952">
                  <c:v>145</c:v>
                </c:pt>
                <c:pt idx="953">
                  <c:v>137</c:v>
                </c:pt>
                <c:pt idx="954">
                  <c:v>64</c:v>
                </c:pt>
                <c:pt idx="955">
                  <c:v>41</c:v>
                </c:pt>
                <c:pt idx="956">
                  <c:v>40</c:v>
                </c:pt>
                <c:pt idx="957">
                  <c:v>51</c:v>
                </c:pt>
                <c:pt idx="958">
                  <c:v>45</c:v>
                </c:pt>
                <c:pt idx="959">
                  <c:v>32</c:v>
                </c:pt>
                <c:pt idx="960">
                  <c:v>39</c:v>
                </c:pt>
                <c:pt idx="961">
                  <c:v>24</c:v>
                </c:pt>
                <c:pt idx="962">
                  <c:v>20</c:v>
                </c:pt>
                <c:pt idx="963">
                  <c:v>12</c:v>
                </c:pt>
                <c:pt idx="964">
                  <c:v>2</c:v>
                </c:pt>
                <c:pt idx="965">
                  <c:v>5</c:v>
                </c:pt>
                <c:pt idx="966">
                  <c:v>3</c:v>
                </c:pt>
                <c:pt idx="967">
                  <c:v>12</c:v>
                </c:pt>
                <c:pt idx="968">
                  <c:v>47</c:v>
                </c:pt>
                <c:pt idx="969">
                  <c:v>105</c:v>
                </c:pt>
                <c:pt idx="970">
                  <c:v>112</c:v>
                </c:pt>
                <c:pt idx="971">
                  <c:v>152</c:v>
                </c:pt>
                <c:pt idx="972">
                  <c:v>154</c:v>
                </c:pt>
                <c:pt idx="973">
                  <c:v>161</c:v>
                </c:pt>
                <c:pt idx="974">
                  <c:v>162</c:v>
                </c:pt>
                <c:pt idx="975">
                  <c:v>134</c:v>
                </c:pt>
                <c:pt idx="976">
                  <c:v>125</c:v>
                </c:pt>
                <c:pt idx="977">
                  <c:v>95</c:v>
                </c:pt>
                <c:pt idx="978">
                  <c:v>61</c:v>
                </c:pt>
                <c:pt idx="979">
                  <c:v>47</c:v>
                </c:pt>
                <c:pt idx="980">
                  <c:v>51</c:v>
                </c:pt>
                <c:pt idx="981">
                  <c:v>36</c:v>
                </c:pt>
                <c:pt idx="982">
                  <c:v>30</c:v>
                </c:pt>
                <c:pt idx="983">
                  <c:v>11</c:v>
                </c:pt>
                <c:pt idx="984">
                  <c:v>7</c:v>
                </c:pt>
                <c:pt idx="985">
                  <c:v>2</c:v>
                </c:pt>
                <c:pt idx="986">
                  <c:v>2</c:v>
                </c:pt>
                <c:pt idx="987">
                  <c:v>2</c:v>
                </c:pt>
                <c:pt idx="988">
                  <c:v>3</c:v>
                </c:pt>
                <c:pt idx="989">
                  <c:v>26</c:v>
                </c:pt>
                <c:pt idx="990">
                  <c:v>98</c:v>
                </c:pt>
                <c:pt idx="991">
                  <c:v>80</c:v>
                </c:pt>
                <c:pt idx="992">
                  <c:v>149</c:v>
                </c:pt>
                <c:pt idx="993">
                  <c:v>109</c:v>
                </c:pt>
                <c:pt idx="994">
                  <c:v>89</c:v>
                </c:pt>
                <c:pt idx="995">
                  <c:v>62</c:v>
                </c:pt>
                <c:pt idx="996">
                  <c:v>58</c:v>
                </c:pt>
                <c:pt idx="997">
                  <c:v>26</c:v>
                </c:pt>
                <c:pt idx="998">
                  <c:v>23</c:v>
                </c:pt>
                <c:pt idx="999">
                  <c:v>28</c:v>
                </c:pt>
              </c:numCache>
            </c:numRef>
          </c:val>
          <c:smooth val="0"/>
          <c:extLst>
            <c:ext xmlns:c16="http://schemas.microsoft.com/office/drawing/2014/chart" uri="{C3380CC4-5D6E-409C-BE32-E72D297353CC}">
              <c16:uniqueId val="{00000000-2FE4-4E42-94FD-91892D2EF4E2}"/>
            </c:ext>
          </c:extLst>
        </c:ser>
        <c:dLbls>
          <c:showLegendKey val="0"/>
          <c:showVal val="0"/>
          <c:showCatName val="0"/>
          <c:showSerName val="0"/>
          <c:showPercent val="0"/>
          <c:showBubbleSize val="0"/>
        </c:dLbls>
        <c:smooth val="0"/>
        <c:axId val="1394270335"/>
        <c:axId val="1394272831"/>
      </c:lineChart>
      <c:dateAx>
        <c:axId val="1394270335"/>
        <c:scaling>
          <c:orientation val="minMax"/>
        </c:scaling>
        <c:delete val="0"/>
        <c:axPos val="b"/>
        <c:numFmt formatCode="dd\-mm\-yy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94272831"/>
        <c:crosses val="autoZero"/>
        <c:auto val="1"/>
        <c:lblOffset val="100"/>
        <c:baseTimeUnit val="days"/>
      </c:dateAx>
      <c:valAx>
        <c:axId val="139427283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94270335"/>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bg1"/>
                </a:solidFill>
                <a:latin typeface="+mn-lt"/>
                <a:ea typeface="+mn-ea"/>
                <a:cs typeface="+mn-cs"/>
              </a:defRPr>
            </a:pPr>
            <a:r>
              <a:rPr lang="en-IN" sz="1200">
                <a:solidFill>
                  <a:schemeClr val="bg1"/>
                </a:solidFill>
              </a:rPr>
              <a:t>Anomaly Detection — Normal vs Anomaly</a:t>
            </a:r>
          </a:p>
        </c:rich>
      </c:tx>
      <c:layout>
        <c:manualLayout>
          <c:xMode val="edge"/>
          <c:yMode val="edge"/>
          <c:x val="0.11143044619422571"/>
          <c:y val="2.7777777777777776E-2"/>
        </c:manualLayout>
      </c:layout>
      <c:overlay val="0"/>
      <c:spPr>
        <a:solidFill>
          <a:srgbClr val="002060"/>
        </a:solidFill>
        <a:ln>
          <a:noFill/>
        </a:ln>
        <a:effectLst/>
      </c:spPr>
      <c:txPr>
        <a:bodyPr rot="0" spcFirstLastPara="1" vertOverflow="ellipsis" vert="horz" wrap="square" anchor="ctr" anchorCtr="1"/>
        <a:lstStyle/>
        <a:p>
          <a:pPr>
            <a:defRPr sz="1800" b="1" i="0" u="none" strike="noStrike" kern="1200" cap="all" spc="50" baseline="0">
              <a:solidFill>
                <a:schemeClr val="bg1"/>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'ANOMALY DETECTION'!$G$1</c:f>
              <c:strCache>
                <c:ptCount val="1"/>
                <c:pt idx="0">
                  <c:v>Count</c:v>
                </c:pt>
              </c:strCache>
            </c:strRef>
          </c:tx>
          <c:spPr>
            <a:gradFill>
              <a:gsLst>
                <a:gs pos="100000">
                  <a:schemeClr val="accent1">
                    <a:alpha val="0"/>
                  </a:schemeClr>
                </a:gs>
                <a:gs pos="50000">
                  <a:schemeClr val="accent1"/>
                </a:gs>
              </a:gsLst>
              <a:lin ang="5400000" scaled="0"/>
            </a:gradFill>
            <a:ln>
              <a:noFill/>
            </a:ln>
            <a:effectLst/>
            <a:sp3d/>
          </c:spPr>
          <c:invertIfNegative val="0"/>
          <c:cat>
            <c:strRef>
              <c:f>'ANOMALY DETECTION'!$F$2:$F$3</c:f>
              <c:strCache>
                <c:ptCount val="2"/>
                <c:pt idx="0">
                  <c:v>Anomaly</c:v>
                </c:pt>
                <c:pt idx="1">
                  <c:v>Normal</c:v>
                </c:pt>
              </c:strCache>
            </c:strRef>
          </c:cat>
          <c:val>
            <c:numRef>
              <c:f>'ANOMALY DETECTION'!$G$2:$G$3</c:f>
              <c:numCache>
                <c:formatCode>General</c:formatCode>
                <c:ptCount val="2"/>
                <c:pt idx="0">
                  <c:v>0</c:v>
                </c:pt>
                <c:pt idx="1">
                  <c:v>1</c:v>
                </c:pt>
              </c:numCache>
            </c:numRef>
          </c:val>
          <c:extLst>
            <c:ext xmlns:c16="http://schemas.microsoft.com/office/drawing/2014/chart" uri="{C3380CC4-5D6E-409C-BE32-E72D297353CC}">
              <c16:uniqueId val="{00000000-161E-4D82-B102-FC779A5D3C0B}"/>
            </c:ext>
          </c:extLst>
        </c:ser>
        <c:dLbls>
          <c:showLegendKey val="0"/>
          <c:showVal val="0"/>
          <c:showCatName val="0"/>
          <c:showSerName val="0"/>
          <c:showPercent val="0"/>
          <c:showBubbleSize val="0"/>
        </c:dLbls>
        <c:gapWidth val="150"/>
        <c:gapDepth val="0"/>
        <c:shape val="box"/>
        <c:axId val="1345349935"/>
        <c:axId val="1345346607"/>
        <c:axId val="0"/>
      </c:bar3DChart>
      <c:catAx>
        <c:axId val="13453499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346607"/>
        <c:crosses val="autoZero"/>
        <c:auto val="1"/>
        <c:lblAlgn val="ctr"/>
        <c:lblOffset val="100"/>
        <c:noMultiLvlLbl val="0"/>
      </c:catAx>
      <c:valAx>
        <c:axId val="1345346607"/>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3499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8" Type="http://schemas.openxmlformats.org/officeDocument/2006/relationships/hyperlink" Target="#'ANOMALY DETECTION'!A1"/><Relationship Id="rId3" Type="http://schemas.openxmlformats.org/officeDocument/2006/relationships/chart" Target="../charts/chart13.xml"/><Relationship Id="rId7" Type="http://schemas.openxmlformats.org/officeDocument/2006/relationships/hyperlink" Target="#FORECASTING!A1"/><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 Id="rId9"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2</xdr:col>
      <xdr:colOff>212724</xdr:colOff>
      <xdr:row>4</xdr:row>
      <xdr:rowOff>3175</xdr:rowOff>
    </xdr:from>
    <xdr:to>
      <xdr:col>10</xdr:col>
      <xdr:colOff>184149</xdr:colOff>
      <xdr:row>18</xdr:row>
      <xdr:rowOff>168275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307974</xdr:colOff>
      <xdr:row>25</xdr:row>
      <xdr:rowOff>25400</xdr:rowOff>
    </xdr:from>
    <xdr:to>
      <xdr:col>10</xdr:col>
      <xdr:colOff>603249</xdr:colOff>
      <xdr:row>44</xdr:row>
      <xdr:rowOff>133350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9524</xdr:colOff>
      <xdr:row>3</xdr:row>
      <xdr:rowOff>63500</xdr:rowOff>
    </xdr:from>
    <xdr:to>
      <xdr:col>24</xdr:col>
      <xdr:colOff>203199</xdr:colOff>
      <xdr:row>20</xdr:row>
      <xdr:rowOff>180975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597957</xdr:colOff>
      <xdr:row>8</xdr:row>
      <xdr:rowOff>21167</xdr:rowOff>
    </xdr:from>
    <xdr:to>
      <xdr:col>42</xdr:col>
      <xdr:colOff>190500</xdr:colOff>
      <xdr:row>34</xdr:row>
      <xdr:rowOff>21166</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595313</xdr:colOff>
      <xdr:row>56</xdr:row>
      <xdr:rowOff>178594</xdr:rowOff>
    </xdr:from>
    <xdr:to>
      <xdr:col>40</xdr:col>
      <xdr:colOff>9922</xdr:colOff>
      <xdr:row>78</xdr:row>
      <xdr:rowOff>-1</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595659</xdr:colOff>
      <xdr:row>37</xdr:row>
      <xdr:rowOff>27609</xdr:rowOff>
    </xdr:from>
    <xdr:to>
      <xdr:col>23</xdr:col>
      <xdr:colOff>586685</xdr:colOff>
      <xdr:row>57</xdr:row>
      <xdr:rowOff>62120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45</xdr:row>
      <xdr:rowOff>0</xdr:rowOff>
    </xdr:from>
    <xdr:to>
      <xdr:col>7</xdr:col>
      <xdr:colOff>592190</xdr:colOff>
      <xdr:row>62</xdr:row>
      <xdr:rowOff>171235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7136</xdr:colOff>
      <xdr:row>45</xdr:row>
      <xdr:rowOff>0</xdr:rowOff>
    </xdr:from>
    <xdr:to>
      <xdr:col>15</xdr:col>
      <xdr:colOff>1</xdr:colOff>
      <xdr:row>63</xdr:row>
      <xdr:rowOff>14269</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65</xdr:row>
      <xdr:rowOff>0</xdr:rowOff>
    </xdr:from>
    <xdr:to>
      <xdr:col>8</xdr:col>
      <xdr:colOff>21405</xdr:colOff>
      <xdr:row>79</xdr:row>
      <xdr:rowOff>146122</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65</xdr:row>
      <xdr:rowOff>0</xdr:rowOff>
    </xdr:from>
    <xdr:to>
      <xdr:col>15</xdr:col>
      <xdr:colOff>28540</xdr:colOff>
      <xdr:row>86</xdr:row>
      <xdr:rowOff>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51087</xdr:colOff>
      <xdr:row>0</xdr:row>
      <xdr:rowOff>0</xdr:rowOff>
    </xdr:from>
    <xdr:to>
      <xdr:col>24</xdr:col>
      <xdr:colOff>579649</xdr:colOff>
      <xdr:row>89</xdr:row>
      <xdr:rowOff>77061</xdr:rowOff>
    </xdr:to>
    <xdr:sp macro="" textlink="">
      <xdr:nvSpPr>
        <xdr:cNvPr id="3" name="Rounded Rectangle 2"/>
        <xdr:cNvSpPr/>
      </xdr:nvSpPr>
      <xdr:spPr>
        <a:xfrm>
          <a:off x="655849" y="0"/>
          <a:ext cx="17431657" cy="16466109"/>
        </a:xfrm>
        <a:prstGeom prst="roundRect">
          <a:avLst/>
        </a:prstGeom>
        <a:solidFill>
          <a:schemeClr val="accent1">
            <a:lumMod val="20000"/>
            <a:lumOff val="80000"/>
          </a:schemeClr>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6</xdr:col>
      <xdr:colOff>29168</xdr:colOff>
      <xdr:row>49</xdr:row>
      <xdr:rowOff>95303</xdr:rowOff>
    </xdr:from>
    <xdr:to>
      <xdr:col>10</xdr:col>
      <xdr:colOff>4678</xdr:colOff>
      <xdr:row>70</xdr:row>
      <xdr:rowOff>43050</xdr:rowOff>
    </xdr:to>
    <mc:AlternateContent xmlns:mc="http://schemas.openxmlformats.org/markup-compatibility/2006" xmlns:a14="http://schemas.microsoft.com/office/drawing/2010/main">
      <mc:Choice Requires="a14">
        <xdr:graphicFrame macro="">
          <xdr:nvGraphicFramePr>
            <xdr:cNvPr id="2" name="Date"/>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3648668" y="9652053"/>
              <a:ext cx="2388510" cy="39482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1106</xdr:colOff>
      <xdr:row>30</xdr:row>
      <xdr:rowOff>164095</xdr:rowOff>
    </xdr:from>
    <xdr:to>
      <xdr:col>6</xdr:col>
      <xdr:colOff>4522</xdr:colOff>
      <xdr:row>48</xdr:row>
      <xdr:rowOff>161441</xdr:rowOff>
    </xdr:to>
    <mc:AlternateContent xmlns:mc="http://schemas.openxmlformats.org/markup-compatibility/2006" xmlns:a14="http://schemas.microsoft.com/office/drawing/2010/main">
      <mc:Choice Requires="a14">
        <xdr:graphicFrame macro="">
          <xdr:nvGraphicFramePr>
            <xdr:cNvPr id="4" name="Holiday"/>
            <xdr:cNvGraphicFramePr/>
          </xdr:nvGraphicFramePr>
          <xdr:xfrm>
            <a:off x="0" y="0"/>
            <a:ext cx="0" cy="0"/>
          </xdr:xfrm>
          <a:graphic>
            <a:graphicData uri="http://schemas.microsoft.com/office/drawing/2010/slicer">
              <sle:slicer xmlns:sle="http://schemas.microsoft.com/office/drawing/2010/slicer" name="Holiday"/>
            </a:graphicData>
          </a:graphic>
        </xdr:graphicFrame>
      </mc:Choice>
      <mc:Fallback xmlns="">
        <xdr:sp macro="" textlink="">
          <xdr:nvSpPr>
            <xdr:cNvPr id="0" name=""/>
            <xdr:cNvSpPr>
              <a:spLocks noTextEdit="1"/>
            </xdr:cNvSpPr>
          </xdr:nvSpPr>
          <xdr:spPr>
            <a:xfrm>
              <a:off x="1207606" y="6101345"/>
              <a:ext cx="2416416" cy="34263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39844</xdr:colOff>
      <xdr:row>49</xdr:row>
      <xdr:rowOff>86814</xdr:rowOff>
    </xdr:from>
    <xdr:to>
      <xdr:col>6</xdr:col>
      <xdr:colOff>1560</xdr:colOff>
      <xdr:row>70</xdr:row>
      <xdr:rowOff>21526</xdr:rowOff>
    </xdr:to>
    <mc:AlternateContent xmlns:mc="http://schemas.openxmlformats.org/markup-compatibility/2006" xmlns:a14="http://schemas.microsoft.com/office/drawing/2010/main">
      <mc:Choice Requires="a14">
        <xdr:graphicFrame macro="">
          <xdr:nvGraphicFramePr>
            <xdr:cNvPr id="7" name="Temperature"/>
            <xdr:cNvGraphicFramePr/>
          </xdr:nvGraphicFramePr>
          <xdr:xfrm>
            <a:off x="0" y="0"/>
            <a:ext cx="0" cy="0"/>
          </xdr:xfrm>
          <a:graphic>
            <a:graphicData uri="http://schemas.microsoft.com/office/drawing/2010/slicer">
              <sle:slicer xmlns:sle="http://schemas.microsoft.com/office/drawing/2010/slicer" name="Temperature"/>
            </a:graphicData>
          </a:graphic>
        </xdr:graphicFrame>
      </mc:Choice>
      <mc:Fallback xmlns="">
        <xdr:sp macro="" textlink="">
          <xdr:nvSpPr>
            <xdr:cNvPr id="0" name=""/>
            <xdr:cNvSpPr>
              <a:spLocks noTextEdit="1"/>
            </xdr:cNvSpPr>
          </xdr:nvSpPr>
          <xdr:spPr>
            <a:xfrm>
              <a:off x="1246344" y="9643564"/>
              <a:ext cx="2374716" cy="39352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10446</xdr:colOff>
      <xdr:row>70</xdr:row>
      <xdr:rowOff>165584</xdr:rowOff>
    </xdr:from>
    <xdr:to>
      <xdr:col>24</xdr:col>
      <xdr:colOff>139916</xdr:colOff>
      <xdr:row>78</xdr:row>
      <xdr:rowOff>150678</xdr:rowOff>
    </xdr:to>
    <mc:AlternateContent xmlns:mc="http://schemas.openxmlformats.org/markup-compatibility/2006" xmlns:tsle="http://schemas.microsoft.com/office/drawing/2012/timeslicer">
      <mc:Choice Requires="tsle">
        <xdr:graphicFrame macro="">
          <xdr:nvGraphicFramePr>
            <xdr:cNvPr id="8" name="Date 1"/>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216946" y="13722834"/>
              <a:ext cx="16401345" cy="1509094"/>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xdr:from>
      <xdr:col>17</xdr:col>
      <xdr:colOff>1657458</xdr:colOff>
      <xdr:row>14</xdr:row>
      <xdr:rowOff>145684</xdr:rowOff>
    </xdr:from>
    <xdr:to>
      <xdr:col>23</xdr:col>
      <xdr:colOff>1977217</xdr:colOff>
      <xdr:row>30</xdr:row>
      <xdr:rowOff>16847</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9202</xdr:colOff>
      <xdr:row>15</xdr:row>
      <xdr:rowOff>14975</xdr:rowOff>
    </xdr:from>
    <xdr:to>
      <xdr:col>6</xdr:col>
      <xdr:colOff>0</xdr:colOff>
      <xdr:row>28</xdr:row>
      <xdr:rowOff>149040</xdr:rowOff>
    </xdr:to>
    <mc:AlternateContent xmlns:mc="http://schemas.openxmlformats.org/markup-compatibility/2006" xmlns:a14="http://schemas.microsoft.com/office/drawing/2010/main">
      <mc:Choice Requires="a14">
        <xdr:graphicFrame macro="">
          <xdr:nvGraphicFramePr>
            <xdr:cNvPr id="15" name="Hour 1"/>
            <xdr:cNvGraphicFramePr/>
          </xdr:nvGraphicFramePr>
          <xdr:xfrm>
            <a:off x="0" y="0"/>
            <a:ext cx="0" cy="0"/>
          </xdr:xfrm>
          <a:graphic>
            <a:graphicData uri="http://schemas.microsoft.com/office/drawing/2010/slicer">
              <sle:slicer xmlns:sle="http://schemas.microsoft.com/office/drawing/2010/slicer" name="Hour 1"/>
            </a:graphicData>
          </a:graphic>
        </xdr:graphicFrame>
      </mc:Choice>
      <mc:Fallback xmlns="">
        <xdr:sp macro="" textlink="">
          <xdr:nvSpPr>
            <xdr:cNvPr id="0" name=""/>
            <xdr:cNvSpPr>
              <a:spLocks noTextEdit="1"/>
            </xdr:cNvSpPr>
          </xdr:nvSpPr>
          <xdr:spPr>
            <a:xfrm>
              <a:off x="1215702" y="2872475"/>
              <a:ext cx="2403798" cy="28328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32288</xdr:colOff>
      <xdr:row>15</xdr:row>
      <xdr:rowOff>21525</xdr:rowOff>
    </xdr:from>
    <xdr:to>
      <xdr:col>10</xdr:col>
      <xdr:colOff>41491</xdr:colOff>
      <xdr:row>28</xdr:row>
      <xdr:rowOff>141442</xdr:rowOff>
    </xdr:to>
    <mc:AlternateContent xmlns:mc="http://schemas.openxmlformats.org/markup-compatibility/2006" xmlns:a14="http://schemas.microsoft.com/office/drawing/2010/main">
      <mc:Choice Requires="a14">
        <xdr:graphicFrame macro="">
          <xdr:nvGraphicFramePr>
            <xdr:cNvPr id="16" name="Weekday 1"/>
            <xdr:cNvGraphicFramePr/>
          </xdr:nvGraphicFramePr>
          <xdr:xfrm>
            <a:off x="0" y="0"/>
            <a:ext cx="0" cy="0"/>
          </xdr:xfrm>
          <a:graphic>
            <a:graphicData uri="http://schemas.microsoft.com/office/drawing/2010/slicer">
              <sle:slicer xmlns:sle="http://schemas.microsoft.com/office/drawing/2010/slicer" name="Weekday 1"/>
            </a:graphicData>
          </a:graphic>
        </xdr:graphicFrame>
      </mc:Choice>
      <mc:Fallback xmlns="">
        <xdr:sp macro="" textlink="">
          <xdr:nvSpPr>
            <xdr:cNvPr id="0" name=""/>
            <xdr:cNvSpPr>
              <a:spLocks noTextEdit="1"/>
            </xdr:cNvSpPr>
          </xdr:nvSpPr>
          <xdr:spPr>
            <a:xfrm>
              <a:off x="3651788" y="2879025"/>
              <a:ext cx="2422203" cy="28186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21526</xdr:colOff>
      <xdr:row>30</xdr:row>
      <xdr:rowOff>172204</xdr:rowOff>
    </xdr:from>
    <xdr:to>
      <xdr:col>10</xdr:col>
      <xdr:colOff>30729</xdr:colOff>
      <xdr:row>48</xdr:row>
      <xdr:rowOff>172204</xdr:rowOff>
    </xdr:to>
    <mc:AlternateContent xmlns:mc="http://schemas.openxmlformats.org/markup-compatibility/2006" xmlns:a14="http://schemas.microsoft.com/office/drawing/2010/main">
      <mc:Choice Requires="a14">
        <xdr:graphicFrame macro="">
          <xdr:nvGraphicFramePr>
            <xdr:cNvPr id="17" name="Weathersit 1"/>
            <xdr:cNvGraphicFramePr/>
          </xdr:nvGraphicFramePr>
          <xdr:xfrm>
            <a:off x="0" y="0"/>
            <a:ext cx="0" cy="0"/>
          </xdr:xfrm>
          <a:graphic>
            <a:graphicData uri="http://schemas.microsoft.com/office/drawing/2010/slicer">
              <sle:slicer xmlns:sle="http://schemas.microsoft.com/office/drawing/2010/slicer" name="Weathersit 1"/>
            </a:graphicData>
          </a:graphic>
        </xdr:graphicFrame>
      </mc:Choice>
      <mc:Fallback xmlns="">
        <xdr:sp macro="" textlink="">
          <xdr:nvSpPr>
            <xdr:cNvPr id="0" name=""/>
            <xdr:cNvSpPr>
              <a:spLocks noTextEdit="1"/>
            </xdr:cNvSpPr>
          </xdr:nvSpPr>
          <xdr:spPr>
            <a:xfrm>
              <a:off x="3641026" y="6109454"/>
              <a:ext cx="2422203" cy="3429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135392</xdr:colOff>
      <xdr:row>14</xdr:row>
      <xdr:rowOff>150678</xdr:rowOff>
    </xdr:from>
    <xdr:to>
      <xdr:col>17</xdr:col>
      <xdr:colOff>1485254</xdr:colOff>
      <xdr:row>30</xdr:row>
      <xdr:rowOff>53814</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129152</xdr:colOff>
      <xdr:row>30</xdr:row>
      <xdr:rowOff>150679</xdr:rowOff>
    </xdr:from>
    <xdr:to>
      <xdr:col>17</xdr:col>
      <xdr:colOff>1474491</xdr:colOff>
      <xdr:row>48</xdr:row>
      <xdr:rowOff>139916</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1657459</xdr:colOff>
      <xdr:row>30</xdr:row>
      <xdr:rowOff>107628</xdr:rowOff>
    </xdr:from>
    <xdr:to>
      <xdr:col>23</xdr:col>
      <xdr:colOff>2011343</xdr:colOff>
      <xdr:row>48</xdr:row>
      <xdr:rowOff>129153</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107627</xdr:colOff>
      <xdr:row>49</xdr:row>
      <xdr:rowOff>32289</xdr:rowOff>
    </xdr:from>
    <xdr:to>
      <xdr:col>17</xdr:col>
      <xdr:colOff>1474492</xdr:colOff>
      <xdr:row>70</xdr:row>
      <xdr:rowOff>43051</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1657457</xdr:colOff>
      <xdr:row>49</xdr:row>
      <xdr:rowOff>53815</xdr:rowOff>
    </xdr:from>
    <xdr:to>
      <xdr:col>24</xdr:col>
      <xdr:colOff>10762</xdr:colOff>
      <xdr:row>70</xdr:row>
      <xdr:rowOff>64577</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139915</xdr:colOff>
      <xdr:row>79</xdr:row>
      <xdr:rowOff>103561</xdr:rowOff>
    </xdr:from>
    <xdr:to>
      <xdr:col>13</xdr:col>
      <xdr:colOff>520916</xdr:colOff>
      <xdr:row>88</xdr:row>
      <xdr:rowOff>61706</xdr:rowOff>
    </xdr:to>
    <xdr:sp macro="" textlink="">
      <xdr:nvSpPr>
        <xdr:cNvPr id="23" name="Rounded Rectangle 22">
          <a:hlinkClick xmlns:r="http://schemas.openxmlformats.org/officeDocument/2006/relationships" r:id="rId7"/>
        </xdr:cNvPr>
        <xdr:cNvSpPr/>
      </xdr:nvSpPr>
      <xdr:spPr>
        <a:xfrm>
          <a:off x="5047712" y="14665510"/>
          <a:ext cx="3448373" cy="1604840"/>
        </a:xfrm>
        <a:prstGeom prst="roundRect">
          <a:avLst/>
        </a:prstGeom>
        <a:solidFill>
          <a:srgbClr val="00206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3200" b="1" cap="none" spc="0">
              <a:ln w="0"/>
              <a:solidFill>
                <a:schemeClr val="bg1"/>
              </a:solidFill>
              <a:effectLst>
                <a:outerShdw blurRad="38100" dist="19050" dir="2700000" algn="tl" rotWithShape="0">
                  <a:schemeClr val="dk1">
                    <a:alpha val="40000"/>
                  </a:schemeClr>
                </a:outerShdw>
              </a:effectLst>
            </a:rPr>
            <a:t>FORECASTING</a:t>
          </a:r>
        </a:p>
      </xdr:txBody>
    </xdr:sp>
    <xdr:clientData/>
  </xdr:twoCellAnchor>
  <xdr:twoCellAnchor>
    <xdr:from>
      <xdr:col>14</xdr:col>
      <xdr:colOff>139916</xdr:colOff>
      <xdr:row>79</xdr:row>
      <xdr:rowOff>118390</xdr:rowOff>
    </xdr:from>
    <xdr:to>
      <xdr:col>17</xdr:col>
      <xdr:colOff>1728492</xdr:colOff>
      <xdr:row>88</xdr:row>
      <xdr:rowOff>76535</xdr:rowOff>
    </xdr:to>
    <xdr:sp macro="" textlink="">
      <xdr:nvSpPr>
        <xdr:cNvPr id="24" name="Rounded Rectangle 23">
          <a:hlinkClick xmlns:r="http://schemas.openxmlformats.org/officeDocument/2006/relationships" r:id="rId8"/>
        </xdr:cNvPr>
        <xdr:cNvSpPr/>
      </xdr:nvSpPr>
      <xdr:spPr>
        <a:xfrm>
          <a:off x="8728560" y="14680339"/>
          <a:ext cx="3429000" cy="1604840"/>
        </a:xfrm>
        <a:prstGeom prst="roundRect">
          <a:avLst/>
        </a:prstGeom>
        <a:solidFill>
          <a:srgbClr val="00206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3200" b="1" cap="none" spc="0">
              <a:ln w="0"/>
              <a:solidFill>
                <a:schemeClr val="bg1"/>
              </a:solidFill>
              <a:effectLst>
                <a:outerShdw blurRad="38100" dist="19050" dir="2700000" algn="tl" rotWithShape="0">
                  <a:schemeClr val="dk1">
                    <a:alpha val="40000"/>
                  </a:schemeClr>
                </a:outerShdw>
              </a:effectLst>
            </a:rPr>
            <a:t>ANOMALY DETECTION</a:t>
          </a:r>
        </a:p>
      </xdr:txBody>
    </xdr:sp>
    <xdr:clientData/>
  </xdr:twoCellAnchor>
  <xdr:twoCellAnchor>
    <xdr:from>
      <xdr:col>4</xdr:col>
      <xdr:colOff>317500</xdr:colOff>
      <xdr:row>4</xdr:row>
      <xdr:rowOff>95250</xdr:rowOff>
    </xdr:from>
    <xdr:to>
      <xdr:col>23</xdr:col>
      <xdr:colOff>968375</xdr:colOff>
      <xdr:row>4</xdr:row>
      <xdr:rowOff>127000</xdr:rowOff>
    </xdr:to>
    <xdr:cxnSp macro="">
      <xdr:nvCxnSpPr>
        <xdr:cNvPr id="9" name="Straight Connector 8"/>
        <xdr:cNvCxnSpPr/>
      </xdr:nvCxnSpPr>
      <xdr:spPr>
        <a:xfrm flipV="1">
          <a:off x="2730500" y="904875"/>
          <a:ext cx="13684250" cy="31750"/>
        </a:xfrm>
        <a:prstGeom prst="line">
          <a:avLst/>
        </a:prstGeom>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8</xdr:col>
      <xdr:colOff>237641</xdr:colOff>
      <xdr:row>0</xdr:row>
      <xdr:rowOff>43051</xdr:rowOff>
    </xdr:from>
    <xdr:to>
      <xdr:col>19</xdr:col>
      <xdr:colOff>165683</xdr:colOff>
      <xdr:row>5</xdr:row>
      <xdr:rowOff>103665</xdr:rowOff>
    </xdr:to>
    <xdr:pic>
      <xdr:nvPicPr>
        <xdr:cNvPr id="11" name="Picture 10"/>
        <xdr:cNvPicPr>
          <a:picLocks noChangeAspect="1"/>
        </xdr:cNvPicPr>
      </xdr:nvPicPr>
      <xdr:blipFill>
        <a:blip xmlns:r="http://schemas.openxmlformats.org/officeDocument/2006/relationships" r:embed="rId9"/>
        <a:stretch>
          <a:fillRect/>
        </a:stretch>
      </xdr:blipFill>
      <xdr:spPr>
        <a:xfrm>
          <a:off x="5145438" y="43051"/>
          <a:ext cx="8010838" cy="975445"/>
        </a:xfrm>
        <a:prstGeom prst="rect">
          <a:avLst/>
        </a:prstGeom>
      </xdr:spPr>
    </xdr:pic>
    <xdr:clientData/>
  </xdr:twoCellAnchor>
  <xdr:twoCellAnchor>
    <xdr:from>
      <xdr:col>6</xdr:col>
      <xdr:colOff>484322</xdr:colOff>
      <xdr:row>5</xdr:row>
      <xdr:rowOff>139915</xdr:rowOff>
    </xdr:from>
    <xdr:to>
      <xdr:col>11</xdr:col>
      <xdr:colOff>64576</xdr:colOff>
      <xdr:row>13</xdr:row>
      <xdr:rowOff>10763</xdr:rowOff>
    </xdr:to>
    <xdr:sp macro="" textlink="">
      <xdr:nvSpPr>
        <xdr:cNvPr id="30" name="TextBox 29"/>
        <xdr:cNvSpPr txBox="1"/>
      </xdr:nvSpPr>
      <xdr:spPr>
        <a:xfrm>
          <a:off x="4165169" y="1054746"/>
          <a:ext cx="2647627" cy="1334576"/>
        </a:xfrm>
        <a:prstGeom prst="rect">
          <a:avLst/>
        </a:prstGeom>
        <a:solidFill>
          <a:schemeClr val="accent5">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TOTAL RENTALS</a:t>
          </a:r>
          <a:r>
            <a:rPr lang="en-IN" sz="2800">
              <a:solidFill>
                <a:schemeClr val="bg1"/>
              </a:solidFill>
            </a:rPr>
            <a:t/>
          </a:r>
          <a:br>
            <a:rPr lang="en-IN" sz="2800">
              <a:solidFill>
                <a:schemeClr val="bg1"/>
              </a:solidFill>
            </a:rPr>
          </a:br>
          <a:r>
            <a:rPr lang="en-IN" sz="2400" b="0" i="0" u="none" strike="noStrike">
              <a:solidFill>
                <a:schemeClr val="bg1"/>
              </a:solidFill>
              <a:effectLst/>
              <a:latin typeface="+mn-lt"/>
              <a:ea typeface="+mn-ea"/>
              <a:cs typeface="+mn-cs"/>
            </a:rPr>
            <a:t>58,304</a:t>
          </a:r>
          <a:r>
            <a:rPr lang="en-IN" sz="2400">
              <a:solidFill>
                <a:schemeClr val="bg1"/>
              </a:solidFill>
            </a:rPr>
            <a:t> </a:t>
          </a:r>
        </a:p>
      </xdr:txBody>
    </xdr:sp>
    <xdr:clientData/>
  </xdr:twoCellAnchor>
  <xdr:twoCellAnchor>
    <xdr:from>
      <xdr:col>11</xdr:col>
      <xdr:colOff>430509</xdr:colOff>
      <xdr:row>5</xdr:row>
      <xdr:rowOff>161440</xdr:rowOff>
    </xdr:from>
    <xdr:to>
      <xdr:col>16</xdr:col>
      <xdr:colOff>1</xdr:colOff>
      <xdr:row>13</xdr:row>
      <xdr:rowOff>32288</xdr:rowOff>
    </xdr:to>
    <xdr:sp macro="" textlink="">
      <xdr:nvSpPr>
        <xdr:cNvPr id="31" name="TextBox 30"/>
        <xdr:cNvSpPr txBox="1"/>
      </xdr:nvSpPr>
      <xdr:spPr>
        <a:xfrm>
          <a:off x="7178729" y="1076271"/>
          <a:ext cx="2636865" cy="1334576"/>
        </a:xfrm>
        <a:prstGeom prst="rect">
          <a:avLst/>
        </a:prstGeom>
        <a:solidFill>
          <a:schemeClr val="accent5">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REGISTERED CUSTOM</a:t>
          </a:r>
          <a:r>
            <a:rPr lang="en-IN" sz="2000">
              <a:solidFill>
                <a:schemeClr val="bg1"/>
              </a:solidFill>
            </a:rPr>
            <a:t>.</a:t>
          </a:r>
          <a:r>
            <a:rPr lang="en-IN" sz="2800">
              <a:solidFill>
                <a:schemeClr val="bg1"/>
              </a:solidFill>
            </a:rPr>
            <a:t>             </a:t>
          </a:r>
          <a:r>
            <a:rPr lang="en-IN" sz="2400" b="0" i="0" u="none" strike="noStrike">
              <a:solidFill>
                <a:schemeClr val="bg1"/>
              </a:solidFill>
              <a:effectLst/>
              <a:latin typeface="+mn-lt"/>
              <a:ea typeface="+mn-ea"/>
              <a:cs typeface="+mn-cs"/>
            </a:rPr>
            <a:t>53,383</a:t>
          </a:r>
          <a:r>
            <a:rPr lang="en-IN" sz="2400">
              <a:solidFill>
                <a:schemeClr val="bg1"/>
              </a:solidFill>
            </a:rPr>
            <a:t> </a:t>
          </a:r>
        </a:p>
      </xdr:txBody>
    </xdr:sp>
    <xdr:clientData/>
  </xdr:twoCellAnchor>
  <xdr:twoCellAnchor>
    <xdr:from>
      <xdr:col>16</xdr:col>
      <xdr:colOff>408983</xdr:colOff>
      <xdr:row>5</xdr:row>
      <xdr:rowOff>172203</xdr:rowOff>
    </xdr:from>
    <xdr:to>
      <xdr:col>18</xdr:col>
      <xdr:colOff>462795</xdr:colOff>
      <xdr:row>13</xdr:row>
      <xdr:rowOff>10764</xdr:rowOff>
    </xdr:to>
    <xdr:sp macro="" textlink="">
      <xdr:nvSpPr>
        <xdr:cNvPr id="32" name="TextBox 31"/>
        <xdr:cNvSpPr txBox="1"/>
      </xdr:nvSpPr>
      <xdr:spPr>
        <a:xfrm>
          <a:off x="10224576" y="1087034"/>
          <a:ext cx="2615338" cy="1302289"/>
        </a:xfrm>
        <a:prstGeom prst="rect">
          <a:avLst/>
        </a:prstGeom>
        <a:solidFill>
          <a:schemeClr val="accent5">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CASUAL CUSTOMERS</a:t>
          </a:r>
        </a:p>
        <a:p>
          <a:pPr algn="l"/>
          <a:r>
            <a:rPr lang="en-IN" sz="2000" b="1" baseline="0">
              <a:solidFill>
                <a:schemeClr val="bg1"/>
              </a:solidFill>
            </a:rPr>
            <a:t>              </a:t>
          </a:r>
          <a:r>
            <a:rPr lang="en-IN" sz="2400" b="0" i="0" u="none" strike="noStrike">
              <a:solidFill>
                <a:schemeClr val="bg1"/>
              </a:solidFill>
              <a:effectLst/>
              <a:latin typeface="+mn-lt"/>
              <a:ea typeface="+mn-ea"/>
              <a:cs typeface="+mn-cs"/>
            </a:rPr>
            <a:t>4921</a:t>
          </a:r>
          <a:r>
            <a:rPr lang="en-IN" sz="2400">
              <a:solidFill>
                <a:schemeClr val="bg1"/>
              </a:solidFill>
            </a:rPr>
            <a:t> </a:t>
          </a:r>
          <a:endParaRPr lang="en-IN" sz="2400" b="1">
            <a:solidFill>
              <a:schemeClr val="bg1"/>
            </a:solidFill>
          </a:endParaRPr>
        </a:p>
      </xdr:txBody>
    </xdr:sp>
    <xdr:clientData/>
  </xdr:twoCellAnchor>
  <xdr:twoCellAnchor>
    <xdr:from>
      <xdr:col>19</xdr:col>
      <xdr:colOff>333644</xdr:colOff>
      <xdr:row>5</xdr:row>
      <xdr:rowOff>150678</xdr:rowOff>
    </xdr:from>
    <xdr:to>
      <xdr:col>23</xdr:col>
      <xdr:colOff>161441</xdr:colOff>
      <xdr:row>12</xdr:row>
      <xdr:rowOff>139916</xdr:rowOff>
    </xdr:to>
    <xdr:sp macro="" textlink="">
      <xdr:nvSpPr>
        <xdr:cNvPr id="33" name="TextBox 32"/>
        <xdr:cNvSpPr txBox="1"/>
      </xdr:nvSpPr>
      <xdr:spPr>
        <a:xfrm>
          <a:off x="13324237" y="1065509"/>
          <a:ext cx="2507712" cy="1270000"/>
        </a:xfrm>
        <a:prstGeom prst="rect">
          <a:avLst/>
        </a:prstGeom>
        <a:solidFill>
          <a:schemeClr val="accent5">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AVERAGE RENTALS</a:t>
          </a:r>
        </a:p>
        <a:p>
          <a:pPr algn="l"/>
          <a:r>
            <a:rPr lang="en-IN" sz="2000" b="1">
              <a:solidFill>
                <a:schemeClr val="bg1"/>
              </a:solidFill>
            </a:rPr>
            <a:t>          </a:t>
          </a:r>
          <a:r>
            <a:rPr lang="en-IN" sz="2400" b="1">
              <a:solidFill>
                <a:schemeClr val="bg1"/>
              </a:solidFill>
            </a:rPr>
            <a:t> </a:t>
          </a:r>
          <a:r>
            <a:rPr lang="en-IN" sz="2400" b="0" i="0" u="none" strike="noStrike">
              <a:solidFill>
                <a:schemeClr val="bg1"/>
              </a:solidFill>
              <a:effectLst/>
              <a:latin typeface="+mn-lt"/>
              <a:ea typeface="+mn-ea"/>
              <a:cs typeface="+mn-cs"/>
            </a:rPr>
            <a:t>58.304</a:t>
          </a:r>
          <a:r>
            <a:rPr lang="en-IN" sz="2400">
              <a:solidFill>
                <a:schemeClr val="bg1"/>
              </a:solidFill>
            </a:rPr>
            <a:t> </a:t>
          </a:r>
          <a:endParaRPr lang="en-IN" sz="2400" b="1">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6703</xdr:colOff>
      <xdr:row>1</xdr:row>
      <xdr:rowOff>10936</xdr:rowOff>
    </xdr:from>
    <xdr:to>
      <xdr:col>16</xdr:col>
      <xdr:colOff>44802</xdr:colOff>
      <xdr:row>16</xdr:row>
      <xdr:rowOff>181681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7471</xdr:colOff>
      <xdr:row>19</xdr:row>
      <xdr:rowOff>5893</xdr:rowOff>
    </xdr:from>
    <xdr:to>
      <xdr:col>13</xdr:col>
      <xdr:colOff>606777</xdr:colOff>
      <xdr:row>33</xdr:row>
      <xdr:rowOff>180870</xdr:rowOff>
    </xdr:to>
    <xdr:graphicFrame macro="">
      <xdr:nvGraphicFramePr>
        <xdr:cNvPr id="3"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3175</xdr:colOff>
      <xdr:row>4</xdr:row>
      <xdr:rowOff>15875</xdr:rowOff>
    </xdr:from>
    <xdr:to>
      <xdr:col>12</xdr:col>
      <xdr:colOff>168275</xdr:colOff>
      <xdr:row>18</xdr:row>
      <xdr:rowOff>180975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301.659886458336" createdVersion="6" refreshedVersion="6" minRefreshableVersion="3" recordCount="1000">
  <cacheSource type="worksheet">
    <worksheetSource name="Table5"/>
  </cacheSource>
  <cacheFields count="14">
    <cacheField name="No." numFmtId="0">
      <sharedItems containsSemiMixedTypes="0" containsString="0" containsNumber="1" containsInteger="1" minValue="1" maxValue="1000"/>
    </cacheField>
    <cacheField name="Date" numFmtId="16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13"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Hour" numFmtId="0">
      <sharedItems containsSemiMixedTypes="0" containsString="0" containsNumber="1" containsInteger="1" minValue="0" maxValue="23" count="24">
        <n v="0"/>
        <n v="1"/>
        <n v="2"/>
        <n v="3"/>
        <n v="4"/>
        <n v="5"/>
        <n v="6"/>
        <n v="7"/>
        <n v="8"/>
        <n v="9"/>
        <n v="10"/>
        <n v="11"/>
        <n v="12"/>
        <n v="13"/>
        <n v="14"/>
        <n v="15"/>
        <n v="16"/>
        <n v="17"/>
        <n v="18"/>
        <n v="19"/>
        <n v="20"/>
        <n v="21"/>
        <n v="22"/>
        <n v="23"/>
      </sharedItems>
      <fieldGroup base="2">
        <rangePr startNum="0" endNum="23" groupInterval="3"/>
        <groupItems count="10">
          <s v="&lt;0"/>
          <s v="0-2"/>
          <s v="3-5"/>
          <s v="6-8"/>
          <s v="9-11"/>
          <s v="12-14"/>
          <s v="15-17"/>
          <s v="18-20"/>
          <s v="21-23"/>
          <s v="&gt;24"/>
        </groupItems>
      </fieldGroup>
    </cacheField>
    <cacheField name="Holiday" numFmtId="0">
      <sharedItems count="2">
        <b v="0"/>
        <b v="1"/>
      </sharedItems>
    </cacheField>
    <cacheField name="Weekday" numFmtId="0">
      <sharedItems count="2">
        <s v="Weekend"/>
        <s v="Weekday"/>
      </sharedItems>
    </cacheField>
    <cacheField name="Weathersit" numFmtId="0">
      <sharedItems containsSemiMixedTypes="0" containsString="0" containsNumber="1" containsInteger="1" minValue="1" maxValue="4" count="4">
        <n v="1"/>
        <n v="2"/>
        <n v="3"/>
        <n v="4"/>
      </sharedItems>
    </cacheField>
    <cacheField name="Temperature"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Assumed_temp" numFmtId="0">
      <sharedItems containsString="0" containsBlank="1" containsNumber="1" minValue="0" maxValue="0.45450000000000002" count="31">
        <n v="0.28789999999999999"/>
        <n v="0.2727"/>
        <n v="0.2576"/>
        <m/>
        <n v="0.34849999999999998"/>
        <n v="0.39389999999999997"/>
        <n v="0.33329999999999999"/>
        <n v="0.42420000000000002"/>
        <n v="0.45450000000000002"/>
        <n v="0.43940000000000001"/>
        <n v="0.40910000000000002"/>
        <n v="0.2273"/>
        <n v="0.21210000000000001"/>
        <n v="0.19700000000000001"/>
        <n v="0.13639999999999999"/>
        <n v="0.1061"/>
        <n v="0.1212"/>
        <n v="0.16669999999999999"/>
        <n v="0.18179999999999999"/>
        <n v="0.2424"/>
        <n v="0.1515"/>
        <n v="0.31819999999999998"/>
        <n v="6.0600000000000001E-2"/>
        <n v="7.5800000000000006E-2"/>
        <n v="9.0899999999999995E-2"/>
        <n v="0.30299999999999999"/>
        <n v="3.0300000000000001E-2"/>
        <n v="4.5499999999999999E-2"/>
        <n v="0"/>
        <n v="1.52E-2"/>
        <n v="0.36359999999999998"/>
      </sharedItems>
    </cacheField>
    <cacheField name="humidity" numFmtId="0">
      <sharedItems containsSemiMixedTypes="0" containsString="0" containsNumber="1" minValue="0.21" maxValue="1"/>
    </cacheField>
    <cacheField name="Windspeed" numFmtId="0">
      <sharedItems containsSemiMixedTypes="0" containsString="0" containsNumber="1" minValue="0" maxValue="0.58209999999999995" count="20">
        <n v="0"/>
        <n v="8.9599999999999999E-2"/>
        <n v="0.25369999999999998"/>
        <n v="0.28360000000000002"/>
        <n v="0.29849999999999999"/>
        <n v="0.19400000000000001"/>
        <n v="0.22389999999999999"/>
        <n v="0.1343"/>
        <n v="0.16420000000000001"/>
        <n v="0.32840000000000003"/>
        <n v="0.44779999999999998"/>
        <n v="0.35820000000000002"/>
        <n v="0.41789999999999999"/>
        <n v="0.3881"/>
        <n v="0.1045"/>
        <n v="0.49249999999999999"/>
        <n v="0.55220000000000002"/>
        <n v="0.4627"/>
        <n v="0.52239999999999998"/>
        <n v="0.58209999999999995"/>
      </sharedItems>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Count" numFmtId="0">
      <sharedItems containsSemiMixedTypes="0" containsString="0" containsNumber="1" containsInteger="1" minValue="1" maxValue="249" count="191">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107"/>
        <n v="156"/>
        <n v="111"/>
        <n v="135"/>
        <n v="176"/>
        <n v="168"/>
        <n v="175"/>
        <n v="147"/>
        <n v="220"/>
        <n v="127"/>
        <n v="205"/>
        <n v="174"/>
        <n v="121"/>
        <n v="230"/>
        <n v="66"/>
        <n v="114"/>
        <n v="216"/>
        <n v="243"/>
        <n v="199"/>
        <n v="170"/>
        <n v="165"/>
        <n v="160"/>
        <n v="140"/>
        <n v="211"/>
        <n v="145"/>
        <n v="149"/>
      </sharedItems>
    </cacheField>
    <cacheField name="Months"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
    <x v="0"/>
    <x v="0"/>
    <x v="0"/>
    <x v="0"/>
    <x v="0"/>
    <x v="0"/>
    <x v="0"/>
    <n v="0.81"/>
    <x v="0"/>
    <n v="3"/>
    <n v="13"/>
    <x v="0"/>
  </r>
  <r>
    <n v="2"/>
    <x v="0"/>
    <x v="1"/>
    <x v="0"/>
    <x v="0"/>
    <x v="0"/>
    <x v="1"/>
    <x v="1"/>
    <n v="0.8"/>
    <x v="0"/>
    <n v="8"/>
    <n v="32"/>
    <x v="1"/>
  </r>
  <r>
    <n v="3"/>
    <x v="0"/>
    <x v="2"/>
    <x v="0"/>
    <x v="0"/>
    <x v="0"/>
    <x v="1"/>
    <x v="1"/>
    <n v="0.8"/>
    <x v="0"/>
    <n v="5"/>
    <n v="27"/>
    <x v="2"/>
  </r>
  <r>
    <n v="4"/>
    <x v="0"/>
    <x v="3"/>
    <x v="0"/>
    <x v="0"/>
    <x v="0"/>
    <x v="0"/>
    <x v="0"/>
    <n v="0.75"/>
    <x v="0"/>
    <n v="3"/>
    <n v="10"/>
    <x v="3"/>
  </r>
  <r>
    <n v="5"/>
    <x v="0"/>
    <x v="4"/>
    <x v="0"/>
    <x v="0"/>
    <x v="0"/>
    <x v="0"/>
    <x v="0"/>
    <n v="0.75"/>
    <x v="0"/>
    <n v="0"/>
    <n v="1"/>
    <x v="4"/>
  </r>
  <r>
    <n v="6"/>
    <x v="0"/>
    <x v="5"/>
    <x v="0"/>
    <x v="0"/>
    <x v="1"/>
    <x v="0"/>
    <x v="2"/>
    <n v="0.75"/>
    <x v="1"/>
    <n v="0"/>
    <n v="1"/>
    <x v="4"/>
  </r>
  <r>
    <n v="7"/>
    <x v="0"/>
    <x v="6"/>
    <x v="0"/>
    <x v="0"/>
    <x v="0"/>
    <x v="1"/>
    <x v="1"/>
    <n v="0.8"/>
    <x v="0"/>
    <n v="2"/>
    <n v="0"/>
    <x v="5"/>
  </r>
  <r>
    <n v="8"/>
    <x v="0"/>
    <x v="7"/>
    <x v="0"/>
    <x v="0"/>
    <x v="0"/>
    <x v="2"/>
    <x v="2"/>
    <n v="0.86"/>
    <x v="0"/>
    <n v="1"/>
    <n v="2"/>
    <x v="6"/>
  </r>
  <r>
    <n v="9"/>
    <x v="0"/>
    <x v="8"/>
    <x v="0"/>
    <x v="0"/>
    <x v="0"/>
    <x v="0"/>
    <x v="3"/>
    <n v="0.75"/>
    <x v="0"/>
    <n v="1"/>
    <n v="7"/>
    <x v="7"/>
  </r>
  <r>
    <n v="10"/>
    <x v="0"/>
    <x v="9"/>
    <x v="0"/>
    <x v="0"/>
    <x v="0"/>
    <x v="3"/>
    <x v="4"/>
    <n v="0.76"/>
    <x v="0"/>
    <n v="8"/>
    <n v="6"/>
    <x v="8"/>
  </r>
  <r>
    <n v="11"/>
    <x v="0"/>
    <x v="10"/>
    <x v="0"/>
    <x v="0"/>
    <x v="0"/>
    <x v="4"/>
    <x v="5"/>
    <n v="0.76"/>
    <x v="2"/>
    <n v="12"/>
    <n v="24"/>
    <x v="9"/>
  </r>
  <r>
    <n v="12"/>
    <x v="0"/>
    <x v="11"/>
    <x v="0"/>
    <x v="0"/>
    <x v="0"/>
    <x v="5"/>
    <x v="6"/>
    <n v="0.81"/>
    <x v="3"/>
    <n v="26"/>
    <n v="30"/>
    <x v="10"/>
  </r>
  <r>
    <n v="13"/>
    <x v="0"/>
    <x v="12"/>
    <x v="0"/>
    <x v="0"/>
    <x v="0"/>
    <x v="6"/>
    <x v="7"/>
    <n v="0.77"/>
    <x v="3"/>
    <n v="29"/>
    <n v="55"/>
    <x v="11"/>
  </r>
  <r>
    <n v="14"/>
    <x v="0"/>
    <x v="13"/>
    <x v="0"/>
    <x v="0"/>
    <x v="1"/>
    <x v="7"/>
    <x v="8"/>
    <n v="0.72"/>
    <x v="4"/>
    <n v="47"/>
    <n v="47"/>
    <x v="12"/>
  </r>
  <r>
    <n v="15"/>
    <x v="0"/>
    <x v="14"/>
    <x v="0"/>
    <x v="0"/>
    <x v="1"/>
    <x v="7"/>
    <x v="8"/>
    <n v="0.72"/>
    <x v="3"/>
    <n v="35"/>
    <n v="71"/>
    <x v="13"/>
  </r>
  <r>
    <n v="16"/>
    <x v="0"/>
    <x v="15"/>
    <x v="0"/>
    <x v="0"/>
    <x v="1"/>
    <x v="8"/>
    <x v="9"/>
    <n v="0.77"/>
    <x v="4"/>
    <n v="40"/>
    <n v="70"/>
    <x v="14"/>
  </r>
  <r>
    <n v="17"/>
    <x v="0"/>
    <x v="16"/>
    <x v="0"/>
    <x v="0"/>
    <x v="1"/>
    <x v="6"/>
    <x v="7"/>
    <n v="0.82"/>
    <x v="4"/>
    <n v="41"/>
    <n v="52"/>
    <x v="15"/>
  </r>
  <r>
    <n v="18"/>
    <x v="0"/>
    <x v="17"/>
    <x v="0"/>
    <x v="0"/>
    <x v="1"/>
    <x v="8"/>
    <x v="3"/>
    <n v="0.82"/>
    <x v="3"/>
    <n v="15"/>
    <n v="52"/>
    <x v="16"/>
  </r>
  <r>
    <n v="19"/>
    <x v="0"/>
    <x v="18"/>
    <x v="0"/>
    <x v="0"/>
    <x v="2"/>
    <x v="6"/>
    <x v="7"/>
    <n v="0.88"/>
    <x v="2"/>
    <n v="9"/>
    <n v="26"/>
    <x v="17"/>
  </r>
  <r>
    <n v="20"/>
    <x v="0"/>
    <x v="19"/>
    <x v="0"/>
    <x v="0"/>
    <x v="2"/>
    <x v="6"/>
    <x v="7"/>
    <n v="0.88"/>
    <x v="2"/>
    <n v="6"/>
    <n v="31"/>
    <x v="18"/>
  </r>
  <r>
    <n v="21"/>
    <x v="0"/>
    <x v="20"/>
    <x v="0"/>
    <x v="0"/>
    <x v="1"/>
    <x v="9"/>
    <x v="10"/>
    <n v="0.87"/>
    <x v="2"/>
    <n v="11"/>
    <n v="25"/>
    <x v="9"/>
  </r>
  <r>
    <n v="22"/>
    <x v="0"/>
    <x v="21"/>
    <x v="0"/>
    <x v="0"/>
    <x v="1"/>
    <x v="9"/>
    <x v="10"/>
    <n v="0.87"/>
    <x v="5"/>
    <n v="3"/>
    <n v="31"/>
    <x v="19"/>
  </r>
  <r>
    <n v="23"/>
    <x v="0"/>
    <x v="22"/>
    <x v="0"/>
    <x v="0"/>
    <x v="1"/>
    <x v="9"/>
    <x v="10"/>
    <n v="0.94"/>
    <x v="6"/>
    <n v="11"/>
    <n v="17"/>
    <x v="20"/>
  </r>
  <r>
    <n v="24"/>
    <x v="0"/>
    <x v="23"/>
    <x v="0"/>
    <x v="0"/>
    <x v="1"/>
    <x v="7"/>
    <x v="3"/>
    <n v="0.88"/>
    <x v="4"/>
    <n v="15"/>
    <n v="24"/>
    <x v="21"/>
  </r>
  <r>
    <n v="25"/>
    <x v="1"/>
    <x v="0"/>
    <x v="0"/>
    <x v="0"/>
    <x v="1"/>
    <x v="7"/>
    <x v="8"/>
    <n v="0.88"/>
    <x v="4"/>
    <n v="4"/>
    <n v="13"/>
    <x v="22"/>
  </r>
  <r>
    <n v="26"/>
    <x v="1"/>
    <x v="1"/>
    <x v="0"/>
    <x v="0"/>
    <x v="1"/>
    <x v="8"/>
    <x v="9"/>
    <n v="0.94"/>
    <x v="2"/>
    <n v="1"/>
    <n v="16"/>
    <x v="22"/>
  </r>
  <r>
    <n v="27"/>
    <x v="1"/>
    <x v="2"/>
    <x v="0"/>
    <x v="0"/>
    <x v="1"/>
    <x v="6"/>
    <x v="7"/>
    <n v="1"/>
    <x v="3"/>
    <n v="1"/>
    <n v="8"/>
    <x v="23"/>
  </r>
  <r>
    <n v="28"/>
    <x v="1"/>
    <x v="3"/>
    <x v="0"/>
    <x v="0"/>
    <x v="1"/>
    <x v="7"/>
    <x v="8"/>
    <n v="0.94"/>
    <x v="5"/>
    <n v="2"/>
    <n v="4"/>
    <x v="24"/>
  </r>
  <r>
    <n v="29"/>
    <x v="1"/>
    <x v="4"/>
    <x v="0"/>
    <x v="0"/>
    <x v="1"/>
    <x v="7"/>
    <x v="3"/>
    <n v="0.94"/>
    <x v="5"/>
    <n v="2"/>
    <n v="1"/>
    <x v="6"/>
  </r>
  <r>
    <n v="30"/>
    <x v="1"/>
    <x v="6"/>
    <x v="0"/>
    <x v="0"/>
    <x v="2"/>
    <x v="6"/>
    <x v="7"/>
    <n v="0.77"/>
    <x v="4"/>
    <n v="0"/>
    <n v="2"/>
    <x v="5"/>
  </r>
  <r>
    <n v="31"/>
    <x v="1"/>
    <x v="7"/>
    <x v="0"/>
    <x v="0"/>
    <x v="1"/>
    <x v="9"/>
    <x v="10"/>
    <n v="0.76"/>
    <x v="5"/>
    <n v="0"/>
    <n v="1"/>
    <x v="4"/>
  </r>
  <r>
    <n v="32"/>
    <x v="1"/>
    <x v="8"/>
    <x v="0"/>
    <x v="0"/>
    <x v="2"/>
    <x v="9"/>
    <x v="10"/>
    <n v="0.71"/>
    <x v="6"/>
    <n v="0"/>
    <n v="8"/>
    <x v="7"/>
  </r>
  <r>
    <n v="33"/>
    <x v="1"/>
    <x v="9"/>
    <x v="0"/>
    <x v="0"/>
    <x v="1"/>
    <x v="4"/>
    <x v="3"/>
    <n v="0.76"/>
    <x v="6"/>
    <n v="1"/>
    <n v="19"/>
    <x v="25"/>
  </r>
  <r>
    <n v="34"/>
    <x v="1"/>
    <x v="10"/>
    <x v="0"/>
    <x v="0"/>
    <x v="1"/>
    <x v="5"/>
    <x v="4"/>
    <n v="0.81"/>
    <x v="6"/>
    <n v="7"/>
    <n v="46"/>
    <x v="26"/>
  </r>
  <r>
    <n v="35"/>
    <x v="1"/>
    <x v="11"/>
    <x v="0"/>
    <x v="0"/>
    <x v="1"/>
    <x v="5"/>
    <x v="6"/>
    <n v="0.71"/>
    <x v="2"/>
    <n v="16"/>
    <n v="54"/>
    <x v="27"/>
  </r>
  <r>
    <n v="36"/>
    <x v="1"/>
    <x v="12"/>
    <x v="0"/>
    <x v="0"/>
    <x v="1"/>
    <x v="5"/>
    <x v="6"/>
    <n v="0.66"/>
    <x v="4"/>
    <n v="20"/>
    <n v="73"/>
    <x v="15"/>
  </r>
  <r>
    <n v="37"/>
    <x v="1"/>
    <x v="13"/>
    <x v="0"/>
    <x v="0"/>
    <x v="1"/>
    <x v="5"/>
    <x v="4"/>
    <n v="0.66"/>
    <x v="7"/>
    <n v="11"/>
    <n v="64"/>
    <x v="28"/>
  </r>
  <r>
    <n v="38"/>
    <x v="1"/>
    <x v="14"/>
    <x v="0"/>
    <x v="0"/>
    <x v="2"/>
    <x v="5"/>
    <x v="3"/>
    <n v="0.76"/>
    <x v="5"/>
    <n v="4"/>
    <n v="55"/>
    <x v="29"/>
  </r>
  <r>
    <n v="39"/>
    <x v="1"/>
    <x v="15"/>
    <x v="0"/>
    <x v="0"/>
    <x v="2"/>
    <x v="10"/>
    <x v="6"/>
    <n v="0.81"/>
    <x v="8"/>
    <n v="19"/>
    <n v="55"/>
    <x v="30"/>
  </r>
  <r>
    <n v="40"/>
    <x v="1"/>
    <x v="16"/>
    <x v="0"/>
    <x v="0"/>
    <x v="2"/>
    <x v="10"/>
    <x v="6"/>
    <n v="0.71"/>
    <x v="8"/>
    <n v="9"/>
    <n v="67"/>
    <x v="31"/>
  </r>
  <r>
    <n v="41"/>
    <x v="1"/>
    <x v="17"/>
    <x v="0"/>
    <x v="0"/>
    <x v="0"/>
    <x v="10"/>
    <x v="6"/>
    <n v="0.56999999999999995"/>
    <x v="5"/>
    <n v="7"/>
    <n v="58"/>
    <x v="32"/>
  </r>
  <r>
    <n v="42"/>
    <x v="1"/>
    <x v="18"/>
    <x v="0"/>
    <x v="0"/>
    <x v="1"/>
    <x v="5"/>
    <x v="6"/>
    <n v="0.46"/>
    <x v="9"/>
    <n v="10"/>
    <n v="43"/>
    <x v="26"/>
  </r>
  <r>
    <n v="43"/>
    <x v="1"/>
    <x v="19"/>
    <x v="0"/>
    <x v="0"/>
    <x v="0"/>
    <x v="3"/>
    <x v="0"/>
    <n v="0.42"/>
    <x v="10"/>
    <n v="1"/>
    <n v="29"/>
    <x v="33"/>
  </r>
  <r>
    <n v="44"/>
    <x v="1"/>
    <x v="20"/>
    <x v="0"/>
    <x v="0"/>
    <x v="0"/>
    <x v="11"/>
    <x v="3"/>
    <n v="0.39"/>
    <x v="11"/>
    <n v="5"/>
    <n v="17"/>
    <x v="34"/>
  </r>
  <r>
    <n v="45"/>
    <x v="1"/>
    <x v="21"/>
    <x v="0"/>
    <x v="0"/>
    <x v="0"/>
    <x v="12"/>
    <x v="11"/>
    <n v="0.44"/>
    <x v="9"/>
    <n v="11"/>
    <n v="20"/>
    <x v="35"/>
  </r>
  <r>
    <n v="46"/>
    <x v="1"/>
    <x v="22"/>
    <x v="0"/>
    <x v="0"/>
    <x v="0"/>
    <x v="0"/>
    <x v="12"/>
    <n v="0.44"/>
    <x v="4"/>
    <n v="0"/>
    <n v="9"/>
    <x v="23"/>
  </r>
  <r>
    <n v="47"/>
    <x v="1"/>
    <x v="23"/>
    <x v="0"/>
    <x v="0"/>
    <x v="0"/>
    <x v="1"/>
    <x v="11"/>
    <n v="0.47"/>
    <x v="8"/>
    <n v="0"/>
    <n v="8"/>
    <x v="7"/>
  </r>
  <r>
    <n v="48"/>
    <x v="2"/>
    <x v="0"/>
    <x v="0"/>
    <x v="1"/>
    <x v="0"/>
    <x v="1"/>
    <x v="13"/>
    <n v="0.44"/>
    <x v="11"/>
    <n v="0"/>
    <n v="5"/>
    <x v="36"/>
  </r>
  <r>
    <n v="49"/>
    <x v="2"/>
    <x v="1"/>
    <x v="0"/>
    <x v="1"/>
    <x v="0"/>
    <x v="2"/>
    <x v="3"/>
    <n v="0.44"/>
    <x v="12"/>
    <n v="0"/>
    <n v="2"/>
    <x v="5"/>
  </r>
  <r>
    <n v="50"/>
    <x v="2"/>
    <x v="4"/>
    <x v="0"/>
    <x v="1"/>
    <x v="0"/>
    <x v="13"/>
    <x v="14"/>
    <n v="0.47"/>
    <x v="13"/>
    <n v="0"/>
    <n v="1"/>
    <x v="4"/>
  </r>
  <r>
    <n v="51"/>
    <x v="2"/>
    <x v="5"/>
    <x v="0"/>
    <x v="1"/>
    <x v="0"/>
    <x v="13"/>
    <x v="14"/>
    <n v="0.47"/>
    <x v="3"/>
    <n v="0"/>
    <n v="3"/>
    <x v="6"/>
  </r>
  <r>
    <n v="52"/>
    <x v="2"/>
    <x v="6"/>
    <x v="0"/>
    <x v="1"/>
    <x v="0"/>
    <x v="14"/>
    <x v="15"/>
    <n v="0.5"/>
    <x v="13"/>
    <n v="0"/>
    <n v="30"/>
    <x v="33"/>
  </r>
  <r>
    <n v="53"/>
    <x v="2"/>
    <x v="7"/>
    <x v="0"/>
    <x v="1"/>
    <x v="0"/>
    <x v="14"/>
    <x v="14"/>
    <n v="0.5"/>
    <x v="5"/>
    <n v="1"/>
    <n v="63"/>
    <x v="37"/>
  </r>
  <r>
    <n v="54"/>
    <x v="2"/>
    <x v="8"/>
    <x v="0"/>
    <x v="1"/>
    <x v="0"/>
    <x v="14"/>
    <x v="16"/>
    <n v="0.5"/>
    <x v="3"/>
    <n v="1"/>
    <n v="153"/>
    <x v="38"/>
  </r>
  <r>
    <n v="55"/>
    <x v="2"/>
    <x v="9"/>
    <x v="0"/>
    <x v="1"/>
    <x v="0"/>
    <x v="13"/>
    <x v="14"/>
    <n v="0.43"/>
    <x v="13"/>
    <n v="7"/>
    <n v="81"/>
    <x v="39"/>
  </r>
  <r>
    <n v="56"/>
    <x v="2"/>
    <x v="10"/>
    <x v="0"/>
    <x v="1"/>
    <x v="0"/>
    <x v="15"/>
    <x v="17"/>
    <n v="0.43"/>
    <x v="2"/>
    <n v="11"/>
    <n v="33"/>
    <x v="40"/>
  </r>
  <r>
    <n v="57"/>
    <x v="2"/>
    <x v="11"/>
    <x v="0"/>
    <x v="1"/>
    <x v="0"/>
    <x v="2"/>
    <x v="18"/>
    <n v="0.4"/>
    <x v="9"/>
    <n v="10"/>
    <n v="41"/>
    <x v="41"/>
  </r>
  <r>
    <n v="58"/>
    <x v="2"/>
    <x v="12"/>
    <x v="0"/>
    <x v="1"/>
    <x v="0"/>
    <x v="1"/>
    <x v="12"/>
    <n v="0.35"/>
    <x v="4"/>
    <n v="13"/>
    <n v="48"/>
    <x v="42"/>
  </r>
  <r>
    <n v="59"/>
    <x v="2"/>
    <x v="13"/>
    <x v="0"/>
    <x v="1"/>
    <x v="0"/>
    <x v="0"/>
    <x v="3"/>
    <n v="0.35"/>
    <x v="3"/>
    <n v="8"/>
    <n v="53"/>
    <x v="42"/>
  </r>
  <r>
    <n v="60"/>
    <x v="2"/>
    <x v="14"/>
    <x v="0"/>
    <x v="1"/>
    <x v="0"/>
    <x v="12"/>
    <x v="19"/>
    <n v="0.3"/>
    <x v="3"/>
    <n v="11"/>
    <n v="66"/>
    <x v="43"/>
  </r>
  <r>
    <n v="61"/>
    <x v="2"/>
    <x v="15"/>
    <x v="0"/>
    <x v="1"/>
    <x v="0"/>
    <x v="12"/>
    <x v="19"/>
    <n v="0.3"/>
    <x v="2"/>
    <n v="14"/>
    <n v="58"/>
    <x v="44"/>
  </r>
  <r>
    <n v="62"/>
    <x v="2"/>
    <x v="16"/>
    <x v="0"/>
    <x v="1"/>
    <x v="0"/>
    <x v="12"/>
    <x v="19"/>
    <n v="0.3"/>
    <x v="2"/>
    <n v="9"/>
    <n v="67"/>
    <x v="31"/>
  </r>
  <r>
    <n v="63"/>
    <x v="2"/>
    <x v="17"/>
    <x v="0"/>
    <x v="1"/>
    <x v="0"/>
    <x v="0"/>
    <x v="11"/>
    <n v="0.3"/>
    <x v="6"/>
    <n v="11"/>
    <n v="146"/>
    <x v="45"/>
  </r>
  <r>
    <n v="64"/>
    <x v="2"/>
    <x v="18"/>
    <x v="0"/>
    <x v="1"/>
    <x v="0"/>
    <x v="0"/>
    <x v="2"/>
    <n v="0.32"/>
    <x v="14"/>
    <n v="9"/>
    <n v="148"/>
    <x v="45"/>
  </r>
  <r>
    <n v="65"/>
    <x v="2"/>
    <x v="19"/>
    <x v="0"/>
    <x v="1"/>
    <x v="0"/>
    <x v="2"/>
    <x v="2"/>
    <n v="0.47"/>
    <x v="0"/>
    <n v="8"/>
    <n v="102"/>
    <x v="14"/>
  </r>
  <r>
    <n v="66"/>
    <x v="2"/>
    <x v="20"/>
    <x v="0"/>
    <x v="1"/>
    <x v="0"/>
    <x v="2"/>
    <x v="3"/>
    <n v="0.47"/>
    <x v="14"/>
    <n v="3"/>
    <n v="49"/>
    <x v="46"/>
  </r>
  <r>
    <n v="67"/>
    <x v="2"/>
    <x v="21"/>
    <x v="0"/>
    <x v="1"/>
    <x v="0"/>
    <x v="15"/>
    <x v="13"/>
    <n v="0.64"/>
    <x v="7"/>
    <n v="3"/>
    <n v="49"/>
    <x v="46"/>
  </r>
  <r>
    <n v="68"/>
    <x v="2"/>
    <x v="22"/>
    <x v="0"/>
    <x v="1"/>
    <x v="0"/>
    <x v="14"/>
    <x v="20"/>
    <n v="0.69"/>
    <x v="7"/>
    <n v="0"/>
    <n v="20"/>
    <x v="25"/>
  </r>
  <r>
    <n v="69"/>
    <x v="2"/>
    <x v="23"/>
    <x v="0"/>
    <x v="1"/>
    <x v="0"/>
    <x v="15"/>
    <x v="12"/>
    <n v="0.55000000000000004"/>
    <x v="14"/>
    <n v="1"/>
    <n v="11"/>
    <x v="47"/>
  </r>
  <r>
    <n v="70"/>
    <x v="3"/>
    <x v="0"/>
    <x v="0"/>
    <x v="1"/>
    <x v="0"/>
    <x v="13"/>
    <x v="3"/>
    <n v="0.55000000000000004"/>
    <x v="14"/>
    <n v="0"/>
    <n v="5"/>
    <x v="36"/>
  </r>
  <r>
    <n v="71"/>
    <x v="3"/>
    <x v="1"/>
    <x v="0"/>
    <x v="1"/>
    <x v="0"/>
    <x v="13"/>
    <x v="18"/>
    <n v="0.59"/>
    <x v="14"/>
    <n v="0"/>
    <n v="2"/>
    <x v="5"/>
  </r>
  <r>
    <n v="72"/>
    <x v="3"/>
    <x v="2"/>
    <x v="0"/>
    <x v="1"/>
    <x v="0"/>
    <x v="14"/>
    <x v="20"/>
    <n v="0.63"/>
    <x v="7"/>
    <n v="0"/>
    <n v="1"/>
    <x v="4"/>
  </r>
  <r>
    <n v="73"/>
    <x v="3"/>
    <x v="4"/>
    <x v="0"/>
    <x v="1"/>
    <x v="0"/>
    <x v="14"/>
    <x v="18"/>
    <n v="0.63"/>
    <x v="1"/>
    <n v="0"/>
    <n v="2"/>
    <x v="5"/>
  </r>
  <r>
    <n v="74"/>
    <x v="3"/>
    <x v="5"/>
    <x v="0"/>
    <x v="1"/>
    <x v="0"/>
    <x v="16"/>
    <x v="20"/>
    <n v="0.68"/>
    <x v="14"/>
    <n v="0"/>
    <n v="4"/>
    <x v="48"/>
  </r>
  <r>
    <n v="75"/>
    <x v="3"/>
    <x v="6"/>
    <x v="0"/>
    <x v="1"/>
    <x v="0"/>
    <x v="16"/>
    <x v="20"/>
    <n v="0.74"/>
    <x v="14"/>
    <n v="0"/>
    <n v="36"/>
    <x v="9"/>
  </r>
  <r>
    <n v="76"/>
    <x v="3"/>
    <x v="7"/>
    <x v="0"/>
    <x v="1"/>
    <x v="0"/>
    <x v="16"/>
    <x v="20"/>
    <n v="0.74"/>
    <x v="7"/>
    <n v="2"/>
    <n v="92"/>
    <x v="12"/>
  </r>
  <r>
    <n v="77"/>
    <x v="3"/>
    <x v="8"/>
    <x v="0"/>
    <x v="1"/>
    <x v="0"/>
    <x v="14"/>
    <x v="20"/>
    <n v="0.69"/>
    <x v="8"/>
    <n v="2"/>
    <n v="177"/>
    <x v="49"/>
  </r>
  <r>
    <n v="78"/>
    <x v="3"/>
    <x v="9"/>
    <x v="0"/>
    <x v="1"/>
    <x v="0"/>
    <x v="13"/>
    <x v="20"/>
    <n v="0.64"/>
    <x v="6"/>
    <n v="2"/>
    <n v="98"/>
    <x v="50"/>
  </r>
  <r>
    <n v="79"/>
    <x v="3"/>
    <x v="10"/>
    <x v="0"/>
    <x v="1"/>
    <x v="1"/>
    <x v="13"/>
    <x v="14"/>
    <n v="0.69"/>
    <x v="9"/>
    <n v="5"/>
    <n v="37"/>
    <x v="51"/>
  </r>
  <r>
    <n v="80"/>
    <x v="3"/>
    <x v="11"/>
    <x v="0"/>
    <x v="1"/>
    <x v="0"/>
    <x v="1"/>
    <x v="12"/>
    <n v="0.51"/>
    <x v="4"/>
    <n v="7"/>
    <n v="50"/>
    <x v="52"/>
  </r>
  <r>
    <n v="81"/>
    <x v="3"/>
    <x v="12"/>
    <x v="0"/>
    <x v="1"/>
    <x v="0"/>
    <x v="1"/>
    <x v="11"/>
    <n v="0.51"/>
    <x v="8"/>
    <n v="12"/>
    <n v="66"/>
    <x v="53"/>
  </r>
  <r>
    <n v="82"/>
    <x v="3"/>
    <x v="13"/>
    <x v="0"/>
    <x v="1"/>
    <x v="0"/>
    <x v="0"/>
    <x v="11"/>
    <n v="0.56000000000000005"/>
    <x v="5"/>
    <n v="18"/>
    <n v="79"/>
    <x v="54"/>
  </r>
  <r>
    <n v="83"/>
    <x v="3"/>
    <x v="14"/>
    <x v="0"/>
    <x v="1"/>
    <x v="0"/>
    <x v="12"/>
    <x v="2"/>
    <n v="0.52"/>
    <x v="6"/>
    <n v="9"/>
    <n v="54"/>
    <x v="55"/>
  </r>
  <r>
    <n v="84"/>
    <x v="3"/>
    <x v="15"/>
    <x v="0"/>
    <x v="1"/>
    <x v="0"/>
    <x v="17"/>
    <x v="1"/>
    <n v="0.52"/>
    <x v="2"/>
    <n v="17"/>
    <n v="48"/>
    <x v="32"/>
  </r>
  <r>
    <n v="85"/>
    <x v="3"/>
    <x v="16"/>
    <x v="0"/>
    <x v="1"/>
    <x v="0"/>
    <x v="11"/>
    <x v="0"/>
    <n v="0.49"/>
    <x v="2"/>
    <n v="15"/>
    <n v="68"/>
    <x v="56"/>
  </r>
  <r>
    <n v="86"/>
    <x v="3"/>
    <x v="17"/>
    <x v="0"/>
    <x v="1"/>
    <x v="0"/>
    <x v="17"/>
    <x v="1"/>
    <n v="0.48"/>
    <x v="6"/>
    <n v="10"/>
    <n v="202"/>
    <x v="57"/>
  </r>
  <r>
    <n v="87"/>
    <x v="3"/>
    <x v="18"/>
    <x v="0"/>
    <x v="1"/>
    <x v="0"/>
    <x v="12"/>
    <x v="2"/>
    <n v="0.48"/>
    <x v="5"/>
    <n v="3"/>
    <n v="179"/>
    <x v="58"/>
  </r>
  <r>
    <n v="88"/>
    <x v="3"/>
    <x v="19"/>
    <x v="0"/>
    <x v="1"/>
    <x v="0"/>
    <x v="0"/>
    <x v="2"/>
    <n v="0.48"/>
    <x v="14"/>
    <n v="2"/>
    <n v="110"/>
    <x v="59"/>
  </r>
  <r>
    <n v="89"/>
    <x v="3"/>
    <x v="20"/>
    <x v="0"/>
    <x v="1"/>
    <x v="0"/>
    <x v="0"/>
    <x v="2"/>
    <n v="0.48"/>
    <x v="14"/>
    <n v="1"/>
    <n v="53"/>
    <x v="60"/>
  </r>
  <r>
    <n v="90"/>
    <x v="3"/>
    <x v="21"/>
    <x v="0"/>
    <x v="1"/>
    <x v="0"/>
    <x v="1"/>
    <x v="1"/>
    <n v="0.64"/>
    <x v="0"/>
    <n v="0"/>
    <n v="48"/>
    <x v="61"/>
  </r>
  <r>
    <n v="91"/>
    <x v="3"/>
    <x v="22"/>
    <x v="0"/>
    <x v="1"/>
    <x v="0"/>
    <x v="1"/>
    <x v="2"/>
    <n v="0.64"/>
    <x v="1"/>
    <n v="1"/>
    <n v="34"/>
    <x v="17"/>
  </r>
  <r>
    <n v="92"/>
    <x v="3"/>
    <x v="23"/>
    <x v="0"/>
    <x v="1"/>
    <x v="0"/>
    <x v="2"/>
    <x v="11"/>
    <n v="0.69"/>
    <x v="1"/>
    <n v="2"/>
    <n v="9"/>
    <x v="62"/>
  </r>
  <r>
    <n v="93"/>
    <x v="4"/>
    <x v="0"/>
    <x v="0"/>
    <x v="1"/>
    <x v="0"/>
    <x v="2"/>
    <x v="2"/>
    <n v="0.64"/>
    <x v="0"/>
    <n v="0"/>
    <n v="6"/>
    <x v="24"/>
  </r>
  <r>
    <n v="94"/>
    <x v="4"/>
    <x v="1"/>
    <x v="0"/>
    <x v="1"/>
    <x v="0"/>
    <x v="13"/>
    <x v="13"/>
    <n v="0.74"/>
    <x v="1"/>
    <n v="0"/>
    <n v="6"/>
    <x v="24"/>
  </r>
  <r>
    <n v="95"/>
    <x v="4"/>
    <x v="2"/>
    <x v="0"/>
    <x v="1"/>
    <x v="0"/>
    <x v="13"/>
    <x v="13"/>
    <n v="0.74"/>
    <x v="1"/>
    <n v="0"/>
    <n v="2"/>
    <x v="5"/>
  </r>
  <r>
    <n v="96"/>
    <x v="4"/>
    <x v="4"/>
    <x v="0"/>
    <x v="1"/>
    <x v="0"/>
    <x v="0"/>
    <x v="11"/>
    <n v="0.48"/>
    <x v="6"/>
    <n v="0"/>
    <n v="2"/>
    <x v="5"/>
  </r>
  <r>
    <n v="97"/>
    <x v="4"/>
    <x v="5"/>
    <x v="0"/>
    <x v="1"/>
    <x v="0"/>
    <x v="1"/>
    <x v="11"/>
    <n v="0.47"/>
    <x v="8"/>
    <n v="0"/>
    <n v="3"/>
    <x v="6"/>
  </r>
  <r>
    <n v="98"/>
    <x v="4"/>
    <x v="6"/>
    <x v="0"/>
    <x v="1"/>
    <x v="0"/>
    <x v="2"/>
    <x v="13"/>
    <n v="0.47"/>
    <x v="6"/>
    <n v="0"/>
    <n v="33"/>
    <x v="63"/>
  </r>
  <r>
    <n v="99"/>
    <x v="4"/>
    <x v="7"/>
    <x v="0"/>
    <x v="1"/>
    <x v="0"/>
    <x v="15"/>
    <x v="18"/>
    <n v="0.43"/>
    <x v="5"/>
    <n v="1"/>
    <n v="87"/>
    <x v="39"/>
  </r>
  <r>
    <n v="100"/>
    <x v="4"/>
    <x v="8"/>
    <x v="0"/>
    <x v="1"/>
    <x v="0"/>
    <x v="2"/>
    <x v="18"/>
    <n v="0.4"/>
    <x v="4"/>
    <n v="3"/>
    <n v="192"/>
    <x v="64"/>
  </r>
  <r>
    <n v="101"/>
    <x v="4"/>
    <x v="9"/>
    <x v="0"/>
    <x v="1"/>
    <x v="0"/>
    <x v="1"/>
    <x v="13"/>
    <n v="0.37"/>
    <x v="9"/>
    <n v="6"/>
    <n v="109"/>
    <x v="65"/>
  </r>
  <r>
    <n v="102"/>
    <x v="4"/>
    <x v="10"/>
    <x v="0"/>
    <x v="1"/>
    <x v="0"/>
    <x v="1"/>
    <x v="13"/>
    <n v="0.37"/>
    <x v="9"/>
    <n v="4"/>
    <n v="53"/>
    <x v="52"/>
  </r>
  <r>
    <n v="103"/>
    <x v="4"/>
    <x v="11"/>
    <x v="0"/>
    <x v="1"/>
    <x v="0"/>
    <x v="12"/>
    <x v="11"/>
    <n v="0.33"/>
    <x v="9"/>
    <n v="12"/>
    <n v="34"/>
    <x v="66"/>
  </r>
  <r>
    <n v="104"/>
    <x v="4"/>
    <x v="12"/>
    <x v="0"/>
    <x v="1"/>
    <x v="0"/>
    <x v="12"/>
    <x v="11"/>
    <n v="0.33"/>
    <x v="9"/>
    <n v="5"/>
    <n v="74"/>
    <x v="67"/>
  </r>
  <r>
    <n v="105"/>
    <x v="4"/>
    <x v="13"/>
    <x v="0"/>
    <x v="1"/>
    <x v="0"/>
    <x v="17"/>
    <x v="2"/>
    <n v="0.3"/>
    <x v="4"/>
    <n v="6"/>
    <n v="65"/>
    <x v="68"/>
  </r>
  <r>
    <n v="106"/>
    <x v="4"/>
    <x v="14"/>
    <x v="0"/>
    <x v="1"/>
    <x v="0"/>
    <x v="11"/>
    <x v="0"/>
    <n v="0.28000000000000003"/>
    <x v="5"/>
    <n v="10"/>
    <n v="52"/>
    <x v="69"/>
  </r>
  <r>
    <n v="107"/>
    <x v="4"/>
    <x v="15"/>
    <x v="0"/>
    <x v="1"/>
    <x v="0"/>
    <x v="11"/>
    <x v="0"/>
    <n v="0.28000000000000003"/>
    <x v="5"/>
    <n v="7"/>
    <n v="55"/>
    <x v="69"/>
  </r>
  <r>
    <n v="108"/>
    <x v="4"/>
    <x v="16"/>
    <x v="0"/>
    <x v="1"/>
    <x v="0"/>
    <x v="11"/>
    <x v="21"/>
    <n v="0.28000000000000003"/>
    <x v="1"/>
    <n v="4"/>
    <n v="85"/>
    <x v="70"/>
  </r>
  <r>
    <n v="109"/>
    <x v="4"/>
    <x v="17"/>
    <x v="0"/>
    <x v="1"/>
    <x v="0"/>
    <x v="0"/>
    <x v="11"/>
    <n v="0.38"/>
    <x v="5"/>
    <n v="4"/>
    <n v="186"/>
    <x v="71"/>
  </r>
  <r>
    <n v="110"/>
    <x v="4"/>
    <x v="18"/>
    <x v="0"/>
    <x v="1"/>
    <x v="0"/>
    <x v="0"/>
    <x v="19"/>
    <n v="0.38"/>
    <x v="7"/>
    <n v="3"/>
    <n v="166"/>
    <x v="72"/>
  </r>
  <r>
    <n v="111"/>
    <x v="4"/>
    <x v="19"/>
    <x v="0"/>
    <x v="1"/>
    <x v="0"/>
    <x v="0"/>
    <x v="2"/>
    <n v="0.38"/>
    <x v="14"/>
    <n v="5"/>
    <n v="127"/>
    <x v="73"/>
  </r>
  <r>
    <n v="112"/>
    <x v="4"/>
    <x v="20"/>
    <x v="0"/>
    <x v="1"/>
    <x v="0"/>
    <x v="1"/>
    <x v="11"/>
    <n v="0.47"/>
    <x v="8"/>
    <n v="7"/>
    <n v="82"/>
    <x v="70"/>
  </r>
  <r>
    <n v="113"/>
    <x v="4"/>
    <x v="21"/>
    <x v="0"/>
    <x v="1"/>
    <x v="0"/>
    <x v="2"/>
    <x v="13"/>
    <n v="0.51"/>
    <x v="5"/>
    <n v="3"/>
    <n v="40"/>
    <x v="74"/>
  </r>
  <r>
    <n v="114"/>
    <x v="4"/>
    <x v="22"/>
    <x v="0"/>
    <x v="1"/>
    <x v="0"/>
    <x v="15"/>
    <x v="13"/>
    <n v="0.55000000000000004"/>
    <x v="7"/>
    <n v="1"/>
    <n v="41"/>
    <x v="51"/>
  </r>
  <r>
    <n v="115"/>
    <x v="4"/>
    <x v="23"/>
    <x v="0"/>
    <x v="1"/>
    <x v="0"/>
    <x v="2"/>
    <x v="2"/>
    <n v="0.47"/>
    <x v="0"/>
    <n v="1"/>
    <n v="18"/>
    <x v="75"/>
  </r>
  <r>
    <n v="116"/>
    <x v="5"/>
    <x v="0"/>
    <x v="0"/>
    <x v="1"/>
    <x v="0"/>
    <x v="15"/>
    <x v="19"/>
    <n v="0.55000000000000004"/>
    <x v="0"/>
    <n v="0"/>
    <n v="11"/>
    <x v="62"/>
  </r>
  <r>
    <n v="117"/>
    <x v="5"/>
    <x v="1"/>
    <x v="0"/>
    <x v="1"/>
    <x v="0"/>
    <x v="13"/>
    <x v="11"/>
    <n v="0.64"/>
    <x v="0"/>
    <n v="0"/>
    <n v="4"/>
    <x v="48"/>
  </r>
  <r>
    <n v="118"/>
    <x v="5"/>
    <x v="2"/>
    <x v="0"/>
    <x v="1"/>
    <x v="0"/>
    <x v="13"/>
    <x v="11"/>
    <n v="0.64"/>
    <x v="0"/>
    <n v="0"/>
    <n v="2"/>
    <x v="5"/>
  </r>
  <r>
    <n v="119"/>
    <x v="5"/>
    <x v="4"/>
    <x v="0"/>
    <x v="1"/>
    <x v="1"/>
    <x v="13"/>
    <x v="13"/>
    <n v="0.64"/>
    <x v="1"/>
    <n v="0"/>
    <n v="1"/>
    <x v="4"/>
  </r>
  <r>
    <n v="120"/>
    <x v="5"/>
    <x v="5"/>
    <x v="0"/>
    <x v="1"/>
    <x v="1"/>
    <x v="14"/>
    <x v="18"/>
    <n v="0.69"/>
    <x v="1"/>
    <n v="0"/>
    <n v="4"/>
    <x v="48"/>
  </r>
  <r>
    <n v="121"/>
    <x v="5"/>
    <x v="6"/>
    <x v="0"/>
    <x v="1"/>
    <x v="1"/>
    <x v="14"/>
    <x v="17"/>
    <n v="0.63"/>
    <x v="14"/>
    <n v="0"/>
    <n v="36"/>
    <x v="9"/>
  </r>
  <r>
    <n v="122"/>
    <x v="5"/>
    <x v="7"/>
    <x v="0"/>
    <x v="1"/>
    <x v="1"/>
    <x v="13"/>
    <x v="11"/>
    <n v="0.59"/>
    <x v="0"/>
    <n v="0"/>
    <n v="95"/>
    <x v="76"/>
  </r>
  <r>
    <n v="123"/>
    <x v="5"/>
    <x v="8"/>
    <x v="0"/>
    <x v="1"/>
    <x v="0"/>
    <x v="13"/>
    <x v="11"/>
    <n v="0.59"/>
    <x v="0"/>
    <n v="3"/>
    <n v="216"/>
    <x v="77"/>
  </r>
  <r>
    <n v="124"/>
    <x v="5"/>
    <x v="9"/>
    <x v="0"/>
    <x v="1"/>
    <x v="1"/>
    <x v="15"/>
    <x v="19"/>
    <n v="0.51"/>
    <x v="0"/>
    <n v="6"/>
    <n v="116"/>
    <x v="78"/>
  </r>
  <r>
    <n v="125"/>
    <x v="5"/>
    <x v="10"/>
    <x v="0"/>
    <x v="1"/>
    <x v="0"/>
    <x v="2"/>
    <x v="2"/>
    <n v="0.47"/>
    <x v="0"/>
    <n v="3"/>
    <n v="42"/>
    <x v="79"/>
  </r>
  <r>
    <n v="126"/>
    <x v="5"/>
    <x v="11"/>
    <x v="0"/>
    <x v="1"/>
    <x v="0"/>
    <x v="1"/>
    <x v="2"/>
    <n v="0.44"/>
    <x v="1"/>
    <n v="2"/>
    <n v="57"/>
    <x v="29"/>
  </r>
  <r>
    <n v="127"/>
    <x v="5"/>
    <x v="12"/>
    <x v="0"/>
    <x v="1"/>
    <x v="0"/>
    <x v="12"/>
    <x v="0"/>
    <n v="0.35"/>
    <x v="0"/>
    <n v="6"/>
    <n v="78"/>
    <x v="11"/>
  </r>
  <r>
    <n v="128"/>
    <x v="5"/>
    <x v="13"/>
    <x v="0"/>
    <x v="1"/>
    <x v="0"/>
    <x v="12"/>
    <x v="1"/>
    <n v="0.35"/>
    <x v="14"/>
    <n v="12"/>
    <n v="55"/>
    <x v="16"/>
  </r>
  <r>
    <n v="129"/>
    <x v="5"/>
    <x v="14"/>
    <x v="0"/>
    <x v="1"/>
    <x v="0"/>
    <x v="17"/>
    <x v="1"/>
    <n v="0.36"/>
    <x v="8"/>
    <n v="11"/>
    <n v="59"/>
    <x v="27"/>
  </r>
  <r>
    <n v="130"/>
    <x v="5"/>
    <x v="15"/>
    <x v="0"/>
    <x v="1"/>
    <x v="0"/>
    <x v="17"/>
    <x v="1"/>
    <n v="0.36"/>
    <x v="0"/>
    <n v="8"/>
    <n v="54"/>
    <x v="69"/>
  </r>
  <r>
    <n v="131"/>
    <x v="5"/>
    <x v="16"/>
    <x v="0"/>
    <x v="1"/>
    <x v="0"/>
    <x v="12"/>
    <x v="2"/>
    <n v="0.38"/>
    <x v="8"/>
    <n v="12"/>
    <n v="74"/>
    <x v="80"/>
  </r>
  <r>
    <n v="132"/>
    <x v="5"/>
    <x v="17"/>
    <x v="0"/>
    <x v="1"/>
    <x v="0"/>
    <x v="1"/>
    <x v="11"/>
    <n v="0.51"/>
    <x v="8"/>
    <n v="9"/>
    <n v="163"/>
    <x v="81"/>
  </r>
  <r>
    <n v="133"/>
    <x v="5"/>
    <x v="18"/>
    <x v="0"/>
    <x v="1"/>
    <x v="0"/>
    <x v="1"/>
    <x v="11"/>
    <n v="0.51"/>
    <x v="7"/>
    <n v="5"/>
    <n v="158"/>
    <x v="82"/>
  </r>
  <r>
    <n v="134"/>
    <x v="5"/>
    <x v="19"/>
    <x v="0"/>
    <x v="1"/>
    <x v="0"/>
    <x v="1"/>
    <x v="2"/>
    <n v="0.55000000000000004"/>
    <x v="1"/>
    <n v="3"/>
    <n v="109"/>
    <x v="59"/>
  </r>
  <r>
    <n v="135"/>
    <x v="5"/>
    <x v="20"/>
    <x v="0"/>
    <x v="1"/>
    <x v="0"/>
    <x v="2"/>
    <x v="12"/>
    <n v="0.51"/>
    <x v="8"/>
    <n v="3"/>
    <n v="66"/>
    <x v="83"/>
  </r>
  <r>
    <n v="136"/>
    <x v="5"/>
    <x v="21"/>
    <x v="0"/>
    <x v="1"/>
    <x v="1"/>
    <x v="1"/>
    <x v="12"/>
    <n v="0.55000000000000004"/>
    <x v="6"/>
    <n v="0"/>
    <n v="48"/>
    <x v="61"/>
  </r>
  <r>
    <n v="137"/>
    <x v="5"/>
    <x v="22"/>
    <x v="0"/>
    <x v="1"/>
    <x v="1"/>
    <x v="1"/>
    <x v="12"/>
    <n v="0.51"/>
    <x v="3"/>
    <n v="1"/>
    <n v="51"/>
    <x v="46"/>
  </r>
  <r>
    <n v="138"/>
    <x v="5"/>
    <x v="23"/>
    <x v="0"/>
    <x v="1"/>
    <x v="1"/>
    <x v="2"/>
    <x v="13"/>
    <n v="0.59"/>
    <x v="5"/>
    <n v="4"/>
    <n v="19"/>
    <x v="84"/>
  </r>
  <r>
    <n v="139"/>
    <x v="6"/>
    <x v="0"/>
    <x v="0"/>
    <x v="1"/>
    <x v="1"/>
    <x v="2"/>
    <x v="13"/>
    <n v="0.64"/>
    <x v="5"/>
    <n v="4"/>
    <n v="13"/>
    <x v="22"/>
  </r>
  <r>
    <n v="140"/>
    <x v="6"/>
    <x v="1"/>
    <x v="0"/>
    <x v="1"/>
    <x v="1"/>
    <x v="2"/>
    <x v="13"/>
    <n v="0.69"/>
    <x v="6"/>
    <n v="2"/>
    <n v="5"/>
    <x v="85"/>
  </r>
  <r>
    <n v="141"/>
    <x v="6"/>
    <x v="2"/>
    <x v="0"/>
    <x v="1"/>
    <x v="1"/>
    <x v="2"/>
    <x v="13"/>
    <n v="0.69"/>
    <x v="6"/>
    <n v="0"/>
    <n v="1"/>
    <x v="4"/>
  </r>
  <r>
    <n v="142"/>
    <x v="6"/>
    <x v="4"/>
    <x v="0"/>
    <x v="1"/>
    <x v="1"/>
    <x v="2"/>
    <x v="12"/>
    <n v="0.69"/>
    <x v="7"/>
    <n v="0"/>
    <n v="1"/>
    <x v="4"/>
  </r>
  <r>
    <n v="143"/>
    <x v="6"/>
    <x v="5"/>
    <x v="0"/>
    <x v="1"/>
    <x v="2"/>
    <x v="1"/>
    <x v="1"/>
    <n v="0.55000000000000004"/>
    <x v="0"/>
    <n v="0"/>
    <n v="5"/>
    <x v="36"/>
  </r>
  <r>
    <n v="144"/>
    <x v="6"/>
    <x v="6"/>
    <x v="0"/>
    <x v="1"/>
    <x v="1"/>
    <x v="2"/>
    <x v="2"/>
    <n v="0.69"/>
    <x v="0"/>
    <n v="8"/>
    <n v="26"/>
    <x v="19"/>
  </r>
  <r>
    <n v="145"/>
    <x v="6"/>
    <x v="7"/>
    <x v="0"/>
    <x v="1"/>
    <x v="0"/>
    <x v="2"/>
    <x v="12"/>
    <n v="0.69"/>
    <x v="7"/>
    <n v="8"/>
    <n v="76"/>
    <x v="11"/>
  </r>
  <r>
    <n v="146"/>
    <x v="6"/>
    <x v="8"/>
    <x v="0"/>
    <x v="1"/>
    <x v="0"/>
    <x v="2"/>
    <x v="13"/>
    <n v="0.51"/>
    <x v="2"/>
    <n v="20"/>
    <n v="190"/>
    <x v="86"/>
  </r>
  <r>
    <n v="147"/>
    <x v="6"/>
    <x v="9"/>
    <x v="0"/>
    <x v="1"/>
    <x v="0"/>
    <x v="2"/>
    <x v="18"/>
    <n v="0.47"/>
    <x v="4"/>
    <n v="9"/>
    <n v="125"/>
    <x v="87"/>
  </r>
  <r>
    <n v="148"/>
    <x v="6"/>
    <x v="10"/>
    <x v="0"/>
    <x v="1"/>
    <x v="0"/>
    <x v="1"/>
    <x v="13"/>
    <n v="0.37"/>
    <x v="9"/>
    <n v="16"/>
    <n v="47"/>
    <x v="55"/>
  </r>
  <r>
    <n v="149"/>
    <x v="6"/>
    <x v="11"/>
    <x v="0"/>
    <x v="1"/>
    <x v="1"/>
    <x v="2"/>
    <x v="13"/>
    <n v="0.4"/>
    <x v="6"/>
    <n v="19"/>
    <n v="48"/>
    <x v="16"/>
  </r>
  <r>
    <n v="150"/>
    <x v="6"/>
    <x v="12"/>
    <x v="0"/>
    <x v="1"/>
    <x v="1"/>
    <x v="2"/>
    <x v="13"/>
    <n v="0.37"/>
    <x v="2"/>
    <n v="9"/>
    <n v="50"/>
    <x v="29"/>
  </r>
  <r>
    <n v="151"/>
    <x v="6"/>
    <x v="13"/>
    <x v="0"/>
    <x v="1"/>
    <x v="1"/>
    <x v="2"/>
    <x v="18"/>
    <n v="0.37"/>
    <x v="3"/>
    <n v="9"/>
    <n v="64"/>
    <x v="88"/>
  </r>
  <r>
    <n v="152"/>
    <x v="6"/>
    <x v="14"/>
    <x v="0"/>
    <x v="1"/>
    <x v="1"/>
    <x v="2"/>
    <x v="13"/>
    <n v="0.4"/>
    <x v="2"/>
    <n v="7"/>
    <n v="43"/>
    <x v="89"/>
  </r>
  <r>
    <n v="153"/>
    <x v="6"/>
    <x v="15"/>
    <x v="0"/>
    <x v="1"/>
    <x v="1"/>
    <x v="2"/>
    <x v="12"/>
    <n v="0.37"/>
    <x v="8"/>
    <n v="9"/>
    <n v="63"/>
    <x v="44"/>
  </r>
  <r>
    <n v="154"/>
    <x v="6"/>
    <x v="16"/>
    <x v="0"/>
    <x v="1"/>
    <x v="1"/>
    <x v="2"/>
    <x v="12"/>
    <n v="0.37"/>
    <x v="8"/>
    <n v="5"/>
    <n v="82"/>
    <x v="90"/>
  </r>
  <r>
    <n v="155"/>
    <x v="6"/>
    <x v="17"/>
    <x v="0"/>
    <x v="1"/>
    <x v="1"/>
    <x v="2"/>
    <x v="2"/>
    <n v="0.37"/>
    <x v="0"/>
    <n v="9"/>
    <n v="178"/>
    <x v="91"/>
  </r>
  <r>
    <n v="156"/>
    <x v="6"/>
    <x v="18"/>
    <x v="0"/>
    <x v="1"/>
    <x v="0"/>
    <x v="2"/>
    <x v="11"/>
    <n v="0.4"/>
    <x v="1"/>
    <n v="7"/>
    <n v="116"/>
    <x v="92"/>
  </r>
  <r>
    <n v="157"/>
    <x v="6"/>
    <x v="19"/>
    <x v="0"/>
    <x v="1"/>
    <x v="0"/>
    <x v="13"/>
    <x v="13"/>
    <n v="0.55000000000000004"/>
    <x v="1"/>
    <n v="3"/>
    <n v="92"/>
    <x v="76"/>
  </r>
  <r>
    <n v="158"/>
    <x v="6"/>
    <x v="20"/>
    <x v="0"/>
    <x v="1"/>
    <x v="0"/>
    <x v="15"/>
    <x v="12"/>
    <n v="0.47"/>
    <x v="14"/>
    <n v="1"/>
    <n v="50"/>
    <x v="41"/>
  </r>
  <r>
    <n v="159"/>
    <x v="6"/>
    <x v="21"/>
    <x v="0"/>
    <x v="1"/>
    <x v="0"/>
    <x v="15"/>
    <x v="13"/>
    <n v="0.47"/>
    <x v="7"/>
    <n v="0"/>
    <n v="39"/>
    <x v="21"/>
  </r>
  <r>
    <n v="160"/>
    <x v="6"/>
    <x v="22"/>
    <x v="0"/>
    <x v="1"/>
    <x v="1"/>
    <x v="15"/>
    <x v="13"/>
    <n v="0.43"/>
    <x v="8"/>
    <n v="2"/>
    <n v="34"/>
    <x v="9"/>
  </r>
  <r>
    <n v="161"/>
    <x v="6"/>
    <x v="23"/>
    <x v="0"/>
    <x v="1"/>
    <x v="1"/>
    <x v="15"/>
    <x v="13"/>
    <n v="0.51"/>
    <x v="8"/>
    <n v="1"/>
    <n v="14"/>
    <x v="93"/>
  </r>
  <r>
    <n v="162"/>
    <x v="7"/>
    <x v="0"/>
    <x v="0"/>
    <x v="0"/>
    <x v="1"/>
    <x v="15"/>
    <x v="13"/>
    <n v="0.51"/>
    <x v="8"/>
    <n v="1"/>
    <n v="24"/>
    <x v="94"/>
  </r>
  <r>
    <n v="163"/>
    <x v="7"/>
    <x v="1"/>
    <x v="0"/>
    <x v="0"/>
    <x v="1"/>
    <x v="15"/>
    <x v="12"/>
    <n v="0.55000000000000004"/>
    <x v="1"/>
    <n v="1"/>
    <n v="15"/>
    <x v="0"/>
  </r>
  <r>
    <n v="164"/>
    <x v="7"/>
    <x v="2"/>
    <x v="0"/>
    <x v="0"/>
    <x v="1"/>
    <x v="15"/>
    <x v="19"/>
    <n v="0.55000000000000004"/>
    <x v="0"/>
    <n v="3"/>
    <n v="13"/>
    <x v="0"/>
  </r>
  <r>
    <n v="165"/>
    <x v="7"/>
    <x v="3"/>
    <x v="0"/>
    <x v="0"/>
    <x v="2"/>
    <x v="15"/>
    <x v="13"/>
    <n v="0.55000000000000004"/>
    <x v="8"/>
    <n v="0"/>
    <n v="7"/>
    <x v="85"/>
  </r>
  <r>
    <n v="166"/>
    <x v="7"/>
    <x v="4"/>
    <x v="0"/>
    <x v="0"/>
    <x v="2"/>
    <x v="15"/>
    <x v="13"/>
    <n v="0.55000000000000004"/>
    <x v="8"/>
    <n v="0"/>
    <n v="1"/>
    <x v="4"/>
  </r>
  <r>
    <n v="167"/>
    <x v="7"/>
    <x v="5"/>
    <x v="0"/>
    <x v="0"/>
    <x v="1"/>
    <x v="13"/>
    <x v="17"/>
    <n v="0.74"/>
    <x v="8"/>
    <n v="0"/>
    <n v="5"/>
    <x v="36"/>
  </r>
  <r>
    <n v="168"/>
    <x v="7"/>
    <x v="6"/>
    <x v="0"/>
    <x v="0"/>
    <x v="1"/>
    <x v="13"/>
    <x v="17"/>
    <n v="0.74"/>
    <x v="8"/>
    <n v="0"/>
    <n v="2"/>
    <x v="5"/>
  </r>
  <r>
    <n v="169"/>
    <x v="7"/>
    <x v="7"/>
    <x v="0"/>
    <x v="0"/>
    <x v="1"/>
    <x v="13"/>
    <x v="18"/>
    <n v="0.74"/>
    <x v="14"/>
    <n v="1"/>
    <n v="8"/>
    <x v="23"/>
  </r>
  <r>
    <n v="170"/>
    <x v="7"/>
    <x v="8"/>
    <x v="0"/>
    <x v="0"/>
    <x v="2"/>
    <x v="13"/>
    <x v="18"/>
    <n v="0.93"/>
    <x v="14"/>
    <n v="0"/>
    <n v="15"/>
    <x v="93"/>
  </r>
  <r>
    <n v="171"/>
    <x v="7"/>
    <x v="9"/>
    <x v="0"/>
    <x v="0"/>
    <x v="2"/>
    <x v="13"/>
    <x v="18"/>
    <n v="0.93"/>
    <x v="14"/>
    <n v="0"/>
    <n v="20"/>
    <x v="25"/>
  </r>
  <r>
    <n v="172"/>
    <x v="7"/>
    <x v="10"/>
    <x v="0"/>
    <x v="0"/>
    <x v="1"/>
    <x v="15"/>
    <x v="13"/>
    <n v="0.8"/>
    <x v="8"/>
    <n v="5"/>
    <n v="56"/>
    <x v="42"/>
  </r>
  <r>
    <n v="173"/>
    <x v="7"/>
    <x v="11"/>
    <x v="0"/>
    <x v="0"/>
    <x v="1"/>
    <x v="2"/>
    <x v="18"/>
    <n v="0.69"/>
    <x v="13"/>
    <n v="2"/>
    <n v="60"/>
    <x v="69"/>
  </r>
  <r>
    <n v="174"/>
    <x v="7"/>
    <x v="12"/>
    <x v="0"/>
    <x v="0"/>
    <x v="1"/>
    <x v="2"/>
    <x v="18"/>
    <n v="0.59"/>
    <x v="11"/>
    <n v="8"/>
    <n v="90"/>
    <x v="95"/>
  </r>
  <r>
    <n v="175"/>
    <x v="7"/>
    <x v="13"/>
    <x v="0"/>
    <x v="0"/>
    <x v="0"/>
    <x v="2"/>
    <x v="18"/>
    <n v="0.44"/>
    <x v="9"/>
    <n v="7"/>
    <n v="95"/>
    <x v="96"/>
  </r>
  <r>
    <n v="176"/>
    <x v="7"/>
    <x v="14"/>
    <x v="0"/>
    <x v="0"/>
    <x v="0"/>
    <x v="2"/>
    <x v="17"/>
    <n v="0.32"/>
    <x v="15"/>
    <n v="12"/>
    <n v="83"/>
    <x v="76"/>
  </r>
  <r>
    <n v="177"/>
    <x v="7"/>
    <x v="15"/>
    <x v="0"/>
    <x v="0"/>
    <x v="0"/>
    <x v="2"/>
    <x v="17"/>
    <n v="0.32"/>
    <x v="10"/>
    <n v="5"/>
    <n v="69"/>
    <x v="30"/>
  </r>
  <r>
    <n v="178"/>
    <x v="7"/>
    <x v="16"/>
    <x v="0"/>
    <x v="0"/>
    <x v="0"/>
    <x v="15"/>
    <x v="14"/>
    <n v="0.28999999999999998"/>
    <x v="10"/>
    <n v="8"/>
    <n v="68"/>
    <x v="31"/>
  </r>
  <r>
    <n v="179"/>
    <x v="7"/>
    <x v="17"/>
    <x v="0"/>
    <x v="0"/>
    <x v="0"/>
    <x v="13"/>
    <x v="16"/>
    <n v="0.37"/>
    <x v="16"/>
    <n v="5"/>
    <n v="64"/>
    <x v="83"/>
  </r>
  <r>
    <n v="180"/>
    <x v="7"/>
    <x v="18"/>
    <x v="0"/>
    <x v="0"/>
    <x v="0"/>
    <x v="14"/>
    <x v="16"/>
    <n v="0.39"/>
    <x v="4"/>
    <n v="3"/>
    <n v="52"/>
    <x v="97"/>
  </r>
  <r>
    <n v="181"/>
    <x v="7"/>
    <x v="19"/>
    <x v="0"/>
    <x v="0"/>
    <x v="0"/>
    <x v="14"/>
    <x v="16"/>
    <n v="0.36"/>
    <x v="2"/>
    <n v="4"/>
    <n v="26"/>
    <x v="33"/>
  </r>
  <r>
    <n v="182"/>
    <x v="7"/>
    <x v="20"/>
    <x v="0"/>
    <x v="0"/>
    <x v="0"/>
    <x v="16"/>
    <x v="16"/>
    <n v="0.36"/>
    <x v="2"/>
    <n v="0"/>
    <n v="28"/>
    <x v="20"/>
  </r>
  <r>
    <n v="183"/>
    <x v="7"/>
    <x v="21"/>
    <x v="0"/>
    <x v="0"/>
    <x v="0"/>
    <x v="16"/>
    <x v="15"/>
    <n v="0.39"/>
    <x v="11"/>
    <n v="2"/>
    <n v="35"/>
    <x v="18"/>
  </r>
  <r>
    <n v="184"/>
    <x v="7"/>
    <x v="22"/>
    <x v="0"/>
    <x v="0"/>
    <x v="0"/>
    <x v="16"/>
    <x v="15"/>
    <n v="0.36"/>
    <x v="13"/>
    <n v="1"/>
    <n v="33"/>
    <x v="19"/>
  </r>
  <r>
    <n v="185"/>
    <x v="7"/>
    <x v="23"/>
    <x v="0"/>
    <x v="0"/>
    <x v="0"/>
    <x v="18"/>
    <x v="22"/>
    <n v="0.39"/>
    <x v="10"/>
    <n v="0"/>
    <n v="22"/>
    <x v="34"/>
  </r>
  <r>
    <n v="186"/>
    <x v="8"/>
    <x v="0"/>
    <x v="0"/>
    <x v="0"/>
    <x v="0"/>
    <x v="18"/>
    <x v="23"/>
    <n v="0.42"/>
    <x v="13"/>
    <n v="1"/>
    <n v="24"/>
    <x v="94"/>
  </r>
  <r>
    <n v="187"/>
    <x v="8"/>
    <x v="1"/>
    <x v="0"/>
    <x v="0"/>
    <x v="0"/>
    <x v="18"/>
    <x v="22"/>
    <n v="0.42"/>
    <x v="17"/>
    <n v="0"/>
    <n v="12"/>
    <x v="47"/>
  </r>
  <r>
    <n v="188"/>
    <x v="8"/>
    <x v="2"/>
    <x v="0"/>
    <x v="0"/>
    <x v="0"/>
    <x v="18"/>
    <x v="22"/>
    <n v="0.46"/>
    <x v="17"/>
    <n v="0"/>
    <n v="11"/>
    <x v="62"/>
  </r>
  <r>
    <n v="189"/>
    <x v="8"/>
    <x v="3"/>
    <x v="0"/>
    <x v="0"/>
    <x v="0"/>
    <x v="18"/>
    <x v="23"/>
    <n v="0.46"/>
    <x v="12"/>
    <n v="0"/>
    <n v="4"/>
    <x v="48"/>
  </r>
  <r>
    <n v="190"/>
    <x v="8"/>
    <x v="4"/>
    <x v="0"/>
    <x v="0"/>
    <x v="0"/>
    <x v="19"/>
    <x v="24"/>
    <n v="0.53"/>
    <x v="5"/>
    <n v="0"/>
    <n v="1"/>
    <x v="4"/>
  </r>
  <r>
    <n v="191"/>
    <x v="8"/>
    <x v="5"/>
    <x v="0"/>
    <x v="0"/>
    <x v="0"/>
    <x v="19"/>
    <x v="24"/>
    <n v="0.53"/>
    <x v="5"/>
    <n v="0"/>
    <n v="1"/>
    <x v="4"/>
  </r>
  <r>
    <n v="192"/>
    <x v="8"/>
    <x v="6"/>
    <x v="0"/>
    <x v="0"/>
    <x v="0"/>
    <x v="18"/>
    <x v="24"/>
    <n v="0.49"/>
    <x v="3"/>
    <n v="0"/>
    <n v="1"/>
    <x v="4"/>
  </r>
  <r>
    <n v="193"/>
    <x v="8"/>
    <x v="7"/>
    <x v="0"/>
    <x v="0"/>
    <x v="0"/>
    <x v="19"/>
    <x v="24"/>
    <n v="0.53"/>
    <x v="5"/>
    <n v="1"/>
    <n v="5"/>
    <x v="24"/>
  </r>
  <r>
    <n v="194"/>
    <x v="8"/>
    <x v="8"/>
    <x v="0"/>
    <x v="0"/>
    <x v="0"/>
    <x v="18"/>
    <x v="24"/>
    <n v="0.49"/>
    <x v="3"/>
    <n v="0"/>
    <n v="10"/>
    <x v="98"/>
  </r>
  <r>
    <n v="195"/>
    <x v="8"/>
    <x v="9"/>
    <x v="0"/>
    <x v="0"/>
    <x v="0"/>
    <x v="16"/>
    <x v="23"/>
    <n v="0.46"/>
    <x v="18"/>
    <n v="0"/>
    <n v="19"/>
    <x v="75"/>
  </r>
  <r>
    <n v="196"/>
    <x v="8"/>
    <x v="10"/>
    <x v="0"/>
    <x v="0"/>
    <x v="0"/>
    <x v="14"/>
    <x v="15"/>
    <n v="0.43"/>
    <x v="13"/>
    <n v="0"/>
    <n v="49"/>
    <x v="99"/>
  </r>
  <r>
    <n v="197"/>
    <x v="8"/>
    <x v="11"/>
    <x v="0"/>
    <x v="0"/>
    <x v="0"/>
    <x v="13"/>
    <x v="16"/>
    <n v="0.4"/>
    <x v="18"/>
    <n v="2"/>
    <n v="47"/>
    <x v="99"/>
  </r>
  <r>
    <n v="198"/>
    <x v="8"/>
    <x v="12"/>
    <x v="0"/>
    <x v="0"/>
    <x v="0"/>
    <x v="15"/>
    <x v="14"/>
    <n v="0.37"/>
    <x v="10"/>
    <n v="4"/>
    <n v="79"/>
    <x v="56"/>
  </r>
  <r>
    <n v="199"/>
    <x v="8"/>
    <x v="13"/>
    <x v="0"/>
    <x v="0"/>
    <x v="0"/>
    <x v="2"/>
    <x v="17"/>
    <n v="0.34"/>
    <x v="10"/>
    <n v="6"/>
    <n v="69"/>
    <x v="28"/>
  </r>
  <r>
    <n v="200"/>
    <x v="8"/>
    <x v="14"/>
    <x v="0"/>
    <x v="0"/>
    <x v="0"/>
    <x v="1"/>
    <x v="18"/>
    <n v="0.32"/>
    <x v="17"/>
    <n v="8"/>
    <n v="64"/>
    <x v="44"/>
  </r>
  <r>
    <n v="201"/>
    <x v="8"/>
    <x v="15"/>
    <x v="0"/>
    <x v="0"/>
    <x v="0"/>
    <x v="1"/>
    <x v="13"/>
    <n v="0.35"/>
    <x v="11"/>
    <n v="5"/>
    <n v="77"/>
    <x v="100"/>
  </r>
  <r>
    <n v="202"/>
    <x v="8"/>
    <x v="16"/>
    <x v="0"/>
    <x v="0"/>
    <x v="0"/>
    <x v="2"/>
    <x v="17"/>
    <n v="0.34"/>
    <x v="10"/>
    <n v="13"/>
    <n v="79"/>
    <x v="101"/>
  </r>
  <r>
    <n v="203"/>
    <x v="8"/>
    <x v="17"/>
    <x v="0"/>
    <x v="0"/>
    <x v="0"/>
    <x v="15"/>
    <x v="20"/>
    <n v="0.37"/>
    <x v="13"/>
    <n v="3"/>
    <n v="59"/>
    <x v="69"/>
  </r>
  <r>
    <n v="204"/>
    <x v="8"/>
    <x v="18"/>
    <x v="0"/>
    <x v="0"/>
    <x v="0"/>
    <x v="13"/>
    <x v="14"/>
    <n v="0.4"/>
    <x v="9"/>
    <n v="4"/>
    <n v="44"/>
    <x v="61"/>
  </r>
  <r>
    <n v="205"/>
    <x v="8"/>
    <x v="19"/>
    <x v="0"/>
    <x v="0"/>
    <x v="0"/>
    <x v="13"/>
    <x v="14"/>
    <n v="0.43"/>
    <x v="9"/>
    <n v="1"/>
    <n v="40"/>
    <x v="102"/>
  </r>
  <r>
    <n v="206"/>
    <x v="8"/>
    <x v="20"/>
    <x v="0"/>
    <x v="0"/>
    <x v="0"/>
    <x v="14"/>
    <x v="16"/>
    <n v="0.46"/>
    <x v="2"/>
    <n v="0"/>
    <n v="38"/>
    <x v="103"/>
  </r>
  <r>
    <n v="207"/>
    <x v="8"/>
    <x v="21"/>
    <x v="0"/>
    <x v="0"/>
    <x v="0"/>
    <x v="14"/>
    <x v="15"/>
    <n v="0.46"/>
    <x v="12"/>
    <n v="1"/>
    <n v="19"/>
    <x v="25"/>
  </r>
  <r>
    <n v="208"/>
    <x v="8"/>
    <x v="22"/>
    <x v="0"/>
    <x v="0"/>
    <x v="0"/>
    <x v="14"/>
    <x v="16"/>
    <n v="0.46"/>
    <x v="4"/>
    <n v="5"/>
    <n v="10"/>
    <x v="93"/>
  </r>
  <r>
    <n v="209"/>
    <x v="8"/>
    <x v="23"/>
    <x v="0"/>
    <x v="0"/>
    <x v="0"/>
    <x v="16"/>
    <x v="14"/>
    <n v="0.5"/>
    <x v="5"/>
    <n v="0"/>
    <n v="6"/>
    <x v="24"/>
  </r>
  <r>
    <n v="210"/>
    <x v="9"/>
    <x v="0"/>
    <x v="0"/>
    <x v="1"/>
    <x v="0"/>
    <x v="16"/>
    <x v="16"/>
    <n v="0.5"/>
    <x v="3"/>
    <n v="2"/>
    <n v="3"/>
    <x v="36"/>
  </r>
  <r>
    <n v="211"/>
    <x v="9"/>
    <x v="1"/>
    <x v="0"/>
    <x v="1"/>
    <x v="0"/>
    <x v="16"/>
    <x v="16"/>
    <n v="0.5"/>
    <x v="3"/>
    <n v="1"/>
    <n v="0"/>
    <x v="4"/>
  </r>
  <r>
    <n v="212"/>
    <x v="9"/>
    <x v="2"/>
    <x v="0"/>
    <x v="1"/>
    <x v="0"/>
    <x v="16"/>
    <x v="16"/>
    <n v="0.5"/>
    <x v="6"/>
    <n v="0"/>
    <n v="3"/>
    <x v="6"/>
  </r>
  <r>
    <n v="213"/>
    <x v="9"/>
    <x v="3"/>
    <x v="0"/>
    <x v="1"/>
    <x v="0"/>
    <x v="16"/>
    <x v="16"/>
    <n v="0.5"/>
    <x v="6"/>
    <n v="0"/>
    <n v="1"/>
    <x v="4"/>
  </r>
  <r>
    <n v="214"/>
    <x v="9"/>
    <x v="4"/>
    <x v="0"/>
    <x v="1"/>
    <x v="0"/>
    <x v="18"/>
    <x v="16"/>
    <n v="0.54"/>
    <x v="7"/>
    <n v="1"/>
    <n v="2"/>
    <x v="6"/>
  </r>
  <r>
    <n v="215"/>
    <x v="9"/>
    <x v="5"/>
    <x v="0"/>
    <x v="1"/>
    <x v="0"/>
    <x v="18"/>
    <x v="15"/>
    <n v="0.54"/>
    <x v="2"/>
    <n v="0"/>
    <n v="3"/>
    <x v="6"/>
  </r>
  <r>
    <n v="216"/>
    <x v="9"/>
    <x v="6"/>
    <x v="0"/>
    <x v="1"/>
    <x v="0"/>
    <x v="16"/>
    <x v="16"/>
    <n v="0.5"/>
    <x v="3"/>
    <n v="0"/>
    <n v="31"/>
    <x v="35"/>
  </r>
  <r>
    <n v="217"/>
    <x v="9"/>
    <x v="7"/>
    <x v="0"/>
    <x v="1"/>
    <x v="0"/>
    <x v="16"/>
    <x v="16"/>
    <n v="0.5"/>
    <x v="6"/>
    <n v="2"/>
    <n v="75"/>
    <x v="43"/>
  </r>
  <r>
    <n v="218"/>
    <x v="9"/>
    <x v="8"/>
    <x v="0"/>
    <x v="1"/>
    <x v="1"/>
    <x v="16"/>
    <x v="16"/>
    <n v="0.5"/>
    <x v="3"/>
    <n v="4"/>
    <n v="184"/>
    <x v="104"/>
  </r>
  <r>
    <n v="219"/>
    <x v="9"/>
    <x v="9"/>
    <x v="0"/>
    <x v="1"/>
    <x v="1"/>
    <x v="14"/>
    <x v="16"/>
    <n v="0.5"/>
    <x v="2"/>
    <n v="2"/>
    <n v="92"/>
    <x v="12"/>
  </r>
  <r>
    <n v="220"/>
    <x v="9"/>
    <x v="10"/>
    <x v="0"/>
    <x v="1"/>
    <x v="1"/>
    <x v="14"/>
    <x v="16"/>
    <n v="0.5"/>
    <x v="4"/>
    <n v="0"/>
    <n v="31"/>
    <x v="35"/>
  </r>
  <r>
    <n v="221"/>
    <x v="9"/>
    <x v="11"/>
    <x v="0"/>
    <x v="1"/>
    <x v="1"/>
    <x v="13"/>
    <x v="14"/>
    <n v="0.47"/>
    <x v="3"/>
    <n v="2"/>
    <n v="28"/>
    <x v="33"/>
  </r>
  <r>
    <n v="222"/>
    <x v="9"/>
    <x v="12"/>
    <x v="0"/>
    <x v="1"/>
    <x v="1"/>
    <x v="2"/>
    <x v="18"/>
    <n v="0.4"/>
    <x v="3"/>
    <n v="5"/>
    <n v="47"/>
    <x v="46"/>
  </r>
  <r>
    <n v="223"/>
    <x v="9"/>
    <x v="13"/>
    <x v="0"/>
    <x v="1"/>
    <x v="1"/>
    <x v="2"/>
    <x v="18"/>
    <n v="0.4"/>
    <x v="3"/>
    <n v="4"/>
    <n v="50"/>
    <x v="60"/>
  </r>
  <r>
    <n v="224"/>
    <x v="9"/>
    <x v="14"/>
    <x v="0"/>
    <x v="1"/>
    <x v="1"/>
    <x v="2"/>
    <x v="13"/>
    <n v="0.4"/>
    <x v="6"/>
    <n v="0"/>
    <n v="47"/>
    <x v="105"/>
  </r>
  <r>
    <n v="225"/>
    <x v="9"/>
    <x v="15"/>
    <x v="0"/>
    <x v="1"/>
    <x v="1"/>
    <x v="2"/>
    <x v="13"/>
    <n v="0.4"/>
    <x v="6"/>
    <n v="2"/>
    <n v="43"/>
    <x v="79"/>
  </r>
  <r>
    <n v="226"/>
    <x v="9"/>
    <x v="16"/>
    <x v="0"/>
    <x v="1"/>
    <x v="0"/>
    <x v="2"/>
    <x v="12"/>
    <n v="0.4"/>
    <x v="7"/>
    <n v="4"/>
    <n v="70"/>
    <x v="30"/>
  </r>
  <r>
    <n v="227"/>
    <x v="9"/>
    <x v="17"/>
    <x v="0"/>
    <x v="1"/>
    <x v="0"/>
    <x v="2"/>
    <x v="11"/>
    <n v="0.4"/>
    <x v="14"/>
    <n v="4"/>
    <n v="174"/>
    <x v="106"/>
  </r>
  <r>
    <n v="228"/>
    <x v="9"/>
    <x v="18"/>
    <x v="0"/>
    <x v="1"/>
    <x v="0"/>
    <x v="2"/>
    <x v="13"/>
    <n v="0.4"/>
    <x v="6"/>
    <n v="1"/>
    <n v="154"/>
    <x v="107"/>
  </r>
  <r>
    <n v="229"/>
    <x v="9"/>
    <x v="19"/>
    <x v="0"/>
    <x v="1"/>
    <x v="0"/>
    <x v="13"/>
    <x v="17"/>
    <n v="0.47"/>
    <x v="8"/>
    <n v="3"/>
    <n v="92"/>
    <x v="76"/>
  </r>
  <r>
    <n v="230"/>
    <x v="9"/>
    <x v="20"/>
    <x v="0"/>
    <x v="1"/>
    <x v="0"/>
    <x v="13"/>
    <x v="17"/>
    <n v="0.5"/>
    <x v="8"/>
    <n v="1"/>
    <n v="73"/>
    <x v="30"/>
  </r>
  <r>
    <n v="231"/>
    <x v="9"/>
    <x v="21"/>
    <x v="0"/>
    <x v="1"/>
    <x v="0"/>
    <x v="14"/>
    <x v="14"/>
    <n v="0.59"/>
    <x v="5"/>
    <n v="1"/>
    <n v="37"/>
    <x v="103"/>
  </r>
  <r>
    <n v="232"/>
    <x v="9"/>
    <x v="22"/>
    <x v="0"/>
    <x v="1"/>
    <x v="0"/>
    <x v="14"/>
    <x v="20"/>
    <n v="0.59"/>
    <x v="8"/>
    <n v="2"/>
    <n v="22"/>
    <x v="108"/>
  </r>
  <r>
    <n v="233"/>
    <x v="9"/>
    <x v="23"/>
    <x v="0"/>
    <x v="1"/>
    <x v="0"/>
    <x v="14"/>
    <x v="20"/>
    <n v="0.59"/>
    <x v="8"/>
    <n v="0"/>
    <n v="18"/>
    <x v="109"/>
  </r>
  <r>
    <n v="234"/>
    <x v="10"/>
    <x v="0"/>
    <x v="0"/>
    <x v="1"/>
    <x v="0"/>
    <x v="14"/>
    <x v="17"/>
    <n v="0.59"/>
    <x v="14"/>
    <n v="2"/>
    <n v="10"/>
    <x v="47"/>
  </r>
  <r>
    <n v="235"/>
    <x v="10"/>
    <x v="1"/>
    <x v="0"/>
    <x v="1"/>
    <x v="0"/>
    <x v="14"/>
    <x v="20"/>
    <n v="0.59"/>
    <x v="8"/>
    <n v="0"/>
    <n v="3"/>
    <x v="6"/>
  </r>
  <r>
    <n v="236"/>
    <x v="10"/>
    <x v="2"/>
    <x v="0"/>
    <x v="1"/>
    <x v="1"/>
    <x v="13"/>
    <x v="20"/>
    <n v="0.55000000000000004"/>
    <x v="5"/>
    <n v="0"/>
    <n v="3"/>
    <x v="6"/>
  </r>
  <r>
    <n v="237"/>
    <x v="10"/>
    <x v="5"/>
    <x v="0"/>
    <x v="1"/>
    <x v="1"/>
    <x v="13"/>
    <x v="18"/>
    <n v="0.55000000000000004"/>
    <x v="7"/>
    <n v="0"/>
    <n v="6"/>
    <x v="24"/>
  </r>
  <r>
    <n v="238"/>
    <x v="10"/>
    <x v="6"/>
    <x v="0"/>
    <x v="1"/>
    <x v="1"/>
    <x v="13"/>
    <x v="18"/>
    <n v="0.55000000000000004"/>
    <x v="7"/>
    <n v="0"/>
    <n v="27"/>
    <x v="110"/>
  </r>
  <r>
    <n v="239"/>
    <x v="10"/>
    <x v="7"/>
    <x v="0"/>
    <x v="1"/>
    <x v="1"/>
    <x v="13"/>
    <x v="11"/>
    <n v="0.55000000000000004"/>
    <x v="0"/>
    <n v="2"/>
    <n v="97"/>
    <x v="111"/>
  </r>
  <r>
    <n v="240"/>
    <x v="10"/>
    <x v="8"/>
    <x v="0"/>
    <x v="1"/>
    <x v="1"/>
    <x v="15"/>
    <x v="12"/>
    <n v="0.51"/>
    <x v="1"/>
    <n v="3"/>
    <n v="214"/>
    <x v="112"/>
  </r>
  <r>
    <n v="241"/>
    <x v="10"/>
    <x v="9"/>
    <x v="0"/>
    <x v="1"/>
    <x v="1"/>
    <x v="15"/>
    <x v="13"/>
    <n v="0.51"/>
    <x v="8"/>
    <n v="3"/>
    <n v="127"/>
    <x v="113"/>
  </r>
  <r>
    <n v="242"/>
    <x v="10"/>
    <x v="10"/>
    <x v="0"/>
    <x v="1"/>
    <x v="1"/>
    <x v="2"/>
    <x v="12"/>
    <n v="0.51"/>
    <x v="8"/>
    <n v="3"/>
    <n v="51"/>
    <x v="60"/>
  </r>
  <r>
    <n v="243"/>
    <x v="10"/>
    <x v="11"/>
    <x v="0"/>
    <x v="1"/>
    <x v="1"/>
    <x v="2"/>
    <x v="12"/>
    <n v="0.47"/>
    <x v="7"/>
    <n v="4"/>
    <n v="31"/>
    <x v="17"/>
  </r>
  <r>
    <n v="244"/>
    <x v="10"/>
    <x v="12"/>
    <x v="0"/>
    <x v="1"/>
    <x v="1"/>
    <x v="2"/>
    <x v="11"/>
    <n v="0.51"/>
    <x v="14"/>
    <n v="2"/>
    <n v="55"/>
    <x v="52"/>
  </r>
  <r>
    <n v="245"/>
    <x v="10"/>
    <x v="13"/>
    <x v="0"/>
    <x v="1"/>
    <x v="1"/>
    <x v="2"/>
    <x v="11"/>
    <n v="0.59"/>
    <x v="1"/>
    <n v="6"/>
    <n v="46"/>
    <x v="46"/>
  </r>
  <r>
    <n v="246"/>
    <x v="10"/>
    <x v="14"/>
    <x v="0"/>
    <x v="1"/>
    <x v="1"/>
    <x v="2"/>
    <x v="11"/>
    <n v="0.59"/>
    <x v="1"/>
    <n v="3"/>
    <n v="60"/>
    <x v="55"/>
  </r>
  <r>
    <n v="247"/>
    <x v="10"/>
    <x v="15"/>
    <x v="0"/>
    <x v="1"/>
    <x v="1"/>
    <x v="13"/>
    <x v="13"/>
    <n v="0.8"/>
    <x v="1"/>
    <n v="2"/>
    <n v="45"/>
    <x v="105"/>
  </r>
  <r>
    <n v="248"/>
    <x v="10"/>
    <x v="16"/>
    <x v="0"/>
    <x v="1"/>
    <x v="1"/>
    <x v="13"/>
    <x v="20"/>
    <n v="0.86"/>
    <x v="6"/>
    <n v="4"/>
    <n v="72"/>
    <x v="31"/>
  </r>
  <r>
    <n v="249"/>
    <x v="10"/>
    <x v="17"/>
    <x v="0"/>
    <x v="1"/>
    <x v="1"/>
    <x v="13"/>
    <x v="20"/>
    <n v="0.86"/>
    <x v="6"/>
    <n v="6"/>
    <n v="130"/>
    <x v="114"/>
  </r>
  <r>
    <n v="250"/>
    <x v="10"/>
    <x v="18"/>
    <x v="0"/>
    <x v="1"/>
    <x v="2"/>
    <x v="13"/>
    <x v="18"/>
    <n v="0.93"/>
    <x v="14"/>
    <n v="1"/>
    <n v="94"/>
    <x v="76"/>
  </r>
  <r>
    <n v="251"/>
    <x v="10"/>
    <x v="19"/>
    <x v="0"/>
    <x v="1"/>
    <x v="2"/>
    <x v="13"/>
    <x v="11"/>
    <n v="0.93"/>
    <x v="0"/>
    <n v="0"/>
    <n v="51"/>
    <x v="41"/>
  </r>
  <r>
    <n v="252"/>
    <x v="10"/>
    <x v="20"/>
    <x v="0"/>
    <x v="1"/>
    <x v="2"/>
    <x v="13"/>
    <x v="20"/>
    <n v="0.93"/>
    <x v="5"/>
    <n v="0"/>
    <n v="32"/>
    <x v="2"/>
  </r>
  <r>
    <n v="253"/>
    <x v="10"/>
    <x v="21"/>
    <x v="0"/>
    <x v="1"/>
    <x v="2"/>
    <x v="13"/>
    <x v="13"/>
    <n v="0.86"/>
    <x v="1"/>
    <n v="0"/>
    <n v="20"/>
    <x v="25"/>
  </r>
  <r>
    <n v="254"/>
    <x v="10"/>
    <x v="22"/>
    <x v="0"/>
    <x v="1"/>
    <x v="2"/>
    <x v="13"/>
    <x v="18"/>
    <n v="0.93"/>
    <x v="14"/>
    <n v="1"/>
    <n v="28"/>
    <x v="115"/>
  </r>
  <r>
    <n v="255"/>
    <x v="10"/>
    <x v="23"/>
    <x v="0"/>
    <x v="1"/>
    <x v="2"/>
    <x v="13"/>
    <x v="13"/>
    <n v="0.93"/>
    <x v="1"/>
    <n v="1"/>
    <n v="18"/>
    <x v="75"/>
  </r>
  <r>
    <n v="256"/>
    <x v="11"/>
    <x v="0"/>
    <x v="0"/>
    <x v="1"/>
    <x v="1"/>
    <x v="13"/>
    <x v="13"/>
    <n v="0.86"/>
    <x v="1"/>
    <n v="0"/>
    <n v="7"/>
    <x v="85"/>
  </r>
  <r>
    <n v="257"/>
    <x v="11"/>
    <x v="1"/>
    <x v="0"/>
    <x v="1"/>
    <x v="1"/>
    <x v="13"/>
    <x v="18"/>
    <n v="0.86"/>
    <x v="14"/>
    <n v="0"/>
    <n v="6"/>
    <x v="24"/>
  </r>
  <r>
    <n v="258"/>
    <x v="11"/>
    <x v="2"/>
    <x v="0"/>
    <x v="1"/>
    <x v="0"/>
    <x v="14"/>
    <x v="20"/>
    <n v="0.86"/>
    <x v="7"/>
    <n v="0"/>
    <n v="1"/>
    <x v="4"/>
  </r>
  <r>
    <n v="259"/>
    <x v="11"/>
    <x v="5"/>
    <x v="0"/>
    <x v="1"/>
    <x v="0"/>
    <x v="14"/>
    <x v="20"/>
    <n v="0.86"/>
    <x v="8"/>
    <n v="0"/>
    <n v="5"/>
    <x v="36"/>
  </r>
  <r>
    <n v="260"/>
    <x v="11"/>
    <x v="6"/>
    <x v="0"/>
    <x v="1"/>
    <x v="0"/>
    <x v="16"/>
    <x v="20"/>
    <n v="0.93"/>
    <x v="7"/>
    <n v="0"/>
    <n v="16"/>
    <x v="0"/>
  </r>
  <r>
    <n v="261"/>
    <x v="11"/>
    <x v="7"/>
    <x v="0"/>
    <x v="1"/>
    <x v="0"/>
    <x v="14"/>
    <x v="20"/>
    <n v="0.69"/>
    <x v="7"/>
    <n v="0"/>
    <n v="54"/>
    <x v="60"/>
  </r>
  <r>
    <n v="262"/>
    <x v="11"/>
    <x v="8"/>
    <x v="0"/>
    <x v="1"/>
    <x v="0"/>
    <x v="13"/>
    <x v="17"/>
    <n v="0.59"/>
    <x v="8"/>
    <n v="3"/>
    <n v="125"/>
    <x v="116"/>
  </r>
  <r>
    <n v="263"/>
    <x v="11"/>
    <x v="9"/>
    <x v="0"/>
    <x v="1"/>
    <x v="0"/>
    <x v="13"/>
    <x v="14"/>
    <n v="0.59"/>
    <x v="9"/>
    <n v="3"/>
    <n v="78"/>
    <x v="117"/>
  </r>
  <r>
    <n v="264"/>
    <x v="11"/>
    <x v="10"/>
    <x v="0"/>
    <x v="1"/>
    <x v="0"/>
    <x v="15"/>
    <x v="18"/>
    <n v="0.55000000000000004"/>
    <x v="6"/>
    <n v="0"/>
    <n v="39"/>
    <x v="21"/>
  </r>
  <r>
    <n v="265"/>
    <x v="11"/>
    <x v="11"/>
    <x v="0"/>
    <x v="1"/>
    <x v="0"/>
    <x v="2"/>
    <x v="18"/>
    <n v="0.51"/>
    <x v="13"/>
    <n v="3"/>
    <n v="32"/>
    <x v="17"/>
  </r>
  <r>
    <n v="266"/>
    <x v="11"/>
    <x v="12"/>
    <x v="0"/>
    <x v="1"/>
    <x v="0"/>
    <x v="2"/>
    <x v="20"/>
    <n v="0.47"/>
    <x v="19"/>
    <n v="3"/>
    <n v="52"/>
    <x v="97"/>
  </r>
  <r>
    <n v="267"/>
    <x v="11"/>
    <x v="13"/>
    <x v="0"/>
    <x v="1"/>
    <x v="0"/>
    <x v="1"/>
    <x v="13"/>
    <n v="0.44"/>
    <x v="11"/>
    <n v="0"/>
    <n v="49"/>
    <x v="99"/>
  </r>
  <r>
    <n v="268"/>
    <x v="11"/>
    <x v="14"/>
    <x v="0"/>
    <x v="1"/>
    <x v="0"/>
    <x v="2"/>
    <x v="18"/>
    <n v="0.47"/>
    <x v="9"/>
    <n v="0"/>
    <n v="44"/>
    <x v="40"/>
  </r>
  <r>
    <n v="269"/>
    <x v="11"/>
    <x v="15"/>
    <x v="0"/>
    <x v="1"/>
    <x v="0"/>
    <x v="2"/>
    <x v="17"/>
    <n v="0.47"/>
    <x v="12"/>
    <n v="1"/>
    <n v="48"/>
    <x v="99"/>
  </r>
  <r>
    <n v="270"/>
    <x v="11"/>
    <x v="16"/>
    <x v="0"/>
    <x v="1"/>
    <x v="0"/>
    <x v="1"/>
    <x v="13"/>
    <n v="0.44"/>
    <x v="9"/>
    <n v="5"/>
    <n v="63"/>
    <x v="118"/>
  </r>
  <r>
    <n v="271"/>
    <x v="11"/>
    <x v="17"/>
    <x v="0"/>
    <x v="1"/>
    <x v="0"/>
    <x v="2"/>
    <x v="18"/>
    <n v="0.47"/>
    <x v="11"/>
    <n v="0"/>
    <n v="139"/>
    <x v="119"/>
  </r>
  <r>
    <n v="272"/>
    <x v="11"/>
    <x v="18"/>
    <x v="0"/>
    <x v="1"/>
    <x v="0"/>
    <x v="2"/>
    <x v="20"/>
    <n v="0.47"/>
    <x v="18"/>
    <n v="2"/>
    <n v="135"/>
    <x v="120"/>
  </r>
  <r>
    <n v="273"/>
    <x v="11"/>
    <x v="19"/>
    <x v="0"/>
    <x v="1"/>
    <x v="0"/>
    <x v="15"/>
    <x v="20"/>
    <n v="0.47"/>
    <x v="12"/>
    <n v="1"/>
    <n v="82"/>
    <x v="56"/>
  </r>
  <r>
    <n v="274"/>
    <x v="11"/>
    <x v="20"/>
    <x v="0"/>
    <x v="1"/>
    <x v="0"/>
    <x v="13"/>
    <x v="14"/>
    <n v="0.5"/>
    <x v="9"/>
    <n v="2"/>
    <n v="54"/>
    <x v="10"/>
  </r>
  <r>
    <n v="275"/>
    <x v="11"/>
    <x v="21"/>
    <x v="0"/>
    <x v="1"/>
    <x v="0"/>
    <x v="13"/>
    <x v="14"/>
    <n v="0.55000000000000004"/>
    <x v="9"/>
    <n v="0"/>
    <n v="57"/>
    <x v="52"/>
  </r>
  <r>
    <n v="276"/>
    <x v="11"/>
    <x v="22"/>
    <x v="0"/>
    <x v="1"/>
    <x v="0"/>
    <x v="13"/>
    <x v="16"/>
    <n v="0.55000000000000004"/>
    <x v="10"/>
    <n v="1"/>
    <n v="32"/>
    <x v="63"/>
  </r>
  <r>
    <n v="277"/>
    <x v="11"/>
    <x v="23"/>
    <x v="0"/>
    <x v="1"/>
    <x v="0"/>
    <x v="14"/>
    <x v="15"/>
    <n v="0.59"/>
    <x v="12"/>
    <n v="1"/>
    <n v="19"/>
    <x v="25"/>
  </r>
  <r>
    <n v="278"/>
    <x v="12"/>
    <x v="0"/>
    <x v="0"/>
    <x v="1"/>
    <x v="0"/>
    <x v="14"/>
    <x v="16"/>
    <n v="0.59"/>
    <x v="3"/>
    <n v="1"/>
    <n v="6"/>
    <x v="85"/>
  </r>
  <r>
    <n v="279"/>
    <x v="12"/>
    <x v="1"/>
    <x v="0"/>
    <x v="1"/>
    <x v="0"/>
    <x v="14"/>
    <x v="16"/>
    <n v="0.5"/>
    <x v="3"/>
    <n v="0"/>
    <n v="2"/>
    <x v="5"/>
  </r>
  <r>
    <n v="280"/>
    <x v="12"/>
    <x v="2"/>
    <x v="0"/>
    <x v="1"/>
    <x v="0"/>
    <x v="14"/>
    <x v="16"/>
    <n v="0.5"/>
    <x v="11"/>
    <n v="0"/>
    <n v="2"/>
    <x v="5"/>
  </r>
  <r>
    <n v="281"/>
    <x v="12"/>
    <x v="3"/>
    <x v="0"/>
    <x v="1"/>
    <x v="0"/>
    <x v="14"/>
    <x v="16"/>
    <n v="0.5"/>
    <x v="9"/>
    <n v="0"/>
    <n v="3"/>
    <x v="6"/>
  </r>
  <r>
    <n v="282"/>
    <x v="12"/>
    <x v="4"/>
    <x v="0"/>
    <x v="1"/>
    <x v="0"/>
    <x v="14"/>
    <x v="16"/>
    <n v="0.5"/>
    <x v="2"/>
    <n v="0"/>
    <n v="4"/>
    <x v="48"/>
  </r>
  <r>
    <n v="283"/>
    <x v="12"/>
    <x v="5"/>
    <x v="0"/>
    <x v="1"/>
    <x v="0"/>
    <x v="14"/>
    <x v="16"/>
    <n v="0.5"/>
    <x v="4"/>
    <n v="0"/>
    <n v="3"/>
    <x v="6"/>
  </r>
  <r>
    <n v="284"/>
    <x v="12"/>
    <x v="6"/>
    <x v="0"/>
    <x v="1"/>
    <x v="0"/>
    <x v="16"/>
    <x v="20"/>
    <n v="0.54"/>
    <x v="7"/>
    <n v="0"/>
    <n v="28"/>
    <x v="20"/>
  </r>
  <r>
    <n v="285"/>
    <x v="12"/>
    <x v="7"/>
    <x v="0"/>
    <x v="1"/>
    <x v="0"/>
    <x v="16"/>
    <x v="20"/>
    <n v="0.54"/>
    <x v="7"/>
    <n v="0"/>
    <n v="72"/>
    <x v="44"/>
  </r>
  <r>
    <n v="286"/>
    <x v="12"/>
    <x v="8"/>
    <x v="0"/>
    <x v="1"/>
    <x v="0"/>
    <x v="14"/>
    <x v="14"/>
    <n v="0.5"/>
    <x v="5"/>
    <n v="5"/>
    <n v="197"/>
    <x v="121"/>
  </r>
  <r>
    <n v="287"/>
    <x v="12"/>
    <x v="9"/>
    <x v="0"/>
    <x v="1"/>
    <x v="0"/>
    <x v="14"/>
    <x v="16"/>
    <n v="0.5"/>
    <x v="9"/>
    <n v="2"/>
    <n v="137"/>
    <x v="119"/>
  </r>
  <r>
    <n v="288"/>
    <x v="12"/>
    <x v="10"/>
    <x v="0"/>
    <x v="1"/>
    <x v="1"/>
    <x v="13"/>
    <x v="14"/>
    <n v="0.5"/>
    <x v="11"/>
    <n v="2"/>
    <n v="36"/>
    <x v="103"/>
  </r>
  <r>
    <n v="289"/>
    <x v="12"/>
    <x v="11"/>
    <x v="0"/>
    <x v="1"/>
    <x v="1"/>
    <x v="2"/>
    <x v="17"/>
    <n v="0.44"/>
    <x v="10"/>
    <n v="4"/>
    <n v="33"/>
    <x v="18"/>
  </r>
  <r>
    <n v="290"/>
    <x v="12"/>
    <x v="12"/>
    <x v="0"/>
    <x v="1"/>
    <x v="0"/>
    <x v="2"/>
    <x v="17"/>
    <n v="0.44"/>
    <x v="12"/>
    <n v="3"/>
    <n v="49"/>
    <x v="46"/>
  </r>
  <r>
    <n v="291"/>
    <x v="12"/>
    <x v="13"/>
    <x v="0"/>
    <x v="1"/>
    <x v="0"/>
    <x v="1"/>
    <x v="13"/>
    <n v="0.41"/>
    <x v="10"/>
    <n v="2"/>
    <n v="81"/>
    <x v="56"/>
  </r>
  <r>
    <n v="292"/>
    <x v="12"/>
    <x v="14"/>
    <x v="0"/>
    <x v="1"/>
    <x v="0"/>
    <x v="1"/>
    <x v="13"/>
    <n v="0.41"/>
    <x v="13"/>
    <n v="3"/>
    <n v="39"/>
    <x v="51"/>
  </r>
  <r>
    <n v="293"/>
    <x v="12"/>
    <x v="15"/>
    <x v="0"/>
    <x v="1"/>
    <x v="0"/>
    <x v="0"/>
    <x v="12"/>
    <n v="0.38"/>
    <x v="4"/>
    <n v="5"/>
    <n v="55"/>
    <x v="122"/>
  </r>
  <r>
    <n v="294"/>
    <x v="12"/>
    <x v="16"/>
    <x v="0"/>
    <x v="1"/>
    <x v="0"/>
    <x v="0"/>
    <x v="12"/>
    <n v="0.38"/>
    <x v="11"/>
    <n v="2"/>
    <n v="76"/>
    <x v="53"/>
  </r>
  <r>
    <n v="295"/>
    <x v="12"/>
    <x v="17"/>
    <x v="0"/>
    <x v="1"/>
    <x v="0"/>
    <x v="2"/>
    <x v="18"/>
    <n v="0.4"/>
    <x v="3"/>
    <n v="4"/>
    <n v="158"/>
    <x v="123"/>
  </r>
  <r>
    <n v="296"/>
    <x v="12"/>
    <x v="18"/>
    <x v="0"/>
    <x v="1"/>
    <x v="0"/>
    <x v="2"/>
    <x v="18"/>
    <n v="0.4"/>
    <x v="9"/>
    <n v="3"/>
    <n v="141"/>
    <x v="124"/>
  </r>
  <r>
    <n v="297"/>
    <x v="12"/>
    <x v="19"/>
    <x v="0"/>
    <x v="1"/>
    <x v="0"/>
    <x v="13"/>
    <x v="20"/>
    <n v="0.47"/>
    <x v="2"/>
    <n v="1"/>
    <n v="98"/>
    <x v="111"/>
  </r>
  <r>
    <n v="298"/>
    <x v="12"/>
    <x v="20"/>
    <x v="0"/>
    <x v="1"/>
    <x v="0"/>
    <x v="13"/>
    <x v="20"/>
    <n v="0.47"/>
    <x v="6"/>
    <n v="0"/>
    <n v="64"/>
    <x v="37"/>
  </r>
  <r>
    <n v="299"/>
    <x v="12"/>
    <x v="21"/>
    <x v="0"/>
    <x v="1"/>
    <x v="0"/>
    <x v="14"/>
    <x v="16"/>
    <n v="0.46"/>
    <x v="4"/>
    <n v="0"/>
    <n v="40"/>
    <x v="1"/>
  </r>
  <r>
    <n v="300"/>
    <x v="12"/>
    <x v="22"/>
    <x v="0"/>
    <x v="1"/>
    <x v="0"/>
    <x v="14"/>
    <x v="16"/>
    <n v="0.46"/>
    <x v="9"/>
    <n v="0"/>
    <n v="30"/>
    <x v="33"/>
  </r>
  <r>
    <n v="301"/>
    <x v="12"/>
    <x v="23"/>
    <x v="0"/>
    <x v="1"/>
    <x v="0"/>
    <x v="16"/>
    <x v="14"/>
    <n v="0.5"/>
    <x v="5"/>
    <n v="1"/>
    <n v="14"/>
    <x v="93"/>
  </r>
  <r>
    <n v="302"/>
    <x v="13"/>
    <x v="0"/>
    <x v="0"/>
    <x v="1"/>
    <x v="0"/>
    <x v="16"/>
    <x v="14"/>
    <n v="0.5"/>
    <x v="5"/>
    <n v="0"/>
    <n v="14"/>
    <x v="8"/>
  </r>
  <r>
    <n v="303"/>
    <x v="13"/>
    <x v="1"/>
    <x v="0"/>
    <x v="1"/>
    <x v="0"/>
    <x v="18"/>
    <x v="16"/>
    <n v="0.54"/>
    <x v="8"/>
    <n v="0"/>
    <n v="5"/>
    <x v="36"/>
  </r>
  <r>
    <n v="304"/>
    <x v="13"/>
    <x v="2"/>
    <x v="0"/>
    <x v="1"/>
    <x v="0"/>
    <x v="18"/>
    <x v="16"/>
    <n v="0.54"/>
    <x v="7"/>
    <n v="0"/>
    <n v="1"/>
    <x v="4"/>
  </r>
  <r>
    <n v="305"/>
    <x v="13"/>
    <x v="3"/>
    <x v="0"/>
    <x v="1"/>
    <x v="0"/>
    <x v="18"/>
    <x v="14"/>
    <n v="0.54"/>
    <x v="14"/>
    <n v="0"/>
    <n v="1"/>
    <x v="4"/>
  </r>
  <r>
    <n v="306"/>
    <x v="13"/>
    <x v="5"/>
    <x v="0"/>
    <x v="1"/>
    <x v="0"/>
    <x v="18"/>
    <x v="14"/>
    <n v="0.54"/>
    <x v="1"/>
    <n v="0"/>
    <n v="8"/>
    <x v="7"/>
  </r>
  <r>
    <n v="307"/>
    <x v="13"/>
    <x v="6"/>
    <x v="0"/>
    <x v="1"/>
    <x v="0"/>
    <x v="18"/>
    <x v="18"/>
    <n v="0.54"/>
    <x v="0"/>
    <n v="0"/>
    <n v="17"/>
    <x v="22"/>
  </r>
  <r>
    <n v="308"/>
    <x v="13"/>
    <x v="7"/>
    <x v="0"/>
    <x v="1"/>
    <x v="0"/>
    <x v="18"/>
    <x v="16"/>
    <n v="0.74"/>
    <x v="8"/>
    <n v="0"/>
    <n v="70"/>
    <x v="27"/>
  </r>
  <r>
    <n v="309"/>
    <x v="13"/>
    <x v="8"/>
    <x v="0"/>
    <x v="1"/>
    <x v="0"/>
    <x v="16"/>
    <x v="17"/>
    <n v="0.68"/>
    <x v="0"/>
    <n v="2"/>
    <n v="156"/>
    <x v="125"/>
  </r>
  <r>
    <n v="310"/>
    <x v="13"/>
    <x v="9"/>
    <x v="0"/>
    <x v="1"/>
    <x v="0"/>
    <x v="14"/>
    <x v="20"/>
    <n v="0.69"/>
    <x v="7"/>
    <n v="0"/>
    <n v="117"/>
    <x v="126"/>
  </r>
  <r>
    <n v="311"/>
    <x v="13"/>
    <x v="10"/>
    <x v="0"/>
    <x v="1"/>
    <x v="0"/>
    <x v="15"/>
    <x v="18"/>
    <n v="0.55000000000000004"/>
    <x v="5"/>
    <n v="4"/>
    <n v="40"/>
    <x v="40"/>
  </r>
  <r>
    <n v="312"/>
    <x v="13"/>
    <x v="11"/>
    <x v="0"/>
    <x v="1"/>
    <x v="0"/>
    <x v="15"/>
    <x v="17"/>
    <n v="0.51"/>
    <x v="3"/>
    <n v="6"/>
    <n v="47"/>
    <x v="26"/>
  </r>
  <r>
    <n v="313"/>
    <x v="13"/>
    <x v="12"/>
    <x v="0"/>
    <x v="1"/>
    <x v="0"/>
    <x v="2"/>
    <x v="13"/>
    <n v="0.44"/>
    <x v="2"/>
    <n v="2"/>
    <n v="59"/>
    <x v="42"/>
  </r>
  <r>
    <n v="314"/>
    <x v="13"/>
    <x v="13"/>
    <x v="0"/>
    <x v="1"/>
    <x v="0"/>
    <x v="1"/>
    <x v="13"/>
    <n v="0.37"/>
    <x v="13"/>
    <n v="4"/>
    <n v="73"/>
    <x v="43"/>
  </r>
  <r>
    <n v="315"/>
    <x v="13"/>
    <x v="14"/>
    <x v="0"/>
    <x v="1"/>
    <x v="0"/>
    <x v="1"/>
    <x v="12"/>
    <n v="0.41"/>
    <x v="3"/>
    <n v="5"/>
    <n v="59"/>
    <x v="37"/>
  </r>
  <r>
    <n v="316"/>
    <x v="13"/>
    <x v="15"/>
    <x v="0"/>
    <x v="1"/>
    <x v="0"/>
    <x v="0"/>
    <x v="19"/>
    <n v="0.38"/>
    <x v="8"/>
    <n v="9"/>
    <n v="59"/>
    <x v="118"/>
  </r>
  <r>
    <n v="317"/>
    <x v="13"/>
    <x v="16"/>
    <x v="0"/>
    <x v="1"/>
    <x v="0"/>
    <x v="1"/>
    <x v="19"/>
    <n v="0.41"/>
    <x v="14"/>
    <n v="3"/>
    <n v="87"/>
    <x v="127"/>
  </r>
  <r>
    <n v="318"/>
    <x v="13"/>
    <x v="17"/>
    <x v="0"/>
    <x v="1"/>
    <x v="0"/>
    <x v="1"/>
    <x v="11"/>
    <n v="0.41"/>
    <x v="8"/>
    <n v="4"/>
    <n v="155"/>
    <x v="128"/>
  </r>
  <r>
    <n v="319"/>
    <x v="13"/>
    <x v="18"/>
    <x v="0"/>
    <x v="1"/>
    <x v="0"/>
    <x v="2"/>
    <x v="2"/>
    <n v="0.47"/>
    <x v="0"/>
    <n v="5"/>
    <n v="134"/>
    <x v="119"/>
  </r>
  <r>
    <n v="320"/>
    <x v="13"/>
    <x v="19"/>
    <x v="0"/>
    <x v="1"/>
    <x v="0"/>
    <x v="13"/>
    <x v="13"/>
    <n v="0.59"/>
    <x v="1"/>
    <n v="3"/>
    <n v="89"/>
    <x v="101"/>
  </r>
  <r>
    <n v="321"/>
    <x v="13"/>
    <x v="20"/>
    <x v="0"/>
    <x v="1"/>
    <x v="0"/>
    <x v="15"/>
    <x v="19"/>
    <n v="0.59"/>
    <x v="0"/>
    <n v="0"/>
    <n v="68"/>
    <x v="118"/>
  </r>
  <r>
    <n v="322"/>
    <x v="13"/>
    <x v="21"/>
    <x v="0"/>
    <x v="1"/>
    <x v="0"/>
    <x v="13"/>
    <x v="11"/>
    <n v="0.69"/>
    <x v="0"/>
    <n v="4"/>
    <n v="48"/>
    <x v="46"/>
  </r>
  <r>
    <n v="323"/>
    <x v="13"/>
    <x v="22"/>
    <x v="0"/>
    <x v="1"/>
    <x v="1"/>
    <x v="13"/>
    <x v="11"/>
    <n v="0.69"/>
    <x v="0"/>
    <n v="2"/>
    <n v="34"/>
    <x v="9"/>
  </r>
  <r>
    <n v="324"/>
    <x v="13"/>
    <x v="23"/>
    <x v="0"/>
    <x v="1"/>
    <x v="1"/>
    <x v="15"/>
    <x v="19"/>
    <n v="0.55000000000000004"/>
    <x v="0"/>
    <n v="1"/>
    <n v="26"/>
    <x v="110"/>
  </r>
  <r>
    <n v="325"/>
    <x v="14"/>
    <x v="0"/>
    <x v="0"/>
    <x v="0"/>
    <x v="0"/>
    <x v="15"/>
    <x v="19"/>
    <n v="0.55000000000000004"/>
    <x v="0"/>
    <n v="3"/>
    <n v="25"/>
    <x v="20"/>
  </r>
  <r>
    <n v="326"/>
    <x v="14"/>
    <x v="1"/>
    <x v="0"/>
    <x v="0"/>
    <x v="1"/>
    <x v="13"/>
    <x v="13"/>
    <n v="0.59"/>
    <x v="1"/>
    <n v="2"/>
    <n v="18"/>
    <x v="25"/>
  </r>
  <r>
    <n v="327"/>
    <x v="14"/>
    <x v="2"/>
    <x v="0"/>
    <x v="0"/>
    <x v="1"/>
    <x v="13"/>
    <x v="13"/>
    <n v="0.59"/>
    <x v="1"/>
    <n v="0"/>
    <n v="12"/>
    <x v="47"/>
  </r>
  <r>
    <n v="328"/>
    <x v="14"/>
    <x v="3"/>
    <x v="0"/>
    <x v="0"/>
    <x v="1"/>
    <x v="13"/>
    <x v="11"/>
    <n v="0.59"/>
    <x v="0"/>
    <n v="1"/>
    <n v="7"/>
    <x v="7"/>
  </r>
  <r>
    <n v="329"/>
    <x v="14"/>
    <x v="4"/>
    <x v="0"/>
    <x v="0"/>
    <x v="1"/>
    <x v="13"/>
    <x v="11"/>
    <n v="0.59"/>
    <x v="0"/>
    <n v="0"/>
    <n v="5"/>
    <x v="36"/>
  </r>
  <r>
    <n v="330"/>
    <x v="14"/>
    <x v="5"/>
    <x v="0"/>
    <x v="0"/>
    <x v="0"/>
    <x v="13"/>
    <x v="11"/>
    <n v="0.59"/>
    <x v="0"/>
    <n v="0"/>
    <n v="1"/>
    <x v="4"/>
  </r>
  <r>
    <n v="331"/>
    <x v="14"/>
    <x v="6"/>
    <x v="0"/>
    <x v="0"/>
    <x v="0"/>
    <x v="14"/>
    <x v="17"/>
    <n v="0.63"/>
    <x v="14"/>
    <n v="1"/>
    <n v="2"/>
    <x v="6"/>
  </r>
  <r>
    <n v="332"/>
    <x v="14"/>
    <x v="7"/>
    <x v="0"/>
    <x v="0"/>
    <x v="0"/>
    <x v="14"/>
    <x v="12"/>
    <n v="0.63"/>
    <x v="0"/>
    <n v="1"/>
    <n v="9"/>
    <x v="98"/>
  </r>
  <r>
    <n v="333"/>
    <x v="14"/>
    <x v="8"/>
    <x v="0"/>
    <x v="0"/>
    <x v="0"/>
    <x v="14"/>
    <x v="20"/>
    <n v="0.63"/>
    <x v="7"/>
    <n v="1"/>
    <n v="22"/>
    <x v="84"/>
  </r>
  <r>
    <n v="334"/>
    <x v="14"/>
    <x v="9"/>
    <x v="0"/>
    <x v="0"/>
    <x v="0"/>
    <x v="13"/>
    <x v="18"/>
    <n v="0.64"/>
    <x v="7"/>
    <n v="2"/>
    <n v="31"/>
    <x v="63"/>
  </r>
  <r>
    <n v="335"/>
    <x v="14"/>
    <x v="10"/>
    <x v="0"/>
    <x v="0"/>
    <x v="0"/>
    <x v="15"/>
    <x v="13"/>
    <n v="0.59"/>
    <x v="8"/>
    <n v="2"/>
    <n v="57"/>
    <x v="29"/>
  </r>
  <r>
    <n v="336"/>
    <x v="14"/>
    <x v="11"/>
    <x v="0"/>
    <x v="0"/>
    <x v="0"/>
    <x v="2"/>
    <x v="13"/>
    <n v="0.55000000000000004"/>
    <x v="6"/>
    <n v="18"/>
    <n v="54"/>
    <x v="44"/>
  </r>
  <r>
    <n v="337"/>
    <x v="14"/>
    <x v="12"/>
    <x v="0"/>
    <x v="0"/>
    <x v="0"/>
    <x v="0"/>
    <x v="11"/>
    <n v="0.48"/>
    <x v="6"/>
    <n v="15"/>
    <n v="74"/>
    <x v="70"/>
  </r>
  <r>
    <n v="338"/>
    <x v="14"/>
    <x v="13"/>
    <x v="0"/>
    <x v="0"/>
    <x v="0"/>
    <x v="17"/>
    <x v="2"/>
    <n v="0.38"/>
    <x v="4"/>
    <n v="21"/>
    <n v="80"/>
    <x v="129"/>
  </r>
  <r>
    <n v="339"/>
    <x v="14"/>
    <x v="14"/>
    <x v="0"/>
    <x v="0"/>
    <x v="0"/>
    <x v="11"/>
    <x v="0"/>
    <n v="0.39"/>
    <x v="3"/>
    <n v="26"/>
    <n v="92"/>
    <x v="130"/>
  </r>
  <r>
    <n v="340"/>
    <x v="14"/>
    <x v="15"/>
    <x v="0"/>
    <x v="0"/>
    <x v="1"/>
    <x v="3"/>
    <x v="21"/>
    <n v="0.36"/>
    <x v="5"/>
    <n v="21"/>
    <n v="108"/>
    <x v="131"/>
  </r>
  <r>
    <n v="341"/>
    <x v="14"/>
    <x v="16"/>
    <x v="0"/>
    <x v="0"/>
    <x v="1"/>
    <x v="10"/>
    <x v="6"/>
    <n v="0.34"/>
    <x v="5"/>
    <n v="33"/>
    <n v="95"/>
    <x v="116"/>
  </r>
  <r>
    <n v="342"/>
    <x v="14"/>
    <x v="17"/>
    <x v="0"/>
    <x v="0"/>
    <x v="1"/>
    <x v="3"/>
    <x v="25"/>
    <n v="0.36"/>
    <x v="3"/>
    <n v="29"/>
    <n v="54"/>
    <x v="56"/>
  </r>
  <r>
    <n v="343"/>
    <x v="14"/>
    <x v="18"/>
    <x v="0"/>
    <x v="0"/>
    <x v="1"/>
    <x v="11"/>
    <x v="0"/>
    <n v="0.45"/>
    <x v="2"/>
    <n v="15"/>
    <n v="69"/>
    <x v="11"/>
  </r>
  <r>
    <n v="344"/>
    <x v="14"/>
    <x v="19"/>
    <x v="0"/>
    <x v="0"/>
    <x v="1"/>
    <x v="3"/>
    <x v="25"/>
    <n v="0.39"/>
    <x v="2"/>
    <n v="14"/>
    <n v="60"/>
    <x v="30"/>
  </r>
  <r>
    <n v="345"/>
    <x v="14"/>
    <x v="20"/>
    <x v="0"/>
    <x v="0"/>
    <x v="1"/>
    <x v="3"/>
    <x v="25"/>
    <n v="0.39"/>
    <x v="2"/>
    <n v="6"/>
    <n v="35"/>
    <x v="102"/>
  </r>
  <r>
    <n v="346"/>
    <x v="14"/>
    <x v="21"/>
    <x v="0"/>
    <x v="0"/>
    <x v="1"/>
    <x v="3"/>
    <x v="25"/>
    <n v="0.39"/>
    <x v="6"/>
    <n v="6"/>
    <n v="51"/>
    <x v="52"/>
  </r>
  <r>
    <n v="347"/>
    <x v="14"/>
    <x v="22"/>
    <x v="0"/>
    <x v="0"/>
    <x v="1"/>
    <x v="11"/>
    <x v="21"/>
    <n v="0.42"/>
    <x v="14"/>
    <n v="0"/>
    <n v="26"/>
    <x v="132"/>
  </r>
  <r>
    <n v="348"/>
    <x v="14"/>
    <x v="23"/>
    <x v="0"/>
    <x v="0"/>
    <x v="0"/>
    <x v="11"/>
    <x v="0"/>
    <n v="0.45"/>
    <x v="3"/>
    <n v="5"/>
    <n v="39"/>
    <x v="40"/>
  </r>
  <r>
    <n v="349"/>
    <x v="15"/>
    <x v="0"/>
    <x v="0"/>
    <x v="0"/>
    <x v="0"/>
    <x v="12"/>
    <x v="25"/>
    <n v="0.56000000000000005"/>
    <x v="0"/>
    <n v="6"/>
    <n v="33"/>
    <x v="21"/>
  </r>
  <r>
    <n v="350"/>
    <x v="15"/>
    <x v="1"/>
    <x v="0"/>
    <x v="0"/>
    <x v="0"/>
    <x v="12"/>
    <x v="1"/>
    <n v="0.56000000000000005"/>
    <x v="7"/>
    <n v="4"/>
    <n v="19"/>
    <x v="84"/>
  </r>
  <r>
    <n v="351"/>
    <x v="15"/>
    <x v="2"/>
    <x v="0"/>
    <x v="0"/>
    <x v="0"/>
    <x v="12"/>
    <x v="0"/>
    <n v="0.56000000000000005"/>
    <x v="1"/>
    <n v="3"/>
    <n v="13"/>
    <x v="0"/>
  </r>
  <r>
    <n v="352"/>
    <x v="15"/>
    <x v="3"/>
    <x v="0"/>
    <x v="0"/>
    <x v="0"/>
    <x v="1"/>
    <x v="1"/>
    <n v="0.69"/>
    <x v="0"/>
    <n v="9"/>
    <n v="6"/>
    <x v="93"/>
  </r>
  <r>
    <n v="353"/>
    <x v="15"/>
    <x v="4"/>
    <x v="0"/>
    <x v="0"/>
    <x v="0"/>
    <x v="12"/>
    <x v="2"/>
    <n v="0.56000000000000005"/>
    <x v="8"/>
    <n v="0"/>
    <n v="1"/>
    <x v="4"/>
  </r>
  <r>
    <n v="354"/>
    <x v="15"/>
    <x v="5"/>
    <x v="0"/>
    <x v="0"/>
    <x v="1"/>
    <x v="12"/>
    <x v="2"/>
    <n v="0.56000000000000005"/>
    <x v="8"/>
    <n v="1"/>
    <n v="1"/>
    <x v="5"/>
  </r>
  <r>
    <n v="355"/>
    <x v="15"/>
    <x v="6"/>
    <x v="0"/>
    <x v="0"/>
    <x v="1"/>
    <x v="12"/>
    <x v="2"/>
    <n v="0.56000000000000005"/>
    <x v="8"/>
    <n v="0"/>
    <n v="1"/>
    <x v="4"/>
  </r>
  <r>
    <n v="356"/>
    <x v="15"/>
    <x v="7"/>
    <x v="0"/>
    <x v="0"/>
    <x v="1"/>
    <x v="0"/>
    <x v="12"/>
    <n v="0.56000000000000005"/>
    <x v="4"/>
    <n v="0"/>
    <n v="3"/>
    <x v="6"/>
  </r>
  <r>
    <n v="357"/>
    <x v="15"/>
    <x v="8"/>
    <x v="0"/>
    <x v="0"/>
    <x v="0"/>
    <x v="1"/>
    <x v="12"/>
    <n v="0.55000000000000004"/>
    <x v="3"/>
    <n v="0"/>
    <n v="18"/>
    <x v="109"/>
  </r>
  <r>
    <n v="358"/>
    <x v="15"/>
    <x v="9"/>
    <x v="0"/>
    <x v="0"/>
    <x v="0"/>
    <x v="1"/>
    <x v="12"/>
    <n v="0.51"/>
    <x v="2"/>
    <n v="3"/>
    <n v="29"/>
    <x v="2"/>
  </r>
  <r>
    <n v="359"/>
    <x v="15"/>
    <x v="10"/>
    <x v="0"/>
    <x v="0"/>
    <x v="0"/>
    <x v="1"/>
    <x v="12"/>
    <n v="0.51"/>
    <x v="3"/>
    <n v="8"/>
    <n v="71"/>
    <x v="67"/>
  </r>
  <r>
    <n v="360"/>
    <x v="15"/>
    <x v="11"/>
    <x v="0"/>
    <x v="0"/>
    <x v="0"/>
    <x v="0"/>
    <x v="11"/>
    <n v="0.44"/>
    <x v="2"/>
    <n v="23"/>
    <n v="70"/>
    <x v="15"/>
  </r>
  <r>
    <n v="361"/>
    <x v="15"/>
    <x v="12"/>
    <x v="0"/>
    <x v="0"/>
    <x v="0"/>
    <x v="0"/>
    <x v="12"/>
    <n v="0.41"/>
    <x v="3"/>
    <n v="29"/>
    <n v="75"/>
    <x v="133"/>
  </r>
  <r>
    <n v="362"/>
    <x v="15"/>
    <x v="13"/>
    <x v="0"/>
    <x v="0"/>
    <x v="0"/>
    <x v="12"/>
    <x v="11"/>
    <n v="0.35"/>
    <x v="4"/>
    <n v="23"/>
    <n v="95"/>
    <x v="130"/>
  </r>
  <r>
    <n v="363"/>
    <x v="15"/>
    <x v="14"/>
    <x v="0"/>
    <x v="0"/>
    <x v="0"/>
    <x v="17"/>
    <x v="1"/>
    <n v="0.36"/>
    <x v="2"/>
    <n v="22"/>
    <n v="69"/>
    <x v="134"/>
  </r>
  <r>
    <n v="364"/>
    <x v="15"/>
    <x v="15"/>
    <x v="0"/>
    <x v="0"/>
    <x v="0"/>
    <x v="12"/>
    <x v="19"/>
    <n v="0.38"/>
    <x v="2"/>
    <n v="35"/>
    <n v="78"/>
    <x v="135"/>
  </r>
  <r>
    <n v="365"/>
    <x v="15"/>
    <x v="16"/>
    <x v="0"/>
    <x v="0"/>
    <x v="0"/>
    <x v="0"/>
    <x v="11"/>
    <n v="0.38"/>
    <x v="6"/>
    <n v="22"/>
    <n v="77"/>
    <x v="111"/>
  </r>
  <r>
    <n v="366"/>
    <x v="15"/>
    <x v="17"/>
    <x v="0"/>
    <x v="0"/>
    <x v="0"/>
    <x v="1"/>
    <x v="12"/>
    <n v="0.37"/>
    <x v="2"/>
    <n v="23"/>
    <n v="82"/>
    <x v="136"/>
  </r>
  <r>
    <n v="367"/>
    <x v="15"/>
    <x v="18"/>
    <x v="0"/>
    <x v="0"/>
    <x v="0"/>
    <x v="2"/>
    <x v="12"/>
    <n v="0.4"/>
    <x v="8"/>
    <n v="11"/>
    <n v="56"/>
    <x v="16"/>
  </r>
  <r>
    <n v="368"/>
    <x v="15"/>
    <x v="19"/>
    <x v="0"/>
    <x v="0"/>
    <x v="0"/>
    <x v="15"/>
    <x v="13"/>
    <n v="0.47"/>
    <x v="7"/>
    <n v="14"/>
    <n v="47"/>
    <x v="42"/>
  </r>
  <r>
    <n v="369"/>
    <x v="15"/>
    <x v="20"/>
    <x v="0"/>
    <x v="0"/>
    <x v="0"/>
    <x v="15"/>
    <x v="13"/>
    <n v="0.47"/>
    <x v="8"/>
    <n v="7"/>
    <n v="50"/>
    <x v="52"/>
  </r>
  <r>
    <n v="370"/>
    <x v="15"/>
    <x v="21"/>
    <x v="0"/>
    <x v="0"/>
    <x v="0"/>
    <x v="15"/>
    <x v="13"/>
    <n v="0.51"/>
    <x v="8"/>
    <n v="6"/>
    <n v="22"/>
    <x v="20"/>
  </r>
  <r>
    <n v="371"/>
    <x v="15"/>
    <x v="22"/>
    <x v="0"/>
    <x v="0"/>
    <x v="1"/>
    <x v="2"/>
    <x v="12"/>
    <n v="0.49"/>
    <x v="7"/>
    <n v="2"/>
    <n v="19"/>
    <x v="137"/>
  </r>
  <r>
    <n v="372"/>
    <x v="15"/>
    <x v="23"/>
    <x v="0"/>
    <x v="0"/>
    <x v="1"/>
    <x v="2"/>
    <x v="11"/>
    <n v="0.4"/>
    <x v="14"/>
    <n v="0"/>
    <n v="18"/>
    <x v="109"/>
  </r>
  <r>
    <n v="373"/>
    <x v="16"/>
    <x v="0"/>
    <x v="1"/>
    <x v="1"/>
    <x v="1"/>
    <x v="2"/>
    <x v="13"/>
    <n v="0.47"/>
    <x v="6"/>
    <n v="1"/>
    <n v="16"/>
    <x v="22"/>
  </r>
  <r>
    <n v="374"/>
    <x v="16"/>
    <x v="1"/>
    <x v="1"/>
    <x v="1"/>
    <x v="1"/>
    <x v="2"/>
    <x v="13"/>
    <n v="0.44"/>
    <x v="5"/>
    <n v="1"/>
    <n v="15"/>
    <x v="0"/>
  </r>
  <r>
    <n v="375"/>
    <x v="16"/>
    <x v="2"/>
    <x v="1"/>
    <x v="1"/>
    <x v="1"/>
    <x v="15"/>
    <x v="17"/>
    <n v="0.43"/>
    <x v="2"/>
    <n v="0"/>
    <n v="8"/>
    <x v="7"/>
  </r>
  <r>
    <n v="376"/>
    <x v="16"/>
    <x v="3"/>
    <x v="1"/>
    <x v="1"/>
    <x v="1"/>
    <x v="15"/>
    <x v="18"/>
    <n v="0.43"/>
    <x v="5"/>
    <n v="0"/>
    <n v="2"/>
    <x v="5"/>
  </r>
  <r>
    <n v="377"/>
    <x v="16"/>
    <x v="4"/>
    <x v="1"/>
    <x v="1"/>
    <x v="1"/>
    <x v="15"/>
    <x v="13"/>
    <n v="0.43"/>
    <x v="7"/>
    <n v="1"/>
    <n v="2"/>
    <x v="6"/>
  </r>
  <r>
    <n v="378"/>
    <x v="16"/>
    <x v="5"/>
    <x v="1"/>
    <x v="1"/>
    <x v="1"/>
    <x v="15"/>
    <x v="13"/>
    <n v="0.43"/>
    <x v="8"/>
    <n v="0"/>
    <n v="1"/>
    <x v="4"/>
  </r>
  <r>
    <n v="379"/>
    <x v="16"/>
    <x v="6"/>
    <x v="1"/>
    <x v="1"/>
    <x v="1"/>
    <x v="15"/>
    <x v="18"/>
    <n v="0.43"/>
    <x v="5"/>
    <n v="0"/>
    <n v="5"/>
    <x v="36"/>
  </r>
  <r>
    <n v="380"/>
    <x v="16"/>
    <x v="7"/>
    <x v="1"/>
    <x v="1"/>
    <x v="1"/>
    <x v="13"/>
    <x v="18"/>
    <n v="0.5"/>
    <x v="7"/>
    <n v="4"/>
    <n v="9"/>
    <x v="3"/>
  </r>
  <r>
    <n v="381"/>
    <x v="16"/>
    <x v="8"/>
    <x v="1"/>
    <x v="1"/>
    <x v="1"/>
    <x v="13"/>
    <x v="20"/>
    <n v="0.47"/>
    <x v="6"/>
    <n v="3"/>
    <n v="30"/>
    <x v="63"/>
  </r>
  <r>
    <n v="382"/>
    <x v="16"/>
    <x v="9"/>
    <x v="1"/>
    <x v="1"/>
    <x v="1"/>
    <x v="13"/>
    <x v="20"/>
    <n v="0.47"/>
    <x v="6"/>
    <n v="8"/>
    <n v="39"/>
    <x v="105"/>
  </r>
  <r>
    <n v="383"/>
    <x v="16"/>
    <x v="10"/>
    <x v="1"/>
    <x v="1"/>
    <x v="1"/>
    <x v="13"/>
    <x v="20"/>
    <n v="0.5"/>
    <x v="2"/>
    <n v="7"/>
    <n v="50"/>
    <x v="52"/>
  </r>
  <r>
    <n v="384"/>
    <x v="16"/>
    <x v="11"/>
    <x v="1"/>
    <x v="1"/>
    <x v="1"/>
    <x v="13"/>
    <x v="20"/>
    <n v="0.55000000000000004"/>
    <x v="5"/>
    <n v="9"/>
    <n v="55"/>
    <x v="37"/>
  </r>
  <r>
    <n v="385"/>
    <x v="16"/>
    <x v="12"/>
    <x v="1"/>
    <x v="1"/>
    <x v="1"/>
    <x v="15"/>
    <x v="13"/>
    <n v="0.47"/>
    <x v="7"/>
    <n v="10"/>
    <n v="70"/>
    <x v="138"/>
  </r>
  <r>
    <n v="386"/>
    <x v="16"/>
    <x v="13"/>
    <x v="1"/>
    <x v="1"/>
    <x v="1"/>
    <x v="15"/>
    <x v="13"/>
    <n v="0.47"/>
    <x v="7"/>
    <n v="13"/>
    <n v="80"/>
    <x v="15"/>
  </r>
  <r>
    <n v="387"/>
    <x v="16"/>
    <x v="14"/>
    <x v="1"/>
    <x v="1"/>
    <x v="1"/>
    <x v="15"/>
    <x v="12"/>
    <n v="0.43"/>
    <x v="14"/>
    <n v="12"/>
    <n v="74"/>
    <x v="80"/>
  </r>
  <r>
    <n v="388"/>
    <x v="16"/>
    <x v="15"/>
    <x v="1"/>
    <x v="1"/>
    <x v="1"/>
    <x v="2"/>
    <x v="12"/>
    <n v="0.47"/>
    <x v="8"/>
    <n v="21"/>
    <n v="72"/>
    <x v="15"/>
  </r>
  <r>
    <n v="389"/>
    <x v="16"/>
    <x v="16"/>
    <x v="1"/>
    <x v="1"/>
    <x v="1"/>
    <x v="2"/>
    <x v="12"/>
    <n v="0.47"/>
    <x v="8"/>
    <n v="6"/>
    <n v="76"/>
    <x v="100"/>
  </r>
  <r>
    <n v="390"/>
    <x v="16"/>
    <x v="17"/>
    <x v="1"/>
    <x v="1"/>
    <x v="0"/>
    <x v="2"/>
    <x v="13"/>
    <n v="0.51"/>
    <x v="5"/>
    <n v="4"/>
    <n v="67"/>
    <x v="68"/>
  </r>
  <r>
    <n v="391"/>
    <x v="16"/>
    <x v="18"/>
    <x v="1"/>
    <x v="1"/>
    <x v="1"/>
    <x v="15"/>
    <x v="17"/>
    <n v="0.55000000000000004"/>
    <x v="2"/>
    <n v="7"/>
    <n v="85"/>
    <x v="101"/>
  </r>
  <r>
    <n v="392"/>
    <x v="16"/>
    <x v="19"/>
    <x v="1"/>
    <x v="1"/>
    <x v="2"/>
    <x v="15"/>
    <x v="18"/>
    <n v="0.59"/>
    <x v="5"/>
    <n v="2"/>
    <n v="58"/>
    <x v="122"/>
  </r>
  <r>
    <n v="393"/>
    <x v="16"/>
    <x v="20"/>
    <x v="1"/>
    <x v="1"/>
    <x v="2"/>
    <x v="13"/>
    <x v="20"/>
    <n v="0.8"/>
    <x v="5"/>
    <n v="4"/>
    <n v="29"/>
    <x v="63"/>
  </r>
  <r>
    <n v="394"/>
    <x v="16"/>
    <x v="21"/>
    <x v="1"/>
    <x v="1"/>
    <x v="2"/>
    <x v="13"/>
    <x v="20"/>
    <n v="0.8"/>
    <x v="5"/>
    <n v="3"/>
    <n v="24"/>
    <x v="110"/>
  </r>
  <r>
    <n v="395"/>
    <x v="16"/>
    <x v="22"/>
    <x v="1"/>
    <x v="1"/>
    <x v="2"/>
    <x v="14"/>
    <x v="16"/>
    <n v="0.93"/>
    <x v="2"/>
    <n v="0"/>
    <n v="13"/>
    <x v="3"/>
  </r>
  <r>
    <n v="396"/>
    <x v="16"/>
    <x v="23"/>
    <x v="1"/>
    <x v="1"/>
    <x v="2"/>
    <x v="13"/>
    <x v="14"/>
    <n v="0.86"/>
    <x v="3"/>
    <n v="1"/>
    <n v="3"/>
    <x v="48"/>
  </r>
  <r>
    <n v="397"/>
    <x v="17"/>
    <x v="12"/>
    <x v="0"/>
    <x v="1"/>
    <x v="1"/>
    <x v="2"/>
    <x v="18"/>
    <n v="0.86"/>
    <x v="9"/>
    <n v="0"/>
    <n v="3"/>
    <x v="6"/>
  </r>
  <r>
    <n v="398"/>
    <x v="17"/>
    <x v="13"/>
    <x v="0"/>
    <x v="1"/>
    <x v="1"/>
    <x v="2"/>
    <x v="13"/>
    <n v="0.86"/>
    <x v="6"/>
    <n v="0"/>
    <n v="22"/>
    <x v="34"/>
  </r>
  <r>
    <n v="399"/>
    <x v="17"/>
    <x v="14"/>
    <x v="0"/>
    <x v="1"/>
    <x v="1"/>
    <x v="1"/>
    <x v="11"/>
    <n v="0.8"/>
    <x v="8"/>
    <n v="2"/>
    <n v="26"/>
    <x v="20"/>
  </r>
  <r>
    <n v="400"/>
    <x v="17"/>
    <x v="15"/>
    <x v="0"/>
    <x v="1"/>
    <x v="1"/>
    <x v="1"/>
    <x v="11"/>
    <n v="0.87"/>
    <x v="8"/>
    <n v="3"/>
    <n v="32"/>
    <x v="17"/>
  </r>
  <r>
    <n v="401"/>
    <x v="17"/>
    <x v="16"/>
    <x v="0"/>
    <x v="1"/>
    <x v="1"/>
    <x v="1"/>
    <x v="11"/>
    <n v="0.87"/>
    <x v="5"/>
    <n v="0"/>
    <n v="61"/>
    <x v="42"/>
  </r>
  <r>
    <n v="402"/>
    <x v="17"/>
    <x v="17"/>
    <x v="0"/>
    <x v="1"/>
    <x v="1"/>
    <x v="1"/>
    <x v="11"/>
    <n v="0.82"/>
    <x v="5"/>
    <n v="1"/>
    <n v="124"/>
    <x v="139"/>
  </r>
  <r>
    <n v="403"/>
    <x v="17"/>
    <x v="18"/>
    <x v="0"/>
    <x v="1"/>
    <x v="1"/>
    <x v="1"/>
    <x v="11"/>
    <n v="0.8"/>
    <x v="8"/>
    <n v="1"/>
    <n v="132"/>
    <x v="140"/>
  </r>
  <r>
    <n v="404"/>
    <x v="17"/>
    <x v="19"/>
    <x v="0"/>
    <x v="1"/>
    <x v="1"/>
    <x v="1"/>
    <x v="11"/>
    <n v="0.8"/>
    <x v="7"/>
    <n v="1"/>
    <n v="98"/>
    <x v="111"/>
  </r>
  <r>
    <n v="405"/>
    <x v="17"/>
    <x v="20"/>
    <x v="0"/>
    <x v="1"/>
    <x v="1"/>
    <x v="1"/>
    <x v="1"/>
    <n v="0.87"/>
    <x v="0"/>
    <n v="0"/>
    <n v="83"/>
    <x v="56"/>
  </r>
  <r>
    <n v="406"/>
    <x v="17"/>
    <x v="21"/>
    <x v="0"/>
    <x v="1"/>
    <x v="1"/>
    <x v="1"/>
    <x v="19"/>
    <n v="0.93"/>
    <x v="14"/>
    <n v="0"/>
    <n v="41"/>
    <x v="102"/>
  </r>
  <r>
    <n v="407"/>
    <x v="17"/>
    <x v="22"/>
    <x v="0"/>
    <x v="1"/>
    <x v="1"/>
    <x v="1"/>
    <x v="2"/>
    <n v="0.93"/>
    <x v="1"/>
    <n v="0"/>
    <n v="33"/>
    <x v="63"/>
  </r>
  <r>
    <n v="408"/>
    <x v="17"/>
    <x v="23"/>
    <x v="0"/>
    <x v="1"/>
    <x v="1"/>
    <x v="1"/>
    <x v="1"/>
    <n v="0.93"/>
    <x v="0"/>
    <n v="1"/>
    <n v="19"/>
    <x v="25"/>
  </r>
  <r>
    <n v="409"/>
    <x v="18"/>
    <x v="0"/>
    <x v="0"/>
    <x v="1"/>
    <x v="1"/>
    <x v="1"/>
    <x v="1"/>
    <n v="0.93"/>
    <x v="0"/>
    <n v="0"/>
    <n v="3"/>
    <x v="6"/>
  </r>
  <r>
    <n v="410"/>
    <x v="18"/>
    <x v="1"/>
    <x v="0"/>
    <x v="1"/>
    <x v="2"/>
    <x v="1"/>
    <x v="11"/>
    <n v="0.93"/>
    <x v="7"/>
    <n v="1"/>
    <n v="6"/>
    <x v="85"/>
  </r>
  <r>
    <n v="411"/>
    <x v="18"/>
    <x v="2"/>
    <x v="0"/>
    <x v="1"/>
    <x v="2"/>
    <x v="1"/>
    <x v="11"/>
    <n v="0.93"/>
    <x v="7"/>
    <n v="0"/>
    <n v="3"/>
    <x v="6"/>
  </r>
  <r>
    <n v="412"/>
    <x v="18"/>
    <x v="4"/>
    <x v="0"/>
    <x v="1"/>
    <x v="2"/>
    <x v="1"/>
    <x v="11"/>
    <n v="0.93"/>
    <x v="7"/>
    <n v="1"/>
    <n v="1"/>
    <x v="5"/>
  </r>
  <r>
    <n v="413"/>
    <x v="18"/>
    <x v="5"/>
    <x v="0"/>
    <x v="1"/>
    <x v="1"/>
    <x v="1"/>
    <x v="2"/>
    <n v="0.93"/>
    <x v="1"/>
    <n v="0"/>
    <n v="7"/>
    <x v="85"/>
  </r>
  <r>
    <n v="414"/>
    <x v="18"/>
    <x v="6"/>
    <x v="0"/>
    <x v="1"/>
    <x v="1"/>
    <x v="1"/>
    <x v="2"/>
    <n v="0.93"/>
    <x v="1"/>
    <n v="0"/>
    <n v="32"/>
    <x v="2"/>
  </r>
  <r>
    <n v="415"/>
    <x v="18"/>
    <x v="7"/>
    <x v="0"/>
    <x v="1"/>
    <x v="1"/>
    <x v="0"/>
    <x v="2"/>
    <n v="0.92"/>
    <x v="14"/>
    <n v="1"/>
    <n v="89"/>
    <x v="127"/>
  </r>
  <r>
    <n v="416"/>
    <x v="18"/>
    <x v="8"/>
    <x v="0"/>
    <x v="1"/>
    <x v="1"/>
    <x v="0"/>
    <x v="2"/>
    <n v="0.93"/>
    <x v="14"/>
    <n v="1"/>
    <n v="196"/>
    <x v="141"/>
  </r>
  <r>
    <n v="417"/>
    <x v="18"/>
    <x v="9"/>
    <x v="0"/>
    <x v="1"/>
    <x v="1"/>
    <x v="0"/>
    <x v="2"/>
    <n v="0.93"/>
    <x v="14"/>
    <n v="2"/>
    <n v="107"/>
    <x v="142"/>
  </r>
  <r>
    <n v="418"/>
    <x v="18"/>
    <x v="10"/>
    <x v="0"/>
    <x v="1"/>
    <x v="1"/>
    <x v="12"/>
    <x v="1"/>
    <n v="0.93"/>
    <x v="7"/>
    <n v="1"/>
    <n v="46"/>
    <x v="105"/>
  </r>
  <r>
    <n v="419"/>
    <x v="18"/>
    <x v="11"/>
    <x v="0"/>
    <x v="1"/>
    <x v="1"/>
    <x v="17"/>
    <x v="25"/>
    <n v="0.87"/>
    <x v="1"/>
    <n v="5"/>
    <n v="47"/>
    <x v="46"/>
  </r>
  <r>
    <n v="420"/>
    <x v="18"/>
    <x v="12"/>
    <x v="0"/>
    <x v="1"/>
    <x v="1"/>
    <x v="11"/>
    <x v="21"/>
    <n v="0.81"/>
    <x v="1"/>
    <n v="5"/>
    <n v="65"/>
    <x v="27"/>
  </r>
  <r>
    <n v="421"/>
    <x v="18"/>
    <x v="13"/>
    <x v="0"/>
    <x v="1"/>
    <x v="0"/>
    <x v="9"/>
    <x v="10"/>
    <n v="0.62"/>
    <x v="3"/>
    <n v="11"/>
    <n v="67"/>
    <x v="53"/>
  </r>
  <r>
    <n v="422"/>
    <x v="18"/>
    <x v="14"/>
    <x v="0"/>
    <x v="1"/>
    <x v="0"/>
    <x v="9"/>
    <x v="10"/>
    <n v="0.57999999999999996"/>
    <x v="2"/>
    <n v="7"/>
    <n v="68"/>
    <x v="28"/>
  </r>
  <r>
    <n v="423"/>
    <x v="18"/>
    <x v="15"/>
    <x v="0"/>
    <x v="1"/>
    <x v="0"/>
    <x v="9"/>
    <x v="10"/>
    <n v="0.54"/>
    <x v="3"/>
    <n v="4"/>
    <n v="78"/>
    <x v="100"/>
  </r>
  <r>
    <n v="424"/>
    <x v="18"/>
    <x v="16"/>
    <x v="0"/>
    <x v="1"/>
    <x v="0"/>
    <x v="4"/>
    <x v="5"/>
    <n v="0.57999999999999996"/>
    <x v="13"/>
    <n v="10"/>
    <n v="94"/>
    <x v="133"/>
  </r>
  <r>
    <n v="425"/>
    <x v="18"/>
    <x v="17"/>
    <x v="0"/>
    <x v="1"/>
    <x v="0"/>
    <x v="5"/>
    <x v="6"/>
    <n v="0.56999999999999995"/>
    <x v="9"/>
    <n v="7"/>
    <n v="190"/>
    <x v="141"/>
  </r>
  <r>
    <n v="426"/>
    <x v="18"/>
    <x v="18"/>
    <x v="0"/>
    <x v="1"/>
    <x v="0"/>
    <x v="10"/>
    <x v="21"/>
    <n v="0.61"/>
    <x v="3"/>
    <n v="5"/>
    <n v="156"/>
    <x v="143"/>
  </r>
  <r>
    <n v="427"/>
    <x v="18"/>
    <x v="19"/>
    <x v="0"/>
    <x v="1"/>
    <x v="0"/>
    <x v="3"/>
    <x v="0"/>
    <n v="0.56999999999999995"/>
    <x v="12"/>
    <n v="4"/>
    <n v="108"/>
    <x v="59"/>
  </r>
  <r>
    <n v="428"/>
    <x v="18"/>
    <x v="20"/>
    <x v="0"/>
    <x v="1"/>
    <x v="0"/>
    <x v="3"/>
    <x v="25"/>
    <n v="0.49"/>
    <x v="4"/>
    <n v="2"/>
    <n v="74"/>
    <x v="31"/>
  </r>
  <r>
    <n v="429"/>
    <x v="18"/>
    <x v="21"/>
    <x v="0"/>
    <x v="1"/>
    <x v="0"/>
    <x v="3"/>
    <x v="0"/>
    <n v="0.49"/>
    <x v="12"/>
    <n v="4"/>
    <n v="55"/>
    <x v="29"/>
  </r>
  <r>
    <n v="430"/>
    <x v="18"/>
    <x v="22"/>
    <x v="0"/>
    <x v="1"/>
    <x v="0"/>
    <x v="11"/>
    <x v="25"/>
    <n v="0.52"/>
    <x v="8"/>
    <n v="6"/>
    <n v="53"/>
    <x v="29"/>
  </r>
  <r>
    <n v="431"/>
    <x v="18"/>
    <x v="23"/>
    <x v="0"/>
    <x v="1"/>
    <x v="0"/>
    <x v="11"/>
    <x v="1"/>
    <n v="0.52"/>
    <x v="17"/>
    <n v="1"/>
    <n v="27"/>
    <x v="20"/>
  </r>
  <r>
    <n v="432"/>
    <x v="19"/>
    <x v="0"/>
    <x v="0"/>
    <x v="1"/>
    <x v="0"/>
    <x v="12"/>
    <x v="11"/>
    <n v="0.56000000000000005"/>
    <x v="13"/>
    <n v="5"/>
    <n v="8"/>
    <x v="3"/>
  </r>
  <r>
    <n v="433"/>
    <x v="19"/>
    <x v="1"/>
    <x v="0"/>
    <x v="1"/>
    <x v="0"/>
    <x v="12"/>
    <x v="1"/>
    <n v="0.56000000000000005"/>
    <x v="0"/>
    <n v="2"/>
    <n v="3"/>
    <x v="36"/>
  </r>
  <r>
    <n v="434"/>
    <x v="19"/>
    <x v="2"/>
    <x v="0"/>
    <x v="1"/>
    <x v="0"/>
    <x v="12"/>
    <x v="1"/>
    <n v="0.56000000000000005"/>
    <x v="0"/>
    <n v="0"/>
    <n v="2"/>
    <x v="5"/>
  </r>
  <r>
    <n v="435"/>
    <x v="19"/>
    <x v="3"/>
    <x v="0"/>
    <x v="1"/>
    <x v="0"/>
    <x v="12"/>
    <x v="2"/>
    <n v="0.56000000000000005"/>
    <x v="8"/>
    <n v="0"/>
    <n v="1"/>
    <x v="4"/>
  </r>
  <r>
    <n v="436"/>
    <x v="19"/>
    <x v="4"/>
    <x v="0"/>
    <x v="1"/>
    <x v="0"/>
    <x v="12"/>
    <x v="2"/>
    <n v="0.56000000000000005"/>
    <x v="8"/>
    <n v="0"/>
    <n v="1"/>
    <x v="4"/>
  </r>
  <r>
    <n v="437"/>
    <x v="19"/>
    <x v="5"/>
    <x v="0"/>
    <x v="1"/>
    <x v="0"/>
    <x v="0"/>
    <x v="11"/>
    <n v="0.6"/>
    <x v="6"/>
    <n v="0"/>
    <n v="6"/>
    <x v="24"/>
  </r>
  <r>
    <n v="438"/>
    <x v="19"/>
    <x v="6"/>
    <x v="0"/>
    <x v="1"/>
    <x v="0"/>
    <x v="1"/>
    <x v="12"/>
    <n v="0.6"/>
    <x v="6"/>
    <n v="0"/>
    <n v="35"/>
    <x v="17"/>
  </r>
  <r>
    <n v="439"/>
    <x v="19"/>
    <x v="7"/>
    <x v="0"/>
    <x v="1"/>
    <x v="0"/>
    <x v="1"/>
    <x v="12"/>
    <n v="0.55000000000000004"/>
    <x v="6"/>
    <n v="1"/>
    <n v="100"/>
    <x v="129"/>
  </r>
  <r>
    <n v="440"/>
    <x v="19"/>
    <x v="8"/>
    <x v="0"/>
    <x v="1"/>
    <x v="0"/>
    <x v="1"/>
    <x v="12"/>
    <n v="0.55000000000000004"/>
    <x v="3"/>
    <n v="2"/>
    <n v="247"/>
    <x v="144"/>
  </r>
  <r>
    <n v="441"/>
    <x v="19"/>
    <x v="9"/>
    <x v="0"/>
    <x v="1"/>
    <x v="1"/>
    <x v="0"/>
    <x v="11"/>
    <n v="0.52"/>
    <x v="6"/>
    <n v="3"/>
    <n v="140"/>
    <x v="145"/>
  </r>
  <r>
    <n v="442"/>
    <x v="19"/>
    <x v="10"/>
    <x v="0"/>
    <x v="1"/>
    <x v="0"/>
    <x v="12"/>
    <x v="11"/>
    <n v="0.48"/>
    <x v="4"/>
    <n v="1"/>
    <n v="56"/>
    <x v="52"/>
  </r>
  <r>
    <n v="443"/>
    <x v="19"/>
    <x v="11"/>
    <x v="0"/>
    <x v="1"/>
    <x v="1"/>
    <x v="17"/>
    <x v="1"/>
    <n v="0.45"/>
    <x v="8"/>
    <n v="5"/>
    <n v="63"/>
    <x v="118"/>
  </r>
  <r>
    <n v="444"/>
    <x v="19"/>
    <x v="12"/>
    <x v="0"/>
    <x v="1"/>
    <x v="1"/>
    <x v="11"/>
    <x v="6"/>
    <n v="0.42"/>
    <x v="0"/>
    <n v="7"/>
    <n v="77"/>
    <x v="11"/>
  </r>
  <r>
    <n v="445"/>
    <x v="19"/>
    <x v="13"/>
    <x v="0"/>
    <x v="1"/>
    <x v="1"/>
    <x v="17"/>
    <x v="0"/>
    <n v="0.45"/>
    <x v="14"/>
    <n v="12"/>
    <n v="86"/>
    <x v="95"/>
  </r>
  <r>
    <n v="446"/>
    <x v="19"/>
    <x v="14"/>
    <x v="0"/>
    <x v="1"/>
    <x v="1"/>
    <x v="11"/>
    <x v="25"/>
    <n v="0.45"/>
    <x v="7"/>
    <n v="6"/>
    <n v="75"/>
    <x v="117"/>
  </r>
  <r>
    <n v="447"/>
    <x v="19"/>
    <x v="15"/>
    <x v="0"/>
    <x v="1"/>
    <x v="1"/>
    <x v="3"/>
    <x v="21"/>
    <n v="0.45"/>
    <x v="5"/>
    <n v="8"/>
    <n v="62"/>
    <x v="27"/>
  </r>
  <r>
    <n v="448"/>
    <x v="19"/>
    <x v="16"/>
    <x v="0"/>
    <x v="1"/>
    <x v="1"/>
    <x v="11"/>
    <x v="25"/>
    <n v="0.49"/>
    <x v="7"/>
    <n v="8"/>
    <n v="83"/>
    <x v="134"/>
  </r>
  <r>
    <n v="449"/>
    <x v="19"/>
    <x v="17"/>
    <x v="0"/>
    <x v="1"/>
    <x v="1"/>
    <x v="11"/>
    <x v="21"/>
    <n v="0.49"/>
    <x v="14"/>
    <n v="8"/>
    <n v="207"/>
    <x v="146"/>
  </r>
  <r>
    <n v="450"/>
    <x v="19"/>
    <x v="18"/>
    <x v="0"/>
    <x v="1"/>
    <x v="1"/>
    <x v="12"/>
    <x v="2"/>
    <n v="0.56000000000000005"/>
    <x v="5"/>
    <n v="1"/>
    <n v="184"/>
    <x v="147"/>
  </r>
  <r>
    <n v="451"/>
    <x v="19"/>
    <x v="19"/>
    <x v="0"/>
    <x v="1"/>
    <x v="0"/>
    <x v="12"/>
    <x v="11"/>
    <n v="0.56000000000000005"/>
    <x v="9"/>
    <n v="6"/>
    <n v="146"/>
    <x v="148"/>
  </r>
  <r>
    <n v="452"/>
    <x v="19"/>
    <x v="20"/>
    <x v="0"/>
    <x v="1"/>
    <x v="1"/>
    <x v="12"/>
    <x v="19"/>
    <n v="0.6"/>
    <x v="3"/>
    <n v="2"/>
    <n v="124"/>
    <x v="149"/>
  </r>
  <r>
    <n v="453"/>
    <x v="19"/>
    <x v="21"/>
    <x v="0"/>
    <x v="1"/>
    <x v="1"/>
    <x v="0"/>
    <x v="11"/>
    <n v="0.6"/>
    <x v="2"/>
    <n v="3"/>
    <n v="54"/>
    <x v="52"/>
  </r>
  <r>
    <n v="454"/>
    <x v="19"/>
    <x v="22"/>
    <x v="0"/>
    <x v="1"/>
    <x v="1"/>
    <x v="0"/>
    <x v="12"/>
    <n v="0.65"/>
    <x v="3"/>
    <n v="0"/>
    <n v="56"/>
    <x v="10"/>
  </r>
  <r>
    <n v="455"/>
    <x v="19"/>
    <x v="23"/>
    <x v="0"/>
    <x v="1"/>
    <x v="1"/>
    <x v="0"/>
    <x v="12"/>
    <n v="0.65"/>
    <x v="9"/>
    <n v="3"/>
    <n v="28"/>
    <x v="35"/>
  </r>
  <r>
    <n v="456"/>
    <x v="20"/>
    <x v="0"/>
    <x v="0"/>
    <x v="1"/>
    <x v="1"/>
    <x v="0"/>
    <x v="11"/>
    <n v="0.7"/>
    <x v="2"/>
    <n v="1"/>
    <n v="20"/>
    <x v="137"/>
  </r>
  <r>
    <n v="457"/>
    <x v="20"/>
    <x v="1"/>
    <x v="0"/>
    <x v="1"/>
    <x v="1"/>
    <x v="0"/>
    <x v="11"/>
    <n v="0.7"/>
    <x v="2"/>
    <n v="0"/>
    <n v="6"/>
    <x v="24"/>
  </r>
  <r>
    <n v="458"/>
    <x v="20"/>
    <x v="2"/>
    <x v="0"/>
    <x v="1"/>
    <x v="2"/>
    <x v="0"/>
    <x v="19"/>
    <n v="0.75"/>
    <x v="8"/>
    <n v="0"/>
    <n v="2"/>
    <x v="5"/>
  </r>
  <r>
    <n v="459"/>
    <x v="20"/>
    <x v="3"/>
    <x v="0"/>
    <x v="1"/>
    <x v="2"/>
    <x v="1"/>
    <x v="12"/>
    <n v="0.8"/>
    <x v="4"/>
    <n v="0"/>
    <n v="1"/>
    <x v="4"/>
  </r>
  <r>
    <n v="460"/>
    <x v="20"/>
    <x v="4"/>
    <x v="0"/>
    <x v="1"/>
    <x v="1"/>
    <x v="1"/>
    <x v="2"/>
    <n v="0.87"/>
    <x v="1"/>
    <n v="0"/>
    <n v="1"/>
    <x v="4"/>
  </r>
  <r>
    <n v="461"/>
    <x v="20"/>
    <x v="5"/>
    <x v="0"/>
    <x v="1"/>
    <x v="0"/>
    <x v="0"/>
    <x v="13"/>
    <n v="0.6"/>
    <x v="12"/>
    <n v="1"/>
    <n v="4"/>
    <x v="36"/>
  </r>
  <r>
    <n v="462"/>
    <x v="20"/>
    <x v="6"/>
    <x v="0"/>
    <x v="1"/>
    <x v="0"/>
    <x v="1"/>
    <x v="12"/>
    <n v="0.55000000000000004"/>
    <x v="2"/>
    <n v="0"/>
    <n v="27"/>
    <x v="110"/>
  </r>
  <r>
    <n v="463"/>
    <x v="20"/>
    <x v="7"/>
    <x v="0"/>
    <x v="1"/>
    <x v="0"/>
    <x v="2"/>
    <x v="18"/>
    <n v="0.51"/>
    <x v="3"/>
    <n v="2"/>
    <n v="66"/>
    <x v="118"/>
  </r>
  <r>
    <n v="464"/>
    <x v="20"/>
    <x v="8"/>
    <x v="0"/>
    <x v="1"/>
    <x v="0"/>
    <x v="2"/>
    <x v="18"/>
    <n v="0.47"/>
    <x v="9"/>
    <n v="7"/>
    <n v="210"/>
    <x v="112"/>
  </r>
  <r>
    <n v="465"/>
    <x v="20"/>
    <x v="9"/>
    <x v="0"/>
    <x v="1"/>
    <x v="0"/>
    <x v="2"/>
    <x v="18"/>
    <n v="0.51"/>
    <x v="11"/>
    <n v="7"/>
    <n v="159"/>
    <x v="150"/>
  </r>
  <r>
    <n v="466"/>
    <x v="20"/>
    <x v="10"/>
    <x v="0"/>
    <x v="1"/>
    <x v="0"/>
    <x v="2"/>
    <x v="17"/>
    <n v="0.47"/>
    <x v="17"/>
    <n v="6"/>
    <n v="57"/>
    <x v="55"/>
  </r>
  <r>
    <n v="467"/>
    <x v="20"/>
    <x v="11"/>
    <x v="0"/>
    <x v="1"/>
    <x v="0"/>
    <x v="1"/>
    <x v="18"/>
    <n v="0.41"/>
    <x v="17"/>
    <n v="6"/>
    <n v="53"/>
    <x v="29"/>
  </r>
  <r>
    <n v="468"/>
    <x v="20"/>
    <x v="12"/>
    <x v="0"/>
    <x v="1"/>
    <x v="0"/>
    <x v="1"/>
    <x v="18"/>
    <n v="0.27"/>
    <x v="19"/>
    <n v="11"/>
    <n v="67"/>
    <x v="53"/>
  </r>
  <r>
    <n v="469"/>
    <x v="20"/>
    <x v="13"/>
    <x v="0"/>
    <x v="1"/>
    <x v="0"/>
    <x v="2"/>
    <x v="20"/>
    <n v="0.21"/>
    <x v="19"/>
    <n v="8"/>
    <n v="65"/>
    <x v="88"/>
  </r>
  <r>
    <n v="470"/>
    <x v="20"/>
    <x v="14"/>
    <x v="0"/>
    <x v="1"/>
    <x v="0"/>
    <x v="2"/>
    <x v="20"/>
    <n v="0.25"/>
    <x v="18"/>
    <n v="6"/>
    <n v="56"/>
    <x v="69"/>
  </r>
  <r>
    <n v="471"/>
    <x v="20"/>
    <x v="15"/>
    <x v="0"/>
    <x v="1"/>
    <x v="0"/>
    <x v="13"/>
    <x v="16"/>
    <n v="0.26"/>
    <x v="10"/>
    <n v="4"/>
    <n v="61"/>
    <x v="32"/>
  </r>
  <r>
    <n v="472"/>
    <x v="20"/>
    <x v="16"/>
    <x v="0"/>
    <x v="1"/>
    <x v="0"/>
    <x v="13"/>
    <x v="14"/>
    <n v="0.26"/>
    <x v="11"/>
    <n v="0"/>
    <n v="97"/>
    <x v="54"/>
  </r>
  <r>
    <n v="473"/>
    <x v="20"/>
    <x v="17"/>
    <x v="0"/>
    <x v="1"/>
    <x v="0"/>
    <x v="14"/>
    <x v="16"/>
    <n v="0.28000000000000003"/>
    <x v="11"/>
    <n v="10"/>
    <n v="151"/>
    <x v="143"/>
  </r>
  <r>
    <n v="474"/>
    <x v="20"/>
    <x v="18"/>
    <x v="0"/>
    <x v="1"/>
    <x v="0"/>
    <x v="16"/>
    <x v="16"/>
    <n v="0.3"/>
    <x v="2"/>
    <n v="1"/>
    <n v="119"/>
    <x v="151"/>
  </r>
  <r>
    <n v="475"/>
    <x v="20"/>
    <x v="19"/>
    <x v="0"/>
    <x v="1"/>
    <x v="0"/>
    <x v="16"/>
    <x v="15"/>
    <n v="0.3"/>
    <x v="9"/>
    <n v="3"/>
    <n v="93"/>
    <x v="152"/>
  </r>
  <r>
    <n v="476"/>
    <x v="20"/>
    <x v="20"/>
    <x v="0"/>
    <x v="1"/>
    <x v="0"/>
    <x v="18"/>
    <x v="23"/>
    <n v="0.33"/>
    <x v="12"/>
    <n v="1"/>
    <n v="52"/>
    <x v="26"/>
  </r>
  <r>
    <n v="477"/>
    <x v="20"/>
    <x v="21"/>
    <x v="0"/>
    <x v="1"/>
    <x v="0"/>
    <x v="19"/>
    <x v="23"/>
    <n v="0.38"/>
    <x v="3"/>
    <n v="0"/>
    <n v="41"/>
    <x v="102"/>
  </r>
  <r>
    <n v="478"/>
    <x v="20"/>
    <x v="22"/>
    <x v="0"/>
    <x v="1"/>
    <x v="0"/>
    <x v="20"/>
    <x v="26"/>
    <n v="0.41"/>
    <x v="13"/>
    <n v="1"/>
    <n v="33"/>
    <x v="19"/>
  </r>
  <r>
    <n v="479"/>
    <x v="20"/>
    <x v="23"/>
    <x v="0"/>
    <x v="1"/>
    <x v="0"/>
    <x v="20"/>
    <x v="27"/>
    <n v="0.38"/>
    <x v="9"/>
    <n v="0"/>
    <n v="27"/>
    <x v="110"/>
  </r>
  <r>
    <n v="480"/>
    <x v="21"/>
    <x v="0"/>
    <x v="0"/>
    <x v="0"/>
    <x v="0"/>
    <x v="21"/>
    <x v="26"/>
    <n v="0.45"/>
    <x v="2"/>
    <n v="0"/>
    <n v="13"/>
    <x v="3"/>
  </r>
  <r>
    <n v="481"/>
    <x v="21"/>
    <x v="1"/>
    <x v="0"/>
    <x v="0"/>
    <x v="1"/>
    <x v="21"/>
    <x v="28"/>
    <n v="0.41"/>
    <x v="13"/>
    <n v="3"/>
    <n v="9"/>
    <x v="47"/>
  </r>
  <r>
    <n v="482"/>
    <x v="21"/>
    <x v="2"/>
    <x v="0"/>
    <x v="0"/>
    <x v="1"/>
    <x v="21"/>
    <x v="26"/>
    <n v="0.41"/>
    <x v="2"/>
    <n v="0"/>
    <n v="11"/>
    <x v="62"/>
  </r>
  <r>
    <n v="483"/>
    <x v="21"/>
    <x v="3"/>
    <x v="0"/>
    <x v="0"/>
    <x v="1"/>
    <x v="21"/>
    <x v="26"/>
    <n v="0.41"/>
    <x v="3"/>
    <n v="1"/>
    <n v="6"/>
    <x v="85"/>
  </r>
  <r>
    <n v="484"/>
    <x v="21"/>
    <x v="4"/>
    <x v="0"/>
    <x v="0"/>
    <x v="1"/>
    <x v="22"/>
    <x v="29"/>
    <n v="0.48"/>
    <x v="4"/>
    <n v="0"/>
    <n v="3"/>
    <x v="6"/>
  </r>
  <r>
    <n v="485"/>
    <x v="21"/>
    <x v="6"/>
    <x v="0"/>
    <x v="0"/>
    <x v="1"/>
    <x v="22"/>
    <x v="26"/>
    <n v="0.44"/>
    <x v="6"/>
    <n v="0"/>
    <n v="2"/>
    <x v="5"/>
  </r>
  <r>
    <n v="486"/>
    <x v="21"/>
    <x v="7"/>
    <x v="0"/>
    <x v="0"/>
    <x v="0"/>
    <x v="22"/>
    <x v="29"/>
    <n v="0.44"/>
    <x v="3"/>
    <n v="0"/>
    <n v="8"/>
    <x v="7"/>
  </r>
  <r>
    <n v="487"/>
    <x v="21"/>
    <x v="8"/>
    <x v="0"/>
    <x v="0"/>
    <x v="0"/>
    <x v="22"/>
    <x v="28"/>
    <n v="0.44"/>
    <x v="9"/>
    <n v="1"/>
    <n v="26"/>
    <x v="110"/>
  </r>
  <r>
    <n v="488"/>
    <x v="21"/>
    <x v="9"/>
    <x v="0"/>
    <x v="0"/>
    <x v="0"/>
    <x v="21"/>
    <x v="26"/>
    <n v="0.41"/>
    <x v="2"/>
    <n v="3"/>
    <n v="37"/>
    <x v="1"/>
  </r>
  <r>
    <n v="489"/>
    <x v="21"/>
    <x v="10"/>
    <x v="0"/>
    <x v="0"/>
    <x v="1"/>
    <x v="21"/>
    <x v="22"/>
    <n v="0.41"/>
    <x v="8"/>
    <n v="3"/>
    <n v="50"/>
    <x v="26"/>
  </r>
  <r>
    <n v="490"/>
    <x v="21"/>
    <x v="11"/>
    <x v="0"/>
    <x v="0"/>
    <x v="1"/>
    <x v="20"/>
    <x v="23"/>
    <n v="0.38"/>
    <x v="7"/>
    <n v="4"/>
    <n v="59"/>
    <x v="55"/>
  </r>
  <r>
    <n v="491"/>
    <x v="21"/>
    <x v="12"/>
    <x v="0"/>
    <x v="0"/>
    <x v="1"/>
    <x v="20"/>
    <x v="15"/>
    <n v="0.38"/>
    <x v="14"/>
    <n v="10"/>
    <n v="60"/>
    <x v="27"/>
  </r>
  <r>
    <n v="492"/>
    <x v="21"/>
    <x v="13"/>
    <x v="0"/>
    <x v="0"/>
    <x v="0"/>
    <x v="19"/>
    <x v="17"/>
    <n v="0.35"/>
    <x v="0"/>
    <n v="12"/>
    <n v="72"/>
    <x v="11"/>
  </r>
  <r>
    <n v="493"/>
    <x v="21"/>
    <x v="14"/>
    <x v="0"/>
    <x v="0"/>
    <x v="0"/>
    <x v="18"/>
    <x v="14"/>
    <n v="0.33"/>
    <x v="14"/>
    <n v="11"/>
    <n v="64"/>
    <x v="28"/>
  </r>
  <r>
    <n v="494"/>
    <x v="21"/>
    <x v="15"/>
    <x v="0"/>
    <x v="0"/>
    <x v="0"/>
    <x v="16"/>
    <x v="20"/>
    <n v="0.28000000000000003"/>
    <x v="0"/>
    <n v="10"/>
    <n v="93"/>
    <x v="153"/>
  </r>
  <r>
    <n v="495"/>
    <x v="21"/>
    <x v="16"/>
    <x v="0"/>
    <x v="0"/>
    <x v="0"/>
    <x v="16"/>
    <x v="14"/>
    <n v="0.28000000000000003"/>
    <x v="5"/>
    <n v="11"/>
    <n v="72"/>
    <x v="56"/>
  </r>
  <r>
    <n v="496"/>
    <x v="21"/>
    <x v="17"/>
    <x v="0"/>
    <x v="0"/>
    <x v="0"/>
    <x v="16"/>
    <x v="13"/>
    <n v="0.28000000000000003"/>
    <x v="0"/>
    <n v="8"/>
    <n v="59"/>
    <x v="16"/>
  </r>
  <r>
    <n v="497"/>
    <x v="21"/>
    <x v="18"/>
    <x v="0"/>
    <x v="0"/>
    <x v="0"/>
    <x v="19"/>
    <x v="24"/>
    <n v="0.35"/>
    <x v="5"/>
    <n v="0"/>
    <n v="54"/>
    <x v="60"/>
  </r>
  <r>
    <n v="498"/>
    <x v="21"/>
    <x v="19"/>
    <x v="0"/>
    <x v="0"/>
    <x v="0"/>
    <x v="19"/>
    <x v="15"/>
    <n v="0.35"/>
    <x v="7"/>
    <n v="6"/>
    <n v="53"/>
    <x v="29"/>
  </r>
  <r>
    <n v="499"/>
    <x v="21"/>
    <x v="20"/>
    <x v="0"/>
    <x v="0"/>
    <x v="0"/>
    <x v="20"/>
    <x v="23"/>
    <n v="0.45"/>
    <x v="8"/>
    <n v="1"/>
    <n v="44"/>
    <x v="79"/>
  </r>
  <r>
    <n v="500"/>
    <x v="21"/>
    <x v="21"/>
    <x v="0"/>
    <x v="0"/>
    <x v="0"/>
    <x v="20"/>
    <x v="15"/>
    <n v="0.41"/>
    <x v="1"/>
    <n v="0"/>
    <n v="39"/>
    <x v="21"/>
  </r>
  <r>
    <n v="501"/>
    <x v="21"/>
    <x v="22"/>
    <x v="0"/>
    <x v="0"/>
    <x v="0"/>
    <x v="20"/>
    <x v="20"/>
    <n v="0.49"/>
    <x v="0"/>
    <n v="7"/>
    <n v="23"/>
    <x v="33"/>
  </r>
  <r>
    <n v="502"/>
    <x v="21"/>
    <x v="23"/>
    <x v="0"/>
    <x v="0"/>
    <x v="0"/>
    <x v="21"/>
    <x v="23"/>
    <n v="0.56999999999999995"/>
    <x v="14"/>
    <n v="2"/>
    <n v="31"/>
    <x v="63"/>
  </r>
  <r>
    <n v="503"/>
    <x v="22"/>
    <x v="0"/>
    <x v="0"/>
    <x v="0"/>
    <x v="0"/>
    <x v="21"/>
    <x v="23"/>
    <n v="0.56999999999999995"/>
    <x v="14"/>
    <n v="2"/>
    <n v="20"/>
    <x v="34"/>
  </r>
  <r>
    <n v="504"/>
    <x v="22"/>
    <x v="1"/>
    <x v="0"/>
    <x v="0"/>
    <x v="0"/>
    <x v="21"/>
    <x v="23"/>
    <n v="0.56999999999999995"/>
    <x v="14"/>
    <n v="1"/>
    <n v="12"/>
    <x v="3"/>
  </r>
  <r>
    <n v="505"/>
    <x v="22"/>
    <x v="2"/>
    <x v="0"/>
    <x v="0"/>
    <x v="0"/>
    <x v="22"/>
    <x v="22"/>
    <n v="0.62"/>
    <x v="7"/>
    <n v="3"/>
    <n v="15"/>
    <x v="109"/>
  </r>
  <r>
    <n v="506"/>
    <x v="22"/>
    <x v="3"/>
    <x v="0"/>
    <x v="0"/>
    <x v="0"/>
    <x v="22"/>
    <x v="22"/>
    <n v="0.62"/>
    <x v="7"/>
    <n v="1"/>
    <n v="4"/>
    <x v="36"/>
  </r>
  <r>
    <n v="507"/>
    <x v="22"/>
    <x v="5"/>
    <x v="0"/>
    <x v="0"/>
    <x v="1"/>
    <x v="21"/>
    <x v="23"/>
    <n v="0.56999999999999995"/>
    <x v="14"/>
    <n v="0"/>
    <n v="3"/>
    <x v="6"/>
  </r>
  <r>
    <n v="508"/>
    <x v="22"/>
    <x v="6"/>
    <x v="0"/>
    <x v="0"/>
    <x v="1"/>
    <x v="21"/>
    <x v="23"/>
    <n v="0.56999999999999995"/>
    <x v="14"/>
    <n v="0"/>
    <n v="1"/>
    <x v="4"/>
  </r>
  <r>
    <n v="509"/>
    <x v="22"/>
    <x v="7"/>
    <x v="0"/>
    <x v="0"/>
    <x v="0"/>
    <x v="19"/>
    <x v="15"/>
    <n v="0.57999999999999996"/>
    <x v="8"/>
    <n v="1"/>
    <n v="1"/>
    <x v="5"/>
  </r>
  <r>
    <n v="510"/>
    <x v="22"/>
    <x v="8"/>
    <x v="0"/>
    <x v="0"/>
    <x v="0"/>
    <x v="20"/>
    <x v="23"/>
    <n v="0.62"/>
    <x v="8"/>
    <n v="2"/>
    <n v="17"/>
    <x v="75"/>
  </r>
  <r>
    <n v="511"/>
    <x v="22"/>
    <x v="9"/>
    <x v="0"/>
    <x v="0"/>
    <x v="0"/>
    <x v="18"/>
    <x v="23"/>
    <n v="0.54"/>
    <x v="11"/>
    <n v="3"/>
    <n v="25"/>
    <x v="20"/>
  </r>
  <r>
    <n v="512"/>
    <x v="22"/>
    <x v="10"/>
    <x v="0"/>
    <x v="0"/>
    <x v="0"/>
    <x v="14"/>
    <x v="15"/>
    <n v="0.46"/>
    <x v="13"/>
    <n v="7"/>
    <n v="51"/>
    <x v="154"/>
  </r>
  <r>
    <n v="513"/>
    <x v="22"/>
    <x v="11"/>
    <x v="0"/>
    <x v="0"/>
    <x v="0"/>
    <x v="14"/>
    <x v="14"/>
    <n v="0.43"/>
    <x v="6"/>
    <n v="22"/>
    <n v="77"/>
    <x v="111"/>
  </r>
  <r>
    <n v="514"/>
    <x v="22"/>
    <x v="12"/>
    <x v="0"/>
    <x v="0"/>
    <x v="0"/>
    <x v="13"/>
    <x v="16"/>
    <n v="0.37"/>
    <x v="17"/>
    <n v="24"/>
    <n v="92"/>
    <x v="155"/>
  </r>
  <r>
    <n v="515"/>
    <x v="22"/>
    <x v="13"/>
    <x v="0"/>
    <x v="0"/>
    <x v="0"/>
    <x v="14"/>
    <x v="15"/>
    <n v="0.33"/>
    <x v="13"/>
    <n v="12"/>
    <n v="75"/>
    <x v="90"/>
  </r>
  <r>
    <n v="516"/>
    <x v="22"/>
    <x v="14"/>
    <x v="0"/>
    <x v="0"/>
    <x v="0"/>
    <x v="13"/>
    <x v="14"/>
    <n v="0.28000000000000003"/>
    <x v="11"/>
    <n v="17"/>
    <n v="93"/>
    <x v="14"/>
  </r>
  <r>
    <n v="517"/>
    <x v="22"/>
    <x v="15"/>
    <x v="0"/>
    <x v="0"/>
    <x v="0"/>
    <x v="13"/>
    <x v="14"/>
    <n v="0.28000000000000003"/>
    <x v="11"/>
    <n v="13"/>
    <n v="64"/>
    <x v="43"/>
  </r>
  <r>
    <n v="518"/>
    <x v="22"/>
    <x v="16"/>
    <x v="0"/>
    <x v="0"/>
    <x v="0"/>
    <x v="13"/>
    <x v="14"/>
    <n v="0.26"/>
    <x v="9"/>
    <n v="9"/>
    <n v="56"/>
    <x v="32"/>
  </r>
  <r>
    <n v="519"/>
    <x v="22"/>
    <x v="17"/>
    <x v="0"/>
    <x v="0"/>
    <x v="0"/>
    <x v="14"/>
    <x v="15"/>
    <n v="0.26"/>
    <x v="13"/>
    <n v="5"/>
    <n v="50"/>
    <x v="97"/>
  </r>
  <r>
    <n v="520"/>
    <x v="22"/>
    <x v="18"/>
    <x v="0"/>
    <x v="0"/>
    <x v="0"/>
    <x v="16"/>
    <x v="16"/>
    <n v="0.3"/>
    <x v="2"/>
    <n v="5"/>
    <n v="44"/>
    <x v="99"/>
  </r>
  <r>
    <n v="521"/>
    <x v="22"/>
    <x v="19"/>
    <x v="0"/>
    <x v="0"/>
    <x v="0"/>
    <x v="16"/>
    <x v="16"/>
    <n v="0.3"/>
    <x v="3"/>
    <n v="5"/>
    <n v="45"/>
    <x v="89"/>
  </r>
  <r>
    <n v="522"/>
    <x v="22"/>
    <x v="20"/>
    <x v="0"/>
    <x v="0"/>
    <x v="0"/>
    <x v="18"/>
    <x v="15"/>
    <n v="0.36"/>
    <x v="2"/>
    <n v="4"/>
    <n v="31"/>
    <x v="17"/>
  </r>
  <r>
    <n v="523"/>
    <x v="22"/>
    <x v="21"/>
    <x v="0"/>
    <x v="0"/>
    <x v="0"/>
    <x v="18"/>
    <x v="15"/>
    <n v="0.36"/>
    <x v="5"/>
    <n v="5"/>
    <n v="20"/>
    <x v="94"/>
  </r>
  <r>
    <n v="524"/>
    <x v="22"/>
    <x v="22"/>
    <x v="0"/>
    <x v="0"/>
    <x v="0"/>
    <x v="19"/>
    <x v="24"/>
    <n v="0.38"/>
    <x v="5"/>
    <n v="5"/>
    <n v="23"/>
    <x v="20"/>
  </r>
  <r>
    <n v="525"/>
    <x v="22"/>
    <x v="23"/>
    <x v="0"/>
    <x v="0"/>
    <x v="0"/>
    <x v="20"/>
    <x v="22"/>
    <n v="0.41"/>
    <x v="6"/>
    <n v="4"/>
    <n v="17"/>
    <x v="137"/>
  </r>
  <r>
    <n v="526"/>
    <x v="23"/>
    <x v="0"/>
    <x v="0"/>
    <x v="1"/>
    <x v="0"/>
    <x v="20"/>
    <x v="22"/>
    <n v="0.41"/>
    <x v="5"/>
    <n v="0"/>
    <n v="7"/>
    <x v="85"/>
  </r>
  <r>
    <n v="527"/>
    <x v="23"/>
    <x v="1"/>
    <x v="0"/>
    <x v="1"/>
    <x v="0"/>
    <x v="21"/>
    <x v="27"/>
    <n v="0.45"/>
    <x v="5"/>
    <n v="0"/>
    <n v="1"/>
    <x v="4"/>
  </r>
  <r>
    <n v="528"/>
    <x v="23"/>
    <x v="3"/>
    <x v="0"/>
    <x v="1"/>
    <x v="0"/>
    <x v="21"/>
    <x v="26"/>
    <n v="0.45"/>
    <x v="2"/>
    <n v="0"/>
    <n v="1"/>
    <x v="4"/>
  </r>
  <r>
    <n v="529"/>
    <x v="23"/>
    <x v="4"/>
    <x v="0"/>
    <x v="1"/>
    <x v="0"/>
    <x v="22"/>
    <x v="22"/>
    <n v="0.48"/>
    <x v="7"/>
    <n v="0"/>
    <n v="1"/>
    <x v="4"/>
  </r>
  <r>
    <n v="530"/>
    <x v="23"/>
    <x v="5"/>
    <x v="0"/>
    <x v="1"/>
    <x v="0"/>
    <x v="22"/>
    <x v="22"/>
    <n v="0.48"/>
    <x v="7"/>
    <n v="0"/>
    <n v="5"/>
    <x v="36"/>
  </r>
  <r>
    <n v="531"/>
    <x v="23"/>
    <x v="6"/>
    <x v="0"/>
    <x v="1"/>
    <x v="0"/>
    <x v="22"/>
    <x v="23"/>
    <n v="0.48"/>
    <x v="1"/>
    <n v="0"/>
    <n v="15"/>
    <x v="93"/>
  </r>
  <r>
    <n v="532"/>
    <x v="23"/>
    <x v="7"/>
    <x v="0"/>
    <x v="1"/>
    <x v="0"/>
    <x v="22"/>
    <x v="16"/>
    <n v="0.48"/>
    <x v="0"/>
    <n v="5"/>
    <n v="79"/>
    <x v="11"/>
  </r>
  <r>
    <n v="533"/>
    <x v="23"/>
    <x v="8"/>
    <x v="0"/>
    <x v="1"/>
    <x v="0"/>
    <x v="21"/>
    <x v="14"/>
    <n v="0.49"/>
    <x v="0"/>
    <n v="6"/>
    <n v="171"/>
    <x v="156"/>
  </r>
  <r>
    <n v="534"/>
    <x v="23"/>
    <x v="9"/>
    <x v="0"/>
    <x v="1"/>
    <x v="0"/>
    <x v="20"/>
    <x v="20"/>
    <n v="0.41"/>
    <x v="0"/>
    <n v="4"/>
    <n v="98"/>
    <x v="96"/>
  </r>
  <r>
    <n v="535"/>
    <x v="23"/>
    <x v="10"/>
    <x v="0"/>
    <x v="1"/>
    <x v="0"/>
    <x v="18"/>
    <x v="14"/>
    <n v="0.42"/>
    <x v="0"/>
    <n v="6"/>
    <n v="34"/>
    <x v="1"/>
  </r>
  <r>
    <n v="536"/>
    <x v="23"/>
    <x v="11"/>
    <x v="0"/>
    <x v="1"/>
    <x v="0"/>
    <x v="18"/>
    <x v="16"/>
    <n v="0.46"/>
    <x v="7"/>
    <n v="3"/>
    <n v="43"/>
    <x v="66"/>
  </r>
  <r>
    <n v="537"/>
    <x v="23"/>
    <x v="12"/>
    <x v="0"/>
    <x v="1"/>
    <x v="1"/>
    <x v="16"/>
    <x v="14"/>
    <n v="0.42"/>
    <x v="5"/>
    <n v="11"/>
    <n v="52"/>
    <x v="55"/>
  </r>
  <r>
    <n v="538"/>
    <x v="23"/>
    <x v="13"/>
    <x v="0"/>
    <x v="1"/>
    <x v="1"/>
    <x v="14"/>
    <x v="14"/>
    <n v="0.43"/>
    <x v="6"/>
    <n v="6"/>
    <n v="54"/>
    <x v="122"/>
  </r>
  <r>
    <n v="539"/>
    <x v="23"/>
    <x v="14"/>
    <x v="0"/>
    <x v="1"/>
    <x v="1"/>
    <x v="14"/>
    <x v="14"/>
    <n v="0.46"/>
    <x v="6"/>
    <n v="2"/>
    <n v="43"/>
    <x v="79"/>
  </r>
  <r>
    <n v="540"/>
    <x v="23"/>
    <x v="15"/>
    <x v="0"/>
    <x v="1"/>
    <x v="0"/>
    <x v="13"/>
    <x v="17"/>
    <n v="0.4"/>
    <x v="8"/>
    <n v="7"/>
    <n v="50"/>
    <x v="52"/>
  </r>
  <r>
    <n v="541"/>
    <x v="23"/>
    <x v="16"/>
    <x v="0"/>
    <x v="1"/>
    <x v="0"/>
    <x v="13"/>
    <x v="20"/>
    <n v="0.47"/>
    <x v="2"/>
    <n v="4"/>
    <n v="66"/>
    <x v="27"/>
  </r>
  <r>
    <n v="542"/>
    <x v="23"/>
    <x v="17"/>
    <x v="0"/>
    <x v="1"/>
    <x v="0"/>
    <x v="14"/>
    <x v="16"/>
    <n v="0.5"/>
    <x v="2"/>
    <n v="6"/>
    <n v="178"/>
    <x v="157"/>
  </r>
  <r>
    <n v="543"/>
    <x v="23"/>
    <x v="18"/>
    <x v="0"/>
    <x v="1"/>
    <x v="0"/>
    <x v="14"/>
    <x v="14"/>
    <n v="0.59"/>
    <x v="5"/>
    <n v="8"/>
    <n v="145"/>
    <x v="158"/>
  </r>
  <r>
    <n v="544"/>
    <x v="23"/>
    <x v="19"/>
    <x v="0"/>
    <x v="1"/>
    <x v="0"/>
    <x v="14"/>
    <x v="20"/>
    <n v="0.54"/>
    <x v="8"/>
    <n v="5"/>
    <n v="101"/>
    <x v="13"/>
  </r>
  <r>
    <n v="545"/>
    <x v="23"/>
    <x v="20"/>
    <x v="0"/>
    <x v="1"/>
    <x v="0"/>
    <x v="14"/>
    <x v="14"/>
    <n v="0.59"/>
    <x v="5"/>
    <n v="1"/>
    <n v="80"/>
    <x v="117"/>
  </r>
  <r>
    <n v="546"/>
    <x v="23"/>
    <x v="21"/>
    <x v="0"/>
    <x v="1"/>
    <x v="0"/>
    <x v="14"/>
    <x v="20"/>
    <n v="0.63"/>
    <x v="8"/>
    <n v="6"/>
    <n v="53"/>
    <x v="29"/>
  </r>
  <r>
    <n v="547"/>
    <x v="23"/>
    <x v="22"/>
    <x v="0"/>
    <x v="1"/>
    <x v="1"/>
    <x v="14"/>
    <x v="14"/>
    <n v="0.63"/>
    <x v="6"/>
    <n v="3"/>
    <n v="32"/>
    <x v="17"/>
  </r>
  <r>
    <n v="548"/>
    <x v="23"/>
    <x v="23"/>
    <x v="0"/>
    <x v="1"/>
    <x v="1"/>
    <x v="13"/>
    <x v="20"/>
    <n v="0.64"/>
    <x v="2"/>
    <n v="3"/>
    <n v="21"/>
    <x v="108"/>
  </r>
  <r>
    <n v="549"/>
    <x v="24"/>
    <x v="0"/>
    <x v="0"/>
    <x v="1"/>
    <x v="1"/>
    <x v="13"/>
    <x v="14"/>
    <n v="0.69"/>
    <x v="3"/>
    <n v="3"/>
    <n v="6"/>
    <x v="23"/>
  </r>
  <r>
    <n v="550"/>
    <x v="24"/>
    <x v="1"/>
    <x v="0"/>
    <x v="1"/>
    <x v="1"/>
    <x v="13"/>
    <x v="17"/>
    <n v="0.69"/>
    <x v="8"/>
    <n v="0"/>
    <n v="5"/>
    <x v="36"/>
  </r>
  <r>
    <n v="551"/>
    <x v="24"/>
    <x v="2"/>
    <x v="0"/>
    <x v="1"/>
    <x v="0"/>
    <x v="13"/>
    <x v="20"/>
    <n v="0.69"/>
    <x v="6"/>
    <n v="0"/>
    <n v="2"/>
    <x v="5"/>
  </r>
  <r>
    <n v="552"/>
    <x v="24"/>
    <x v="4"/>
    <x v="0"/>
    <x v="1"/>
    <x v="0"/>
    <x v="14"/>
    <x v="17"/>
    <n v="0.74"/>
    <x v="14"/>
    <n v="0"/>
    <n v="1"/>
    <x v="4"/>
  </r>
  <r>
    <n v="553"/>
    <x v="24"/>
    <x v="5"/>
    <x v="0"/>
    <x v="1"/>
    <x v="0"/>
    <x v="14"/>
    <x v="14"/>
    <n v="0.74"/>
    <x v="6"/>
    <n v="0"/>
    <n v="9"/>
    <x v="23"/>
  </r>
  <r>
    <n v="554"/>
    <x v="24"/>
    <x v="6"/>
    <x v="0"/>
    <x v="1"/>
    <x v="0"/>
    <x v="13"/>
    <x v="18"/>
    <n v="0.74"/>
    <x v="14"/>
    <n v="1"/>
    <n v="35"/>
    <x v="9"/>
  </r>
  <r>
    <n v="555"/>
    <x v="24"/>
    <x v="7"/>
    <x v="0"/>
    <x v="1"/>
    <x v="0"/>
    <x v="13"/>
    <x v="20"/>
    <n v="0.74"/>
    <x v="6"/>
    <n v="5"/>
    <n v="103"/>
    <x v="159"/>
  </r>
  <r>
    <n v="556"/>
    <x v="24"/>
    <x v="8"/>
    <x v="0"/>
    <x v="1"/>
    <x v="1"/>
    <x v="13"/>
    <x v="18"/>
    <n v="0.74"/>
    <x v="7"/>
    <n v="5"/>
    <n v="233"/>
    <x v="160"/>
  </r>
  <r>
    <n v="557"/>
    <x v="24"/>
    <x v="9"/>
    <x v="0"/>
    <x v="1"/>
    <x v="1"/>
    <x v="2"/>
    <x v="11"/>
    <n v="0.64"/>
    <x v="1"/>
    <n v="10"/>
    <n v="134"/>
    <x v="124"/>
  </r>
  <r>
    <n v="558"/>
    <x v="24"/>
    <x v="10"/>
    <x v="0"/>
    <x v="1"/>
    <x v="1"/>
    <x v="1"/>
    <x v="19"/>
    <n v="0.6"/>
    <x v="14"/>
    <n v="6"/>
    <n v="49"/>
    <x v="97"/>
  </r>
  <r>
    <n v="559"/>
    <x v="24"/>
    <x v="11"/>
    <x v="0"/>
    <x v="1"/>
    <x v="1"/>
    <x v="0"/>
    <x v="19"/>
    <n v="0.6"/>
    <x v="7"/>
    <n v="6"/>
    <n v="55"/>
    <x v="42"/>
  </r>
  <r>
    <n v="560"/>
    <x v="24"/>
    <x v="12"/>
    <x v="0"/>
    <x v="1"/>
    <x v="1"/>
    <x v="12"/>
    <x v="0"/>
    <n v="0.56000000000000005"/>
    <x v="1"/>
    <n v="21"/>
    <n v="85"/>
    <x v="13"/>
  </r>
  <r>
    <n v="561"/>
    <x v="24"/>
    <x v="13"/>
    <x v="0"/>
    <x v="1"/>
    <x v="1"/>
    <x v="12"/>
    <x v="1"/>
    <n v="0.56000000000000005"/>
    <x v="7"/>
    <n v="21"/>
    <n v="72"/>
    <x v="15"/>
  </r>
  <r>
    <n v="562"/>
    <x v="24"/>
    <x v="14"/>
    <x v="0"/>
    <x v="1"/>
    <x v="1"/>
    <x v="11"/>
    <x v="6"/>
    <n v="0.45"/>
    <x v="0"/>
    <n v="11"/>
    <n v="57"/>
    <x v="118"/>
  </r>
  <r>
    <n v="563"/>
    <x v="24"/>
    <x v="15"/>
    <x v="0"/>
    <x v="1"/>
    <x v="1"/>
    <x v="3"/>
    <x v="4"/>
    <n v="0.42"/>
    <x v="0"/>
    <n v="21"/>
    <n v="63"/>
    <x v="11"/>
  </r>
  <r>
    <n v="564"/>
    <x v="24"/>
    <x v="16"/>
    <x v="0"/>
    <x v="1"/>
    <x v="1"/>
    <x v="3"/>
    <x v="4"/>
    <n v="0.42"/>
    <x v="0"/>
    <n v="14"/>
    <n v="102"/>
    <x v="155"/>
  </r>
  <r>
    <n v="565"/>
    <x v="24"/>
    <x v="17"/>
    <x v="0"/>
    <x v="1"/>
    <x v="0"/>
    <x v="11"/>
    <x v="6"/>
    <n v="0.45"/>
    <x v="0"/>
    <n v="14"/>
    <n v="208"/>
    <x v="161"/>
  </r>
  <r>
    <n v="566"/>
    <x v="24"/>
    <x v="18"/>
    <x v="0"/>
    <x v="1"/>
    <x v="1"/>
    <x v="11"/>
    <x v="21"/>
    <n v="0.49"/>
    <x v="1"/>
    <n v="7"/>
    <n v="218"/>
    <x v="162"/>
  </r>
  <r>
    <n v="567"/>
    <x v="24"/>
    <x v="19"/>
    <x v="0"/>
    <x v="1"/>
    <x v="1"/>
    <x v="12"/>
    <x v="2"/>
    <n v="0.65"/>
    <x v="8"/>
    <n v="13"/>
    <n v="133"/>
    <x v="163"/>
  </r>
  <r>
    <n v="568"/>
    <x v="24"/>
    <x v="20"/>
    <x v="0"/>
    <x v="1"/>
    <x v="0"/>
    <x v="0"/>
    <x v="11"/>
    <n v="0.65"/>
    <x v="5"/>
    <n v="16"/>
    <n v="103"/>
    <x v="164"/>
  </r>
  <r>
    <n v="569"/>
    <x v="24"/>
    <x v="21"/>
    <x v="0"/>
    <x v="1"/>
    <x v="0"/>
    <x v="0"/>
    <x v="11"/>
    <n v="0.65"/>
    <x v="5"/>
    <n v="5"/>
    <n v="40"/>
    <x v="79"/>
  </r>
  <r>
    <n v="570"/>
    <x v="24"/>
    <x v="22"/>
    <x v="0"/>
    <x v="1"/>
    <x v="0"/>
    <x v="1"/>
    <x v="11"/>
    <n v="0.64"/>
    <x v="8"/>
    <n v="4"/>
    <n v="49"/>
    <x v="26"/>
  </r>
  <r>
    <n v="571"/>
    <x v="24"/>
    <x v="23"/>
    <x v="0"/>
    <x v="1"/>
    <x v="1"/>
    <x v="1"/>
    <x v="11"/>
    <n v="0.64"/>
    <x v="8"/>
    <n v="3"/>
    <n v="37"/>
    <x v="1"/>
  </r>
  <r>
    <n v="572"/>
    <x v="25"/>
    <x v="0"/>
    <x v="0"/>
    <x v="1"/>
    <x v="1"/>
    <x v="1"/>
    <x v="11"/>
    <n v="0.69"/>
    <x v="7"/>
    <n v="3"/>
    <n v="14"/>
    <x v="22"/>
  </r>
  <r>
    <n v="573"/>
    <x v="25"/>
    <x v="1"/>
    <x v="0"/>
    <x v="1"/>
    <x v="1"/>
    <x v="0"/>
    <x v="19"/>
    <n v="0.65"/>
    <x v="7"/>
    <n v="0"/>
    <n v="5"/>
    <x v="36"/>
  </r>
  <r>
    <n v="574"/>
    <x v="25"/>
    <x v="2"/>
    <x v="0"/>
    <x v="1"/>
    <x v="2"/>
    <x v="1"/>
    <x v="11"/>
    <n v="0.69"/>
    <x v="5"/>
    <n v="3"/>
    <n v="7"/>
    <x v="98"/>
  </r>
  <r>
    <n v="575"/>
    <x v="25"/>
    <x v="5"/>
    <x v="0"/>
    <x v="1"/>
    <x v="2"/>
    <x v="2"/>
    <x v="18"/>
    <n v="0.86"/>
    <x v="3"/>
    <n v="0"/>
    <n v="1"/>
    <x v="4"/>
  </r>
  <r>
    <n v="576"/>
    <x v="25"/>
    <x v="6"/>
    <x v="0"/>
    <x v="1"/>
    <x v="2"/>
    <x v="2"/>
    <x v="18"/>
    <n v="0.86"/>
    <x v="3"/>
    <n v="0"/>
    <n v="8"/>
    <x v="7"/>
  </r>
  <r>
    <n v="577"/>
    <x v="25"/>
    <x v="7"/>
    <x v="0"/>
    <x v="1"/>
    <x v="2"/>
    <x v="1"/>
    <x v="12"/>
    <n v="0.87"/>
    <x v="4"/>
    <n v="1"/>
    <n v="29"/>
    <x v="33"/>
  </r>
  <r>
    <n v="578"/>
    <x v="25"/>
    <x v="8"/>
    <x v="0"/>
    <x v="1"/>
    <x v="2"/>
    <x v="1"/>
    <x v="12"/>
    <n v="0.87"/>
    <x v="4"/>
    <n v="3"/>
    <n v="69"/>
    <x v="44"/>
  </r>
  <r>
    <n v="579"/>
    <x v="25"/>
    <x v="9"/>
    <x v="0"/>
    <x v="1"/>
    <x v="2"/>
    <x v="1"/>
    <x v="12"/>
    <n v="0.87"/>
    <x v="4"/>
    <n v="3"/>
    <n v="55"/>
    <x v="154"/>
  </r>
  <r>
    <n v="580"/>
    <x v="25"/>
    <x v="10"/>
    <x v="0"/>
    <x v="1"/>
    <x v="2"/>
    <x v="1"/>
    <x v="12"/>
    <n v="0.93"/>
    <x v="3"/>
    <n v="2"/>
    <n v="26"/>
    <x v="20"/>
  </r>
  <r>
    <n v="581"/>
    <x v="25"/>
    <x v="11"/>
    <x v="0"/>
    <x v="1"/>
    <x v="2"/>
    <x v="1"/>
    <x v="13"/>
    <n v="0.93"/>
    <x v="9"/>
    <n v="6"/>
    <n v="35"/>
    <x v="102"/>
  </r>
  <r>
    <n v="582"/>
    <x v="25"/>
    <x v="12"/>
    <x v="0"/>
    <x v="1"/>
    <x v="2"/>
    <x v="1"/>
    <x v="13"/>
    <n v="0.93"/>
    <x v="9"/>
    <n v="7"/>
    <n v="41"/>
    <x v="61"/>
  </r>
  <r>
    <n v="583"/>
    <x v="25"/>
    <x v="13"/>
    <x v="0"/>
    <x v="1"/>
    <x v="2"/>
    <x v="1"/>
    <x v="13"/>
    <n v="0.93"/>
    <x v="9"/>
    <n v="4"/>
    <n v="43"/>
    <x v="105"/>
  </r>
  <r>
    <n v="584"/>
    <x v="25"/>
    <x v="14"/>
    <x v="0"/>
    <x v="1"/>
    <x v="2"/>
    <x v="1"/>
    <x v="13"/>
    <n v="0.93"/>
    <x v="11"/>
    <n v="0"/>
    <n v="36"/>
    <x v="9"/>
  </r>
  <r>
    <n v="585"/>
    <x v="25"/>
    <x v="15"/>
    <x v="0"/>
    <x v="1"/>
    <x v="2"/>
    <x v="1"/>
    <x v="18"/>
    <n v="0.93"/>
    <x v="17"/>
    <n v="1"/>
    <n v="42"/>
    <x v="74"/>
  </r>
  <r>
    <n v="586"/>
    <x v="25"/>
    <x v="16"/>
    <x v="0"/>
    <x v="1"/>
    <x v="3"/>
    <x v="1"/>
    <x v="13"/>
    <n v="0.93"/>
    <x v="9"/>
    <n v="1"/>
    <n v="35"/>
    <x v="9"/>
  </r>
  <r>
    <n v="587"/>
    <x v="25"/>
    <x v="17"/>
    <x v="0"/>
    <x v="1"/>
    <x v="2"/>
    <x v="2"/>
    <x v="18"/>
    <n v="0.93"/>
    <x v="11"/>
    <n v="0"/>
    <n v="26"/>
    <x v="132"/>
  </r>
  <r>
    <n v="588"/>
    <x v="26"/>
    <x v="16"/>
    <x v="0"/>
    <x v="1"/>
    <x v="0"/>
    <x v="1"/>
    <x v="11"/>
    <n v="0.55000000000000004"/>
    <x v="5"/>
    <n v="1"/>
    <n v="23"/>
    <x v="108"/>
  </r>
  <r>
    <n v="589"/>
    <x v="26"/>
    <x v="17"/>
    <x v="0"/>
    <x v="1"/>
    <x v="0"/>
    <x v="1"/>
    <x v="19"/>
    <n v="0.55000000000000004"/>
    <x v="14"/>
    <n v="2"/>
    <n v="82"/>
    <x v="11"/>
  </r>
  <r>
    <n v="590"/>
    <x v="26"/>
    <x v="18"/>
    <x v="0"/>
    <x v="1"/>
    <x v="0"/>
    <x v="2"/>
    <x v="11"/>
    <n v="0.69"/>
    <x v="1"/>
    <n v="3"/>
    <n v="101"/>
    <x v="133"/>
  </r>
  <r>
    <n v="591"/>
    <x v="26"/>
    <x v="19"/>
    <x v="0"/>
    <x v="1"/>
    <x v="0"/>
    <x v="2"/>
    <x v="11"/>
    <n v="0.69"/>
    <x v="1"/>
    <n v="3"/>
    <n v="76"/>
    <x v="67"/>
  </r>
  <r>
    <n v="592"/>
    <x v="26"/>
    <x v="20"/>
    <x v="0"/>
    <x v="1"/>
    <x v="0"/>
    <x v="15"/>
    <x v="12"/>
    <n v="0.74"/>
    <x v="1"/>
    <n v="4"/>
    <n v="55"/>
    <x v="29"/>
  </r>
  <r>
    <n v="593"/>
    <x v="26"/>
    <x v="21"/>
    <x v="0"/>
    <x v="1"/>
    <x v="0"/>
    <x v="15"/>
    <x v="12"/>
    <n v="0.74"/>
    <x v="1"/>
    <n v="2"/>
    <n v="36"/>
    <x v="103"/>
  </r>
  <r>
    <n v="594"/>
    <x v="26"/>
    <x v="22"/>
    <x v="0"/>
    <x v="1"/>
    <x v="0"/>
    <x v="15"/>
    <x v="12"/>
    <n v="0.74"/>
    <x v="1"/>
    <n v="0"/>
    <n v="27"/>
    <x v="110"/>
  </r>
  <r>
    <n v="595"/>
    <x v="26"/>
    <x v="23"/>
    <x v="0"/>
    <x v="1"/>
    <x v="0"/>
    <x v="15"/>
    <x v="13"/>
    <n v="0.8"/>
    <x v="8"/>
    <n v="0"/>
    <n v="16"/>
    <x v="0"/>
  </r>
  <r>
    <n v="596"/>
    <x v="27"/>
    <x v="0"/>
    <x v="0"/>
    <x v="1"/>
    <x v="1"/>
    <x v="2"/>
    <x v="12"/>
    <n v="0.75"/>
    <x v="7"/>
    <n v="0"/>
    <n v="9"/>
    <x v="23"/>
  </r>
  <r>
    <n v="597"/>
    <x v="27"/>
    <x v="1"/>
    <x v="0"/>
    <x v="1"/>
    <x v="1"/>
    <x v="2"/>
    <x v="12"/>
    <n v="0.75"/>
    <x v="7"/>
    <n v="1"/>
    <n v="2"/>
    <x v="6"/>
  </r>
  <r>
    <n v="598"/>
    <x v="27"/>
    <x v="2"/>
    <x v="0"/>
    <x v="1"/>
    <x v="1"/>
    <x v="2"/>
    <x v="12"/>
    <n v="0.75"/>
    <x v="8"/>
    <n v="0"/>
    <n v="2"/>
    <x v="5"/>
  </r>
  <r>
    <n v="599"/>
    <x v="27"/>
    <x v="3"/>
    <x v="0"/>
    <x v="1"/>
    <x v="1"/>
    <x v="2"/>
    <x v="11"/>
    <n v="0.75"/>
    <x v="14"/>
    <n v="1"/>
    <n v="0"/>
    <x v="4"/>
  </r>
  <r>
    <n v="600"/>
    <x v="27"/>
    <x v="5"/>
    <x v="0"/>
    <x v="1"/>
    <x v="1"/>
    <x v="15"/>
    <x v="12"/>
    <n v="0.8"/>
    <x v="14"/>
    <n v="0"/>
    <n v="4"/>
    <x v="48"/>
  </r>
  <r>
    <n v="601"/>
    <x v="27"/>
    <x v="6"/>
    <x v="0"/>
    <x v="1"/>
    <x v="1"/>
    <x v="15"/>
    <x v="13"/>
    <n v="0.8"/>
    <x v="7"/>
    <n v="0"/>
    <n v="16"/>
    <x v="0"/>
  </r>
  <r>
    <n v="602"/>
    <x v="27"/>
    <x v="7"/>
    <x v="0"/>
    <x v="1"/>
    <x v="1"/>
    <x v="13"/>
    <x v="13"/>
    <n v="0.86"/>
    <x v="1"/>
    <n v="2"/>
    <n v="58"/>
    <x v="122"/>
  </r>
  <r>
    <n v="603"/>
    <x v="27"/>
    <x v="8"/>
    <x v="0"/>
    <x v="1"/>
    <x v="1"/>
    <x v="13"/>
    <x v="13"/>
    <n v="0.86"/>
    <x v="1"/>
    <n v="2"/>
    <n v="155"/>
    <x v="45"/>
  </r>
  <r>
    <n v="604"/>
    <x v="27"/>
    <x v="9"/>
    <x v="0"/>
    <x v="1"/>
    <x v="2"/>
    <x v="15"/>
    <x v="12"/>
    <n v="0.86"/>
    <x v="1"/>
    <n v="6"/>
    <n v="95"/>
    <x v="129"/>
  </r>
  <r>
    <n v="605"/>
    <x v="27"/>
    <x v="10"/>
    <x v="0"/>
    <x v="1"/>
    <x v="2"/>
    <x v="15"/>
    <x v="12"/>
    <n v="0.86"/>
    <x v="14"/>
    <n v="0"/>
    <n v="49"/>
    <x v="99"/>
  </r>
  <r>
    <n v="606"/>
    <x v="27"/>
    <x v="11"/>
    <x v="0"/>
    <x v="1"/>
    <x v="2"/>
    <x v="15"/>
    <x v="12"/>
    <n v="0.93"/>
    <x v="14"/>
    <n v="0"/>
    <n v="30"/>
    <x v="33"/>
  </r>
  <r>
    <n v="607"/>
    <x v="27"/>
    <x v="12"/>
    <x v="0"/>
    <x v="1"/>
    <x v="2"/>
    <x v="15"/>
    <x v="12"/>
    <n v="0.93"/>
    <x v="14"/>
    <n v="1"/>
    <n v="28"/>
    <x v="115"/>
  </r>
  <r>
    <n v="608"/>
    <x v="27"/>
    <x v="13"/>
    <x v="0"/>
    <x v="1"/>
    <x v="2"/>
    <x v="15"/>
    <x v="12"/>
    <n v="0.93"/>
    <x v="14"/>
    <n v="0"/>
    <n v="31"/>
    <x v="35"/>
  </r>
  <r>
    <n v="609"/>
    <x v="27"/>
    <x v="14"/>
    <x v="0"/>
    <x v="1"/>
    <x v="2"/>
    <x v="1"/>
    <x v="1"/>
    <n v="0.8"/>
    <x v="0"/>
    <n v="2"/>
    <n v="36"/>
    <x v="103"/>
  </r>
  <r>
    <n v="610"/>
    <x v="27"/>
    <x v="15"/>
    <x v="0"/>
    <x v="1"/>
    <x v="1"/>
    <x v="2"/>
    <x v="2"/>
    <n v="0.86"/>
    <x v="0"/>
    <n v="1"/>
    <n v="40"/>
    <x v="102"/>
  </r>
  <r>
    <n v="620"/>
    <x v="28"/>
    <x v="1"/>
    <x v="0"/>
    <x v="0"/>
    <x v="0"/>
    <x v="1"/>
    <x v="11"/>
    <n v="0.64"/>
    <x v="5"/>
    <n v="0"/>
    <n v="20"/>
    <x v="25"/>
  </r>
  <r>
    <n v="621"/>
    <x v="28"/>
    <x v="2"/>
    <x v="0"/>
    <x v="0"/>
    <x v="0"/>
    <x v="1"/>
    <x v="11"/>
    <n v="0.64"/>
    <x v="8"/>
    <n v="0"/>
    <n v="15"/>
    <x v="93"/>
  </r>
  <r>
    <n v="622"/>
    <x v="28"/>
    <x v="3"/>
    <x v="0"/>
    <x v="0"/>
    <x v="0"/>
    <x v="2"/>
    <x v="12"/>
    <n v="0.64"/>
    <x v="7"/>
    <n v="3"/>
    <n v="5"/>
    <x v="7"/>
  </r>
  <r>
    <n v="623"/>
    <x v="28"/>
    <x v="4"/>
    <x v="0"/>
    <x v="0"/>
    <x v="0"/>
    <x v="13"/>
    <x v="18"/>
    <n v="0.69"/>
    <x v="14"/>
    <n v="1"/>
    <n v="2"/>
    <x v="6"/>
  </r>
  <r>
    <n v="624"/>
    <x v="28"/>
    <x v="6"/>
    <x v="0"/>
    <x v="0"/>
    <x v="0"/>
    <x v="13"/>
    <x v="18"/>
    <n v="0.64"/>
    <x v="7"/>
    <n v="0"/>
    <n v="2"/>
    <x v="5"/>
  </r>
  <r>
    <n v="625"/>
    <x v="28"/>
    <x v="7"/>
    <x v="0"/>
    <x v="0"/>
    <x v="0"/>
    <x v="13"/>
    <x v="18"/>
    <n v="0.59"/>
    <x v="14"/>
    <n v="1"/>
    <n v="4"/>
    <x v="36"/>
  </r>
  <r>
    <n v="626"/>
    <x v="28"/>
    <x v="8"/>
    <x v="0"/>
    <x v="0"/>
    <x v="0"/>
    <x v="15"/>
    <x v="13"/>
    <n v="0.55000000000000004"/>
    <x v="8"/>
    <n v="3"/>
    <n v="31"/>
    <x v="19"/>
  </r>
  <r>
    <n v="627"/>
    <x v="28"/>
    <x v="9"/>
    <x v="0"/>
    <x v="0"/>
    <x v="0"/>
    <x v="15"/>
    <x v="12"/>
    <n v="0.59"/>
    <x v="1"/>
    <n v="0"/>
    <n v="34"/>
    <x v="19"/>
  </r>
  <r>
    <n v="628"/>
    <x v="28"/>
    <x v="10"/>
    <x v="0"/>
    <x v="0"/>
    <x v="1"/>
    <x v="15"/>
    <x v="12"/>
    <n v="0.64"/>
    <x v="14"/>
    <n v="4"/>
    <n v="51"/>
    <x v="97"/>
  </r>
  <r>
    <n v="629"/>
    <x v="28"/>
    <x v="11"/>
    <x v="0"/>
    <x v="0"/>
    <x v="1"/>
    <x v="15"/>
    <x v="13"/>
    <n v="0.64"/>
    <x v="7"/>
    <n v="4"/>
    <n v="60"/>
    <x v="37"/>
  </r>
  <r>
    <n v="630"/>
    <x v="28"/>
    <x v="12"/>
    <x v="0"/>
    <x v="0"/>
    <x v="1"/>
    <x v="2"/>
    <x v="13"/>
    <n v="0.59"/>
    <x v="5"/>
    <n v="12"/>
    <n v="66"/>
    <x v="53"/>
  </r>
  <r>
    <n v="631"/>
    <x v="28"/>
    <x v="13"/>
    <x v="0"/>
    <x v="0"/>
    <x v="1"/>
    <x v="1"/>
    <x v="11"/>
    <n v="0.55000000000000004"/>
    <x v="8"/>
    <n v="9"/>
    <n v="56"/>
    <x v="32"/>
  </r>
  <r>
    <n v="632"/>
    <x v="28"/>
    <x v="14"/>
    <x v="0"/>
    <x v="0"/>
    <x v="1"/>
    <x v="1"/>
    <x v="11"/>
    <n v="0.6"/>
    <x v="7"/>
    <n v="10"/>
    <n v="89"/>
    <x v="111"/>
  </r>
  <r>
    <n v="633"/>
    <x v="28"/>
    <x v="15"/>
    <x v="0"/>
    <x v="0"/>
    <x v="0"/>
    <x v="1"/>
    <x v="12"/>
    <n v="0.69"/>
    <x v="2"/>
    <n v="22"/>
    <n v="98"/>
    <x v="151"/>
  </r>
  <r>
    <n v="634"/>
    <x v="28"/>
    <x v="16"/>
    <x v="0"/>
    <x v="0"/>
    <x v="0"/>
    <x v="0"/>
    <x v="19"/>
    <n v="0.6"/>
    <x v="8"/>
    <n v="19"/>
    <n v="88"/>
    <x v="165"/>
  </r>
  <r>
    <n v="635"/>
    <x v="28"/>
    <x v="17"/>
    <x v="0"/>
    <x v="0"/>
    <x v="0"/>
    <x v="0"/>
    <x v="0"/>
    <n v="0.6"/>
    <x v="0"/>
    <n v="9"/>
    <n v="82"/>
    <x v="134"/>
  </r>
  <r>
    <n v="636"/>
    <x v="28"/>
    <x v="18"/>
    <x v="0"/>
    <x v="0"/>
    <x v="0"/>
    <x v="1"/>
    <x v="11"/>
    <n v="0.69"/>
    <x v="7"/>
    <n v="9"/>
    <n v="59"/>
    <x v="118"/>
  </r>
  <r>
    <n v="637"/>
    <x v="28"/>
    <x v="19"/>
    <x v="0"/>
    <x v="0"/>
    <x v="1"/>
    <x v="1"/>
    <x v="12"/>
    <n v="0.69"/>
    <x v="2"/>
    <n v="6"/>
    <n v="52"/>
    <x v="154"/>
  </r>
  <r>
    <n v="638"/>
    <x v="28"/>
    <x v="20"/>
    <x v="0"/>
    <x v="0"/>
    <x v="0"/>
    <x v="15"/>
    <x v="12"/>
    <n v="0.74"/>
    <x v="1"/>
    <n v="1"/>
    <n v="42"/>
    <x v="74"/>
  </r>
  <r>
    <n v="639"/>
    <x v="28"/>
    <x v="21"/>
    <x v="0"/>
    <x v="0"/>
    <x v="0"/>
    <x v="15"/>
    <x v="12"/>
    <n v="0.74"/>
    <x v="1"/>
    <n v="1"/>
    <n v="35"/>
    <x v="9"/>
  </r>
  <r>
    <n v="640"/>
    <x v="28"/>
    <x v="22"/>
    <x v="0"/>
    <x v="0"/>
    <x v="0"/>
    <x v="13"/>
    <x v="13"/>
    <n v="0.8"/>
    <x v="1"/>
    <n v="4"/>
    <n v="28"/>
    <x v="2"/>
  </r>
  <r>
    <n v="641"/>
    <x v="28"/>
    <x v="23"/>
    <x v="0"/>
    <x v="0"/>
    <x v="0"/>
    <x v="13"/>
    <x v="13"/>
    <n v="0.8"/>
    <x v="1"/>
    <n v="3"/>
    <n v="30"/>
    <x v="63"/>
  </r>
  <r>
    <n v="642"/>
    <x v="29"/>
    <x v="0"/>
    <x v="0"/>
    <x v="0"/>
    <x v="0"/>
    <x v="13"/>
    <x v="18"/>
    <n v="0.8"/>
    <x v="14"/>
    <n v="0"/>
    <n v="33"/>
    <x v="63"/>
  </r>
  <r>
    <n v="643"/>
    <x v="29"/>
    <x v="1"/>
    <x v="0"/>
    <x v="0"/>
    <x v="0"/>
    <x v="14"/>
    <x v="12"/>
    <n v="0.8"/>
    <x v="0"/>
    <n v="7"/>
    <n v="22"/>
    <x v="115"/>
  </r>
  <r>
    <n v="644"/>
    <x v="29"/>
    <x v="2"/>
    <x v="0"/>
    <x v="0"/>
    <x v="0"/>
    <x v="13"/>
    <x v="11"/>
    <n v="0.8"/>
    <x v="0"/>
    <n v="1"/>
    <n v="10"/>
    <x v="62"/>
  </r>
  <r>
    <n v="645"/>
    <x v="29"/>
    <x v="3"/>
    <x v="0"/>
    <x v="0"/>
    <x v="0"/>
    <x v="14"/>
    <x v="12"/>
    <n v="0.93"/>
    <x v="0"/>
    <n v="1"/>
    <n v="7"/>
    <x v="7"/>
  </r>
  <r>
    <n v="646"/>
    <x v="29"/>
    <x v="4"/>
    <x v="0"/>
    <x v="0"/>
    <x v="0"/>
    <x v="14"/>
    <x v="12"/>
    <n v="0.93"/>
    <x v="0"/>
    <n v="0"/>
    <n v="1"/>
    <x v="4"/>
  </r>
  <r>
    <n v="647"/>
    <x v="29"/>
    <x v="5"/>
    <x v="0"/>
    <x v="0"/>
    <x v="0"/>
    <x v="14"/>
    <x v="12"/>
    <n v="0.86"/>
    <x v="0"/>
    <n v="0"/>
    <n v="3"/>
    <x v="6"/>
  </r>
  <r>
    <n v="648"/>
    <x v="29"/>
    <x v="7"/>
    <x v="0"/>
    <x v="0"/>
    <x v="0"/>
    <x v="14"/>
    <x v="12"/>
    <n v="0.86"/>
    <x v="0"/>
    <n v="0"/>
    <n v="3"/>
    <x v="6"/>
  </r>
  <r>
    <n v="649"/>
    <x v="29"/>
    <x v="8"/>
    <x v="0"/>
    <x v="0"/>
    <x v="1"/>
    <x v="14"/>
    <x v="12"/>
    <n v="0.86"/>
    <x v="0"/>
    <n v="1"/>
    <n v="11"/>
    <x v="47"/>
  </r>
  <r>
    <n v="650"/>
    <x v="29"/>
    <x v="9"/>
    <x v="0"/>
    <x v="0"/>
    <x v="1"/>
    <x v="13"/>
    <x v="11"/>
    <n v="0.8"/>
    <x v="0"/>
    <n v="4"/>
    <n v="34"/>
    <x v="103"/>
  </r>
  <r>
    <n v="651"/>
    <x v="29"/>
    <x v="10"/>
    <x v="0"/>
    <x v="0"/>
    <x v="1"/>
    <x v="15"/>
    <x v="19"/>
    <n v="0.8"/>
    <x v="0"/>
    <n v="7"/>
    <n v="57"/>
    <x v="37"/>
  </r>
  <r>
    <n v="652"/>
    <x v="29"/>
    <x v="11"/>
    <x v="0"/>
    <x v="0"/>
    <x v="0"/>
    <x v="1"/>
    <x v="1"/>
    <n v="0.75"/>
    <x v="0"/>
    <n v="9"/>
    <n v="50"/>
    <x v="29"/>
  </r>
  <r>
    <n v="653"/>
    <x v="29"/>
    <x v="12"/>
    <x v="0"/>
    <x v="0"/>
    <x v="0"/>
    <x v="11"/>
    <x v="21"/>
    <n v="0.52"/>
    <x v="14"/>
    <n v="10"/>
    <n v="87"/>
    <x v="54"/>
  </r>
  <r>
    <n v="654"/>
    <x v="29"/>
    <x v="13"/>
    <x v="0"/>
    <x v="0"/>
    <x v="0"/>
    <x v="17"/>
    <x v="0"/>
    <n v="0.61"/>
    <x v="14"/>
    <n v="13"/>
    <n v="71"/>
    <x v="11"/>
  </r>
  <r>
    <n v="655"/>
    <x v="29"/>
    <x v="14"/>
    <x v="0"/>
    <x v="0"/>
    <x v="0"/>
    <x v="17"/>
    <x v="25"/>
    <n v="0.61"/>
    <x v="1"/>
    <n v="18"/>
    <n v="104"/>
    <x v="78"/>
  </r>
  <r>
    <n v="656"/>
    <x v="29"/>
    <x v="15"/>
    <x v="0"/>
    <x v="0"/>
    <x v="0"/>
    <x v="11"/>
    <x v="6"/>
    <n v="0.56000000000000005"/>
    <x v="0"/>
    <n v="14"/>
    <n v="95"/>
    <x v="142"/>
  </r>
  <r>
    <n v="657"/>
    <x v="29"/>
    <x v="16"/>
    <x v="0"/>
    <x v="0"/>
    <x v="0"/>
    <x v="11"/>
    <x v="6"/>
    <n v="0.56000000000000005"/>
    <x v="0"/>
    <n v="19"/>
    <n v="104"/>
    <x v="92"/>
  </r>
  <r>
    <n v="658"/>
    <x v="29"/>
    <x v="17"/>
    <x v="0"/>
    <x v="0"/>
    <x v="0"/>
    <x v="11"/>
    <x v="0"/>
    <n v="0.56000000000000005"/>
    <x v="5"/>
    <n v="6"/>
    <n v="71"/>
    <x v="43"/>
  </r>
  <r>
    <n v="659"/>
    <x v="29"/>
    <x v="18"/>
    <x v="0"/>
    <x v="0"/>
    <x v="0"/>
    <x v="12"/>
    <x v="2"/>
    <n v="0.65"/>
    <x v="8"/>
    <n v="8"/>
    <n v="57"/>
    <x v="32"/>
  </r>
  <r>
    <n v="660"/>
    <x v="29"/>
    <x v="19"/>
    <x v="0"/>
    <x v="0"/>
    <x v="0"/>
    <x v="12"/>
    <x v="2"/>
    <n v="0.65"/>
    <x v="5"/>
    <n v="9"/>
    <n v="46"/>
    <x v="97"/>
  </r>
  <r>
    <n v="661"/>
    <x v="29"/>
    <x v="20"/>
    <x v="0"/>
    <x v="0"/>
    <x v="1"/>
    <x v="12"/>
    <x v="1"/>
    <n v="0.65"/>
    <x v="14"/>
    <n v="3"/>
    <n v="30"/>
    <x v="63"/>
  </r>
  <r>
    <n v="662"/>
    <x v="29"/>
    <x v="21"/>
    <x v="0"/>
    <x v="0"/>
    <x v="1"/>
    <x v="0"/>
    <x v="19"/>
    <n v="0.7"/>
    <x v="8"/>
    <n v="3"/>
    <n v="25"/>
    <x v="20"/>
  </r>
  <r>
    <n v="663"/>
    <x v="29"/>
    <x v="22"/>
    <x v="0"/>
    <x v="0"/>
    <x v="1"/>
    <x v="0"/>
    <x v="11"/>
    <n v="0.7"/>
    <x v="5"/>
    <n v="2"/>
    <n v="19"/>
    <x v="137"/>
  </r>
  <r>
    <n v="664"/>
    <x v="29"/>
    <x v="23"/>
    <x v="0"/>
    <x v="0"/>
    <x v="1"/>
    <x v="0"/>
    <x v="12"/>
    <n v="0.65"/>
    <x v="3"/>
    <n v="5"/>
    <n v="16"/>
    <x v="137"/>
  </r>
  <r>
    <n v="665"/>
    <x v="30"/>
    <x v="0"/>
    <x v="0"/>
    <x v="1"/>
    <x v="1"/>
    <x v="0"/>
    <x v="11"/>
    <n v="0.65"/>
    <x v="6"/>
    <n v="1"/>
    <n v="6"/>
    <x v="85"/>
  </r>
  <r>
    <n v="666"/>
    <x v="30"/>
    <x v="1"/>
    <x v="0"/>
    <x v="1"/>
    <x v="0"/>
    <x v="1"/>
    <x v="12"/>
    <n v="0.64"/>
    <x v="2"/>
    <n v="2"/>
    <n v="5"/>
    <x v="85"/>
  </r>
  <r>
    <n v="667"/>
    <x v="30"/>
    <x v="2"/>
    <x v="0"/>
    <x v="1"/>
    <x v="0"/>
    <x v="1"/>
    <x v="11"/>
    <n v="0.64"/>
    <x v="5"/>
    <n v="0"/>
    <n v="1"/>
    <x v="4"/>
  </r>
  <r>
    <n v="668"/>
    <x v="30"/>
    <x v="3"/>
    <x v="0"/>
    <x v="1"/>
    <x v="0"/>
    <x v="1"/>
    <x v="11"/>
    <n v="0.64"/>
    <x v="5"/>
    <n v="0"/>
    <n v="2"/>
    <x v="5"/>
  </r>
  <r>
    <n v="669"/>
    <x v="30"/>
    <x v="4"/>
    <x v="0"/>
    <x v="1"/>
    <x v="0"/>
    <x v="2"/>
    <x v="13"/>
    <n v="0.59"/>
    <x v="6"/>
    <n v="0"/>
    <n v="2"/>
    <x v="5"/>
  </r>
  <r>
    <n v="670"/>
    <x v="30"/>
    <x v="5"/>
    <x v="0"/>
    <x v="1"/>
    <x v="0"/>
    <x v="15"/>
    <x v="17"/>
    <n v="0.64"/>
    <x v="3"/>
    <n v="0"/>
    <n v="8"/>
    <x v="7"/>
  </r>
  <r>
    <n v="671"/>
    <x v="30"/>
    <x v="6"/>
    <x v="0"/>
    <x v="1"/>
    <x v="0"/>
    <x v="13"/>
    <x v="14"/>
    <n v="0.69"/>
    <x v="9"/>
    <n v="0"/>
    <n v="37"/>
    <x v="18"/>
  </r>
  <r>
    <n v="672"/>
    <x v="30"/>
    <x v="7"/>
    <x v="0"/>
    <x v="1"/>
    <x v="1"/>
    <x v="13"/>
    <x v="14"/>
    <n v="0.64"/>
    <x v="3"/>
    <n v="1"/>
    <n v="71"/>
    <x v="44"/>
  </r>
  <r>
    <n v="673"/>
    <x v="30"/>
    <x v="8"/>
    <x v="0"/>
    <x v="1"/>
    <x v="1"/>
    <x v="13"/>
    <x v="14"/>
    <n v="0.59"/>
    <x v="3"/>
    <n v="3"/>
    <n v="182"/>
    <x v="147"/>
  </r>
  <r>
    <n v="674"/>
    <x v="30"/>
    <x v="9"/>
    <x v="0"/>
    <x v="1"/>
    <x v="1"/>
    <x v="13"/>
    <x v="14"/>
    <n v="0.59"/>
    <x v="4"/>
    <n v="0"/>
    <n v="112"/>
    <x v="59"/>
  </r>
  <r>
    <n v="675"/>
    <x v="30"/>
    <x v="10"/>
    <x v="0"/>
    <x v="1"/>
    <x v="1"/>
    <x v="13"/>
    <x v="20"/>
    <n v="0.59"/>
    <x v="5"/>
    <n v="1"/>
    <n v="68"/>
    <x v="83"/>
  </r>
  <r>
    <n v="676"/>
    <x v="30"/>
    <x v="11"/>
    <x v="0"/>
    <x v="1"/>
    <x v="1"/>
    <x v="13"/>
    <x v="20"/>
    <n v="0.59"/>
    <x v="5"/>
    <n v="2"/>
    <n v="46"/>
    <x v="61"/>
  </r>
  <r>
    <n v="677"/>
    <x v="30"/>
    <x v="12"/>
    <x v="0"/>
    <x v="1"/>
    <x v="1"/>
    <x v="15"/>
    <x v="12"/>
    <n v="0.55000000000000004"/>
    <x v="14"/>
    <n v="6"/>
    <n v="62"/>
    <x v="118"/>
  </r>
  <r>
    <n v="678"/>
    <x v="30"/>
    <x v="13"/>
    <x v="0"/>
    <x v="1"/>
    <x v="1"/>
    <x v="13"/>
    <x v="11"/>
    <n v="0.59"/>
    <x v="0"/>
    <n v="2"/>
    <n v="52"/>
    <x v="60"/>
  </r>
  <r>
    <n v="679"/>
    <x v="30"/>
    <x v="14"/>
    <x v="0"/>
    <x v="1"/>
    <x v="1"/>
    <x v="15"/>
    <x v="13"/>
    <n v="0.55000000000000004"/>
    <x v="7"/>
    <n v="1"/>
    <n v="85"/>
    <x v="80"/>
  </r>
  <r>
    <n v="680"/>
    <x v="30"/>
    <x v="15"/>
    <x v="0"/>
    <x v="1"/>
    <x v="1"/>
    <x v="13"/>
    <x v="18"/>
    <n v="0.59"/>
    <x v="7"/>
    <n v="3"/>
    <n v="41"/>
    <x v="40"/>
  </r>
  <r>
    <n v="681"/>
    <x v="30"/>
    <x v="16"/>
    <x v="0"/>
    <x v="1"/>
    <x v="1"/>
    <x v="13"/>
    <x v="18"/>
    <n v="0.56000000000000005"/>
    <x v="5"/>
    <n v="3"/>
    <n v="83"/>
    <x v="80"/>
  </r>
  <r>
    <n v="682"/>
    <x v="30"/>
    <x v="17"/>
    <x v="0"/>
    <x v="1"/>
    <x v="1"/>
    <x v="13"/>
    <x v="20"/>
    <n v="0.59"/>
    <x v="5"/>
    <n v="6"/>
    <n v="155"/>
    <x v="143"/>
  </r>
  <r>
    <n v="683"/>
    <x v="30"/>
    <x v="18"/>
    <x v="0"/>
    <x v="1"/>
    <x v="1"/>
    <x v="13"/>
    <x v="20"/>
    <n v="0.55000000000000004"/>
    <x v="6"/>
    <n v="3"/>
    <n v="153"/>
    <x v="166"/>
  </r>
  <r>
    <n v="684"/>
    <x v="30"/>
    <x v="19"/>
    <x v="0"/>
    <x v="1"/>
    <x v="0"/>
    <x v="11"/>
    <x v="21"/>
    <n v="0.61"/>
    <x v="14"/>
    <n v="3"/>
    <n v="108"/>
    <x v="167"/>
  </r>
  <r>
    <n v="685"/>
    <x v="30"/>
    <x v="20"/>
    <x v="0"/>
    <x v="1"/>
    <x v="2"/>
    <x v="13"/>
    <x v="17"/>
    <n v="0.59"/>
    <x v="8"/>
    <n v="0"/>
    <n v="78"/>
    <x v="53"/>
  </r>
  <r>
    <n v="686"/>
    <x v="30"/>
    <x v="21"/>
    <x v="0"/>
    <x v="1"/>
    <x v="2"/>
    <x v="13"/>
    <x v="13"/>
    <n v="0.59"/>
    <x v="1"/>
    <n v="3"/>
    <n v="53"/>
    <x v="10"/>
  </r>
  <r>
    <n v="687"/>
    <x v="30"/>
    <x v="22"/>
    <x v="0"/>
    <x v="1"/>
    <x v="1"/>
    <x v="13"/>
    <x v="18"/>
    <n v="0.59"/>
    <x v="14"/>
    <n v="0"/>
    <n v="34"/>
    <x v="19"/>
  </r>
  <r>
    <n v="688"/>
    <x v="30"/>
    <x v="23"/>
    <x v="0"/>
    <x v="1"/>
    <x v="1"/>
    <x v="13"/>
    <x v="13"/>
    <n v="0.64"/>
    <x v="1"/>
    <n v="2"/>
    <n v="15"/>
    <x v="22"/>
  </r>
  <r>
    <n v="689"/>
    <x v="31"/>
    <x v="0"/>
    <x v="0"/>
    <x v="1"/>
    <x v="1"/>
    <x v="13"/>
    <x v="18"/>
    <n v="0.64"/>
    <x v="14"/>
    <n v="2"/>
    <n v="6"/>
    <x v="7"/>
  </r>
  <r>
    <n v="690"/>
    <x v="31"/>
    <x v="1"/>
    <x v="0"/>
    <x v="1"/>
    <x v="1"/>
    <x v="13"/>
    <x v="18"/>
    <n v="0.69"/>
    <x v="14"/>
    <n v="0"/>
    <n v="3"/>
    <x v="6"/>
  </r>
  <r>
    <n v="691"/>
    <x v="31"/>
    <x v="2"/>
    <x v="0"/>
    <x v="1"/>
    <x v="1"/>
    <x v="13"/>
    <x v="11"/>
    <n v="0.69"/>
    <x v="0"/>
    <n v="0"/>
    <n v="2"/>
    <x v="5"/>
  </r>
  <r>
    <n v="692"/>
    <x v="31"/>
    <x v="3"/>
    <x v="0"/>
    <x v="1"/>
    <x v="1"/>
    <x v="13"/>
    <x v="11"/>
    <n v="0.69"/>
    <x v="0"/>
    <n v="0"/>
    <n v="2"/>
    <x v="5"/>
  </r>
  <r>
    <n v="693"/>
    <x v="31"/>
    <x v="5"/>
    <x v="0"/>
    <x v="1"/>
    <x v="2"/>
    <x v="14"/>
    <x v="12"/>
    <n v="0.93"/>
    <x v="0"/>
    <n v="0"/>
    <n v="3"/>
    <x v="6"/>
  </r>
  <r>
    <n v="694"/>
    <x v="31"/>
    <x v="6"/>
    <x v="0"/>
    <x v="1"/>
    <x v="2"/>
    <x v="14"/>
    <x v="12"/>
    <n v="0.93"/>
    <x v="0"/>
    <n v="0"/>
    <n v="22"/>
    <x v="34"/>
  </r>
  <r>
    <n v="695"/>
    <x v="31"/>
    <x v="7"/>
    <x v="0"/>
    <x v="1"/>
    <x v="2"/>
    <x v="13"/>
    <x v="11"/>
    <n v="0.93"/>
    <x v="0"/>
    <n v="0"/>
    <n v="52"/>
    <x v="46"/>
  </r>
  <r>
    <n v="696"/>
    <x v="31"/>
    <x v="8"/>
    <x v="0"/>
    <x v="1"/>
    <x v="2"/>
    <x v="13"/>
    <x v="11"/>
    <n v="0.93"/>
    <x v="0"/>
    <n v="3"/>
    <n v="132"/>
    <x v="168"/>
  </r>
  <r>
    <n v="697"/>
    <x v="31"/>
    <x v="9"/>
    <x v="0"/>
    <x v="1"/>
    <x v="1"/>
    <x v="13"/>
    <x v="11"/>
    <n v="0.93"/>
    <x v="0"/>
    <n v="2"/>
    <n v="114"/>
    <x v="155"/>
  </r>
  <r>
    <n v="698"/>
    <x v="31"/>
    <x v="10"/>
    <x v="0"/>
    <x v="1"/>
    <x v="1"/>
    <x v="13"/>
    <x v="11"/>
    <n v="0.93"/>
    <x v="0"/>
    <n v="0"/>
    <n v="47"/>
    <x v="105"/>
  </r>
  <r>
    <n v="699"/>
    <x v="31"/>
    <x v="11"/>
    <x v="0"/>
    <x v="1"/>
    <x v="1"/>
    <x v="15"/>
    <x v="19"/>
    <n v="0.86"/>
    <x v="0"/>
    <n v="2"/>
    <n v="49"/>
    <x v="41"/>
  </r>
  <r>
    <n v="700"/>
    <x v="31"/>
    <x v="12"/>
    <x v="0"/>
    <x v="1"/>
    <x v="1"/>
    <x v="2"/>
    <x v="2"/>
    <n v="0.86"/>
    <x v="0"/>
    <n v="2"/>
    <n v="53"/>
    <x v="97"/>
  </r>
  <r>
    <n v="701"/>
    <x v="31"/>
    <x v="13"/>
    <x v="0"/>
    <x v="1"/>
    <x v="1"/>
    <x v="2"/>
    <x v="2"/>
    <n v="0.86"/>
    <x v="0"/>
    <n v="3"/>
    <n v="49"/>
    <x v="46"/>
  </r>
  <r>
    <n v="702"/>
    <x v="31"/>
    <x v="14"/>
    <x v="0"/>
    <x v="1"/>
    <x v="1"/>
    <x v="1"/>
    <x v="2"/>
    <n v="0.8"/>
    <x v="1"/>
    <n v="5"/>
    <n v="49"/>
    <x v="60"/>
  </r>
  <r>
    <n v="703"/>
    <x v="31"/>
    <x v="15"/>
    <x v="0"/>
    <x v="1"/>
    <x v="1"/>
    <x v="0"/>
    <x v="0"/>
    <n v="0.75"/>
    <x v="0"/>
    <n v="7"/>
    <n v="45"/>
    <x v="46"/>
  </r>
  <r>
    <n v="704"/>
    <x v="31"/>
    <x v="16"/>
    <x v="0"/>
    <x v="1"/>
    <x v="1"/>
    <x v="0"/>
    <x v="19"/>
    <n v="0.75"/>
    <x v="7"/>
    <n v="3"/>
    <n v="61"/>
    <x v="37"/>
  </r>
  <r>
    <n v="705"/>
    <x v="31"/>
    <x v="17"/>
    <x v="0"/>
    <x v="1"/>
    <x v="1"/>
    <x v="0"/>
    <x v="0"/>
    <n v="0.75"/>
    <x v="0"/>
    <n v="4"/>
    <n v="172"/>
    <x v="169"/>
  </r>
  <r>
    <n v="706"/>
    <x v="31"/>
    <x v="18"/>
    <x v="0"/>
    <x v="1"/>
    <x v="1"/>
    <x v="0"/>
    <x v="2"/>
    <n v="0.81"/>
    <x v="14"/>
    <n v="3"/>
    <n v="165"/>
    <x v="170"/>
  </r>
  <r>
    <n v="707"/>
    <x v="31"/>
    <x v="19"/>
    <x v="0"/>
    <x v="1"/>
    <x v="1"/>
    <x v="0"/>
    <x v="19"/>
    <n v="0.81"/>
    <x v="7"/>
    <n v="3"/>
    <n v="105"/>
    <x v="159"/>
  </r>
  <r>
    <n v="708"/>
    <x v="31"/>
    <x v="20"/>
    <x v="0"/>
    <x v="1"/>
    <x v="1"/>
    <x v="1"/>
    <x v="11"/>
    <n v="0.87"/>
    <x v="7"/>
    <n v="5"/>
    <n v="69"/>
    <x v="30"/>
  </r>
  <r>
    <n v="709"/>
    <x v="31"/>
    <x v="21"/>
    <x v="0"/>
    <x v="1"/>
    <x v="1"/>
    <x v="1"/>
    <x v="11"/>
    <n v="0.87"/>
    <x v="7"/>
    <n v="0"/>
    <n v="64"/>
    <x v="37"/>
  </r>
  <r>
    <n v="710"/>
    <x v="31"/>
    <x v="22"/>
    <x v="0"/>
    <x v="1"/>
    <x v="1"/>
    <x v="1"/>
    <x v="2"/>
    <n v="0.87"/>
    <x v="1"/>
    <n v="2"/>
    <n v="34"/>
    <x v="9"/>
  </r>
  <r>
    <n v="711"/>
    <x v="31"/>
    <x v="23"/>
    <x v="0"/>
    <x v="1"/>
    <x v="2"/>
    <x v="2"/>
    <x v="13"/>
    <n v="0.93"/>
    <x v="5"/>
    <n v="1"/>
    <n v="15"/>
    <x v="0"/>
  </r>
  <r>
    <n v="712"/>
    <x v="32"/>
    <x v="0"/>
    <x v="0"/>
    <x v="1"/>
    <x v="2"/>
    <x v="1"/>
    <x v="19"/>
    <n v="0.93"/>
    <x v="14"/>
    <n v="0"/>
    <n v="2"/>
    <x v="5"/>
  </r>
  <r>
    <n v="713"/>
    <x v="32"/>
    <x v="1"/>
    <x v="0"/>
    <x v="1"/>
    <x v="2"/>
    <x v="1"/>
    <x v="11"/>
    <n v="0.93"/>
    <x v="5"/>
    <n v="0"/>
    <n v="3"/>
    <x v="6"/>
  </r>
  <r>
    <n v="714"/>
    <x v="32"/>
    <x v="2"/>
    <x v="0"/>
    <x v="1"/>
    <x v="2"/>
    <x v="1"/>
    <x v="11"/>
    <n v="0.93"/>
    <x v="7"/>
    <n v="4"/>
    <n v="0"/>
    <x v="48"/>
  </r>
  <r>
    <n v="715"/>
    <x v="32"/>
    <x v="3"/>
    <x v="0"/>
    <x v="1"/>
    <x v="2"/>
    <x v="1"/>
    <x v="11"/>
    <n v="0.93"/>
    <x v="7"/>
    <n v="0"/>
    <n v="1"/>
    <x v="4"/>
  </r>
  <r>
    <n v="716"/>
    <x v="32"/>
    <x v="4"/>
    <x v="0"/>
    <x v="1"/>
    <x v="2"/>
    <x v="1"/>
    <x v="12"/>
    <n v="0.93"/>
    <x v="3"/>
    <n v="0"/>
    <n v="1"/>
    <x v="4"/>
  </r>
  <r>
    <n v="717"/>
    <x v="32"/>
    <x v="5"/>
    <x v="0"/>
    <x v="1"/>
    <x v="2"/>
    <x v="1"/>
    <x v="19"/>
    <n v="0.93"/>
    <x v="14"/>
    <n v="0"/>
    <n v="3"/>
    <x v="6"/>
  </r>
  <r>
    <n v="718"/>
    <x v="32"/>
    <x v="6"/>
    <x v="0"/>
    <x v="1"/>
    <x v="2"/>
    <x v="1"/>
    <x v="19"/>
    <n v="0.93"/>
    <x v="14"/>
    <n v="1"/>
    <n v="17"/>
    <x v="109"/>
  </r>
  <r>
    <n v="719"/>
    <x v="32"/>
    <x v="7"/>
    <x v="0"/>
    <x v="1"/>
    <x v="2"/>
    <x v="1"/>
    <x v="12"/>
    <n v="0.93"/>
    <x v="6"/>
    <n v="1"/>
    <n v="48"/>
    <x v="99"/>
  </r>
  <r>
    <n v="720"/>
    <x v="32"/>
    <x v="8"/>
    <x v="0"/>
    <x v="1"/>
    <x v="2"/>
    <x v="1"/>
    <x v="12"/>
    <n v="0.93"/>
    <x v="6"/>
    <n v="1"/>
    <n v="154"/>
    <x v="107"/>
  </r>
  <r>
    <n v="721"/>
    <x v="32"/>
    <x v="9"/>
    <x v="0"/>
    <x v="1"/>
    <x v="1"/>
    <x v="0"/>
    <x v="2"/>
    <n v="0.93"/>
    <x v="1"/>
    <n v="4"/>
    <n v="119"/>
    <x v="92"/>
  </r>
  <r>
    <n v="722"/>
    <x v="32"/>
    <x v="10"/>
    <x v="0"/>
    <x v="1"/>
    <x v="1"/>
    <x v="1"/>
    <x v="1"/>
    <n v="1"/>
    <x v="0"/>
    <n v="2"/>
    <n v="59"/>
    <x v="42"/>
  </r>
  <r>
    <n v="723"/>
    <x v="32"/>
    <x v="11"/>
    <x v="0"/>
    <x v="1"/>
    <x v="1"/>
    <x v="0"/>
    <x v="11"/>
    <n v="0.93"/>
    <x v="5"/>
    <n v="5"/>
    <n v="47"/>
    <x v="46"/>
  </r>
  <r>
    <n v="724"/>
    <x v="32"/>
    <x v="12"/>
    <x v="0"/>
    <x v="1"/>
    <x v="1"/>
    <x v="0"/>
    <x v="11"/>
    <n v="0.93"/>
    <x v="6"/>
    <n v="3"/>
    <n v="61"/>
    <x v="37"/>
  </r>
  <r>
    <n v="725"/>
    <x v="32"/>
    <x v="13"/>
    <x v="0"/>
    <x v="1"/>
    <x v="0"/>
    <x v="10"/>
    <x v="6"/>
    <n v="0.93"/>
    <x v="8"/>
    <n v="1"/>
    <n v="74"/>
    <x v="28"/>
  </r>
  <r>
    <n v="726"/>
    <x v="32"/>
    <x v="14"/>
    <x v="0"/>
    <x v="1"/>
    <x v="0"/>
    <x v="4"/>
    <x v="5"/>
    <n v="0.82"/>
    <x v="13"/>
    <n v="2"/>
    <n v="61"/>
    <x v="55"/>
  </r>
  <r>
    <n v="727"/>
    <x v="32"/>
    <x v="15"/>
    <x v="0"/>
    <x v="1"/>
    <x v="0"/>
    <x v="4"/>
    <x v="5"/>
    <n v="0.76"/>
    <x v="9"/>
    <n v="10"/>
    <n v="66"/>
    <x v="31"/>
  </r>
  <r>
    <n v="728"/>
    <x v="32"/>
    <x v="16"/>
    <x v="0"/>
    <x v="1"/>
    <x v="0"/>
    <x v="5"/>
    <x v="6"/>
    <n v="0.71"/>
    <x v="4"/>
    <n v="8"/>
    <n v="95"/>
    <x v="153"/>
  </r>
  <r>
    <n v="729"/>
    <x v="32"/>
    <x v="17"/>
    <x v="0"/>
    <x v="1"/>
    <x v="0"/>
    <x v="5"/>
    <x v="21"/>
    <n v="0.53"/>
    <x v="18"/>
    <n v="7"/>
    <n v="183"/>
    <x v="71"/>
  </r>
  <r>
    <n v="730"/>
    <x v="32"/>
    <x v="18"/>
    <x v="0"/>
    <x v="1"/>
    <x v="0"/>
    <x v="10"/>
    <x v="0"/>
    <n v="0.42"/>
    <x v="16"/>
    <n v="7"/>
    <n v="175"/>
    <x v="58"/>
  </r>
  <r>
    <n v="731"/>
    <x v="32"/>
    <x v="19"/>
    <x v="0"/>
    <x v="1"/>
    <x v="0"/>
    <x v="17"/>
    <x v="19"/>
    <n v="0.45"/>
    <x v="15"/>
    <n v="3"/>
    <n v="88"/>
    <x v="134"/>
  </r>
  <r>
    <n v="732"/>
    <x v="32"/>
    <x v="20"/>
    <x v="0"/>
    <x v="1"/>
    <x v="0"/>
    <x v="0"/>
    <x v="13"/>
    <n v="0.48"/>
    <x v="16"/>
    <n v="4"/>
    <n v="71"/>
    <x v="28"/>
  </r>
  <r>
    <n v="733"/>
    <x v="32"/>
    <x v="21"/>
    <x v="0"/>
    <x v="1"/>
    <x v="0"/>
    <x v="1"/>
    <x v="13"/>
    <n v="0.47"/>
    <x v="9"/>
    <n v="1"/>
    <n v="62"/>
    <x v="55"/>
  </r>
  <r>
    <n v="734"/>
    <x v="32"/>
    <x v="22"/>
    <x v="0"/>
    <x v="1"/>
    <x v="0"/>
    <x v="1"/>
    <x v="12"/>
    <n v="0.44"/>
    <x v="2"/>
    <n v="5"/>
    <n v="35"/>
    <x v="1"/>
  </r>
  <r>
    <n v="735"/>
    <x v="32"/>
    <x v="23"/>
    <x v="0"/>
    <x v="1"/>
    <x v="0"/>
    <x v="2"/>
    <x v="17"/>
    <n v="0.44"/>
    <x v="10"/>
    <n v="3"/>
    <n v="29"/>
    <x v="2"/>
  </r>
  <r>
    <n v="736"/>
    <x v="33"/>
    <x v="0"/>
    <x v="0"/>
    <x v="1"/>
    <x v="0"/>
    <x v="2"/>
    <x v="17"/>
    <n v="0.4"/>
    <x v="10"/>
    <n v="1"/>
    <n v="11"/>
    <x v="47"/>
  </r>
  <r>
    <n v="737"/>
    <x v="33"/>
    <x v="1"/>
    <x v="0"/>
    <x v="1"/>
    <x v="0"/>
    <x v="2"/>
    <x v="20"/>
    <n v="0.44"/>
    <x v="18"/>
    <n v="0"/>
    <n v="5"/>
    <x v="36"/>
  </r>
  <r>
    <n v="738"/>
    <x v="33"/>
    <x v="2"/>
    <x v="0"/>
    <x v="1"/>
    <x v="0"/>
    <x v="15"/>
    <x v="17"/>
    <n v="0.43"/>
    <x v="2"/>
    <n v="0"/>
    <n v="2"/>
    <x v="5"/>
  </r>
  <r>
    <n v="739"/>
    <x v="33"/>
    <x v="3"/>
    <x v="0"/>
    <x v="1"/>
    <x v="0"/>
    <x v="15"/>
    <x v="17"/>
    <n v="0.43"/>
    <x v="2"/>
    <n v="0"/>
    <n v="1"/>
    <x v="4"/>
  </r>
  <r>
    <n v="740"/>
    <x v="33"/>
    <x v="5"/>
    <x v="0"/>
    <x v="1"/>
    <x v="0"/>
    <x v="13"/>
    <x v="14"/>
    <n v="0.5"/>
    <x v="4"/>
    <n v="0"/>
    <n v="2"/>
    <x v="5"/>
  </r>
  <r>
    <n v="741"/>
    <x v="33"/>
    <x v="6"/>
    <x v="0"/>
    <x v="1"/>
    <x v="0"/>
    <x v="13"/>
    <x v="14"/>
    <n v="0.43"/>
    <x v="11"/>
    <n v="0"/>
    <n v="39"/>
    <x v="21"/>
  </r>
  <r>
    <n v="742"/>
    <x v="33"/>
    <x v="7"/>
    <x v="0"/>
    <x v="1"/>
    <x v="0"/>
    <x v="14"/>
    <x v="16"/>
    <n v="0.5"/>
    <x v="9"/>
    <n v="1"/>
    <n v="86"/>
    <x v="90"/>
  </r>
  <r>
    <n v="743"/>
    <x v="33"/>
    <x v="8"/>
    <x v="0"/>
    <x v="1"/>
    <x v="0"/>
    <x v="14"/>
    <x v="16"/>
    <n v="0.5"/>
    <x v="11"/>
    <n v="4"/>
    <n v="184"/>
    <x v="104"/>
  </r>
  <r>
    <n v="744"/>
    <x v="33"/>
    <x v="9"/>
    <x v="0"/>
    <x v="1"/>
    <x v="0"/>
    <x v="13"/>
    <x v="14"/>
    <n v="0.47"/>
    <x v="4"/>
    <n v="6"/>
    <n v="127"/>
    <x v="140"/>
  </r>
  <r>
    <n v="745"/>
    <x v="33"/>
    <x v="10"/>
    <x v="0"/>
    <x v="1"/>
    <x v="0"/>
    <x v="15"/>
    <x v="20"/>
    <n v="0.43"/>
    <x v="9"/>
    <n v="2"/>
    <n v="50"/>
    <x v="46"/>
  </r>
  <r>
    <n v="746"/>
    <x v="33"/>
    <x v="11"/>
    <x v="0"/>
    <x v="1"/>
    <x v="0"/>
    <x v="15"/>
    <x v="14"/>
    <n v="0.43"/>
    <x v="10"/>
    <n v="9"/>
    <n v="55"/>
    <x v="37"/>
  </r>
  <r>
    <n v="747"/>
    <x v="33"/>
    <x v="12"/>
    <x v="0"/>
    <x v="1"/>
    <x v="0"/>
    <x v="2"/>
    <x v="18"/>
    <n v="0.4"/>
    <x v="11"/>
    <n v="2"/>
    <n v="67"/>
    <x v="83"/>
  </r>
  <r>
    <n v="748"/>
    <x v="33"/>
    <x v="13"/>
    <x v="0"/>
    <x v="1"/>
    <x v="0"/>
    <x v="2"/>
    <x v="17"/>
    <n v="0.4"/>
    <x v="12"/>
    <n v="4"/>
    <n v="47"/>
    <x v="41"/>
  </r>
  <r>
    <n v="749"/>
    <x v="33"/>
    <x v="14"/>
    <x v="0"/>
    <x v="1"/>
    <x v="0"/>
    <x v="1"/>
    <x v="13"/>
    <n v="0.37"/>
    <x v="13"/>
    <n v="4"/>
    <n v="43"/>
    <x v="105"/>
  </r>
  <r>
    <n v="750"/>
    <x v="33"/>
    <x v="15"/>
    <x v="0"/>
    <x v="1"/>
    <x v="0"/>
    <x v="1"/>
    <x v="13"/>
    <n v="0.37"/>
    <x v="9"/>
    <n v="4"/>
    <n v="56"/>
    <x v="122"/>
  </r>
  <r>
    <n v="751"/>
    <x v="33"/>
    <x v="16"/>
    <x v="0"/>
    <x v="1"/>
    <x v="0"/>
    <x v="1"/>
    <x v="12"/>
    <n v="0.37"/>
    <x v="2"/>
    <n v="5"/>
    <n v="73"/>
    <x v="53"/>
  </r>
  <r>
    <n v="752"/>
    <x v="33"/>
    <x v="17"/>
    <x v="0"/>
    <x v="1"/>
    <x v="0"/>
    <x v="2"/>
    <x v="13"/>
    <n v="0.4"/>
    <x v="5"/>
    <n v="5"/>
    <n v="170"/>
    <x v="171"/>
  </r>
  <r>
    <n v="753"/>
    <x v="33"/>
    <x v="18"/>
    <x v="0"/>
    <x v="1"/>
    <x v="0"/>
    <x v="2"/>
    <x v="12"/>
    <n v="0.4"/>
    <x v="8"/>
    <n v="2"/>
    <n v="145"/>
    <x v="172"/>
  </r>
  <r>
    <n v="754"/>
    <x v="33"/>
    <x v="19"/>
    <x v="0"/>
    <x v="1"/>
    <x v="0"/>
    <x v="2"/>
    <x v="2"/>
    <n v="0.4"/>
    <x v="0"/>
    <n v="4"/>
    <n v="92"/>
    <x v="152"/>
  </r>
  <r>
    <n v="755"/>
    <x v="33"/>
    <x v="20"/>
    <x v="0"/>
    <x v="1"/>
    <x v="0"/>
    <x v="2"/>
    <x v="11"/>
    <n v="0.47"/>
    <x v="1"/>
    <n v="1"/>
    <n v="108"/>
    <x v="142"/>
  </r>
  <r>
    <n v="756"/>
    <x v="33"/>
    <x v="21"/>
    <x v="0"/>
    <x v="1"/>
    <x v="0"/>
    <x v="15"/>
    <x v="12"/>
    <n v="0.55000000000000004"/>
    <x v="14"/>
    <n v="1"/>
    <n v="53"/>
    <x v="60"/>
  </r>
  <r>
    <n v="757"/>
    <x v="33"/>
    <x v="22"/>
    <x v="0"/>
    <x v="1"/>
    <x v="0"/>
    <x v="15"/>
    <x v="12"/>
    <n v="0.51"/>
    <x v="1"/>
    <n v="2"/>
    <n v="39"/>
    <x v="102"/>
  </r>
  <r>
    <n v="758"/>
    <x v="33"/>
    <x v="23"/>
    <x v="0"/>
    <x v="1"/>
    <x v="0"/>
    <x v="2"/>
    <x v="11"/>
    <n v="0.47"/>
    <x v="14"/>
    <n v="4"/>
    <n v="34"/>
    <x v="103"/>
  </r>
  <r>
    <n v="759"/>
    <x v="34"/>
    <x v="0"/>
    <x v="0"/>
    <x v="1"/>
    <x v="1"/>
    <x v="2"/>
    <x v="2"/>
    <n v="0.44"/>
    <x v="0"/>
    <n v="3"/>
    <n v="10"/>
    <x v="3"/>
  </r>
  <r>
    <n v="760"/>
    <x v="34"/>
    <x v="1"/>
    <x v="0"/>
    <x v="1"/>
    <x v="1"/>
    <x v="13"/>
    <x v="11"/>
    <n v="0.59"/>
    <x v="0"/>
    <n v="0"/>
    <n v="7"/>
    <x v="85"/>
  </r>
  <r>
    <n v="761"/>
    <x v="34"/>
    <x v="2"/>
    <x v="0"/>
    <x v="1"/>
    <x v="1"/>
    <x v="14"/>
    <x v="17"/>
    <n v="0.63"/>
    <x v="14"/>
    <n v="0"/>
    <n v="1"/>
    <x v="4"/>
  </r>
  <r>
    <n v="762"/>
    <x v="34"/>
    <x v="3"/>
    <x v="0"/>
    <x v="1"/>
    <x v="1"/>
    <x v="14"/>
    <x v="17"/>
    <n v="0.63"/>
    <x v="14"/>
    <n v="0"/>
    <n v="1"/>
    <x v="4"/>
  </r>
  <r>
    <n v="763"/>
    <x v="34"/>
    <x v="5"/>
    <x v="0"/>
    <x v="1"/>
    <x v="1"/>
    <x v="14"/>
    <x v="20"/>
    <n v="0.63"/>
    <x v="7"/>
    <n v="0"/>
    <n v="7"/>
    <x v="85"/>
  </r>
  <r>
    <n v="764"/>
    <x v="34"/>
    <x v="6"/>
    <x v="0"/>
    <x v="1"/>
    <x v="1"/>
    <x v="13"/>
    <x v="11"/>
    <n v="0.55000000000000004"/>
    <x v="0"/>
    <n v="2"/>
    <n v="26"/>
    <x v="20"/>
  </r>
  <r>
    <n v="765"/>
    <x v="34"/>
    <x v="7"/>
    <x v="0"/>
    <x v="1"/>
    <x v="0"/>
    <x v="14"/>
    <x v="12"/>
    <n v="0.59"/>
    <x v="0"/>
    <n v="0"/>
    <n v="87"/>
    <x v="90"/>
  </r>
  <r>
    <n v="766"/>
    <x v="34"/>
    <x v="8"/>
    <x v="0"/>
    <x v="1"/>
    <x v="0"/>
    <x v="14"/>
    <x v="20"/>
    <n v="0.74"/>
    <x v="7"/>
    <n v="3"/>
    <n v="217"/>
    <x v="173"/>
  </r>
  <r>
    <n v="767"/>
    <x v="34"/>
    <x v="9"/>
    <x v="0"/>
    <x v="1"/>
    <x v="1"/>
    <x v="13"/>
    <x v="18"/>
    <n v="0.8"/>
    <x v="7"/>
    <n v="3"/>
    <n v="124"/>
    <x v="174"/>
  </r>
  <r>
    <n v="768"/>
    <x v="34"/>
    <x v="10"/>
    <x v="0"/>
    <x v="1"/>
    <x v="1"/>
    <x v="2"/>
    <x v="12"/>
    <n v="0.51"/>
    <x v="7"/>
    <n v="5"/>
    <n v="46"/>
    <x v="41"/>
  </r>
  <r>
    <n v="769"/>
    <x v="34"/>
    <x v="11"/>
    <x v="0"/>
    <x v="1"/>
    <x v="0"/>
    <x v="1"/>
    <x v="11"/>
    <n v="0.51"/>
    <x v="8"/>
    <n v="3"/>
    <n v="61"/>
    <x v="37"/>
  </r>
  <r>
    <n v="770"/>
    <x v="34"/>
    <x v="12"/>
    <x v="0"/>
    <x v="1"/>
    <x v="1"/>
    <x v="0"/>
    <x v="19"/>
    <n v="0.48"/>
    <x v="8"/>
    <n v="8"/>
    <n v="78"/>
    <x v="80"/>
  </r>
  <r>
    <n v="771"/>
    <x v="34"/>
    <x v="13"/>
    <x v="0"/>
    <x v="1"/>
    <x v="1"/>
    <x v="12"/>
    <x v="2"/>
    <n v="0.5"/>
    <x v="6"/>
    <n v="9"/>
    <n v="73"/>
    <x v="100"/>
  </r>
  <r>
    <n v="772"/>
    <x v="34"/>
    <x v="14"/>
    <x v="0"/>
    <x v="1"/>
    <x v="1"/>
    <x v="17"/>
    <x v="1"/>
    <n v="0.45"/>
    <x v="8"/>
    <n v="15"/>
    <n v="76"/>
    <x v="134"/>
  </r>
  <r>
    <n v="773"/>
    <x v="34"/>
    <x v="15"/>
    <x v="0"/>
    <x v="1"/>
    <x v="1"/>
    <x v="17"/>
    <x v="1"/>
    <n v="0.48"/>
    <x v="2"/>
    <n v="9"/>
    <n v="81"/>
    <x v="127"/>
  </r>
  <r>
    <n v="774"/>
    <x v="34"/>
    <x v="16"/>
    <x v="0"/>
    <x v="1"/>
    <x v="1"/>
    <x v="11"/>
    <x v="0"/>
    <n v="0.42"/>
    <x v="6"/>
    <n v="8"/>
    <n v="91"/>
    <x v="111"/>
  </r>
  <r>
    <n v="775"/>
    <x v="34"/>
    <x v="17"/>
    <x v="0"/>
    <x v="1"/>
    <x v="1"/>
    <x v="12"/>
    <x v="1"/>
    <n v="0.56000000000000005"/>
    <x v="7"/>
    <n v="10"/>
    <n v="195"/>
    <x v="175"/>
  </r>
  <r>
    <n v="776"/>
    <x v="34"/>
    <x v="18"/>
    <x v="0"/>
    <x v="1"/>
    <x v="1"/>
    <x v="0"/>
    <x v="2"/>
    <n v="0.6"/>
    <x v="14"/>
    <n v="3"/>
    <n v="152"/>
    <x v="107"/>
  </r>
  <r>
    <n v="777"/>
    <x v="34"/>
    <x v="19"/>
    <x v="0"/>
    <x v="1"/>
    <x v="1"/>
    <x v="0"/>
    <x v="19"/>
    <n v="0.65"/>
    <x v="7"/>
    <n v="1"/>
    <n v="102"/>
    <x v="153"/>
  </r>
  <r>
    <n v="778"/>
    <x v="34"/>
    <x v="20"/>
    <x v="0"/>
    <x v="1"/>
    <x v="1"/>
    <x v="0"/>
    <x v="19"/>
    <n v="0.65"/>
    <x v="8"/>
    <n v="2"/>
    <n v="69"/>
    <x v="68"/>
  </r>
  <r>
    <n v="779"/>
    <x v="34"/>
    <x v="21"/>
    <x v="0"/>
    <x v="1"/>
    <x v="1"/>
    <x v="0"/>
    <x v="19"/>
    <n v="0.7"/>
    <x v="8"/>
    <n v="2"/>
    <n v="41"/>
    <x v="74"/>
  </r>
  <r>
    <n v="780"/>
    <x v="34"/>
    <x v="22"/>
    <x v="0"/>
    <x v="1"/>
    <x v="1"/>
    <x v="0"/>
    <x v="19"/>
    <n v="0.65"/>
    <x v="8"/>
    <n v="1"/>
    <n v="45"/>
    <x v="66"/>
  </r>
  <r>
    <n v="781"/>
    <x v="34"/>
    <x v="23"/>
    <x v="0"/>
    <x v="1"/>
    <x v="1"/>
    <x v="0"/>
    <x v="19"/>
    <n v="0.7"/>
    <x v="7"/>
    <n v="1"/>
    <n v="30"/>
    <x v="35"/>
  </r>
  <r>
    <n v="782"/>
    <x v="35"/>
    <x v="0"/>
    <x v="0"/>
    <x v="0"/>
    <x v="1"/>
    <x v="0"/>
    <x v="19"/>
    <n v="0.7"/>
    <x v="8"/>
    <n v="3"/>
    <n v="36"/>
    <x v="21"/>
  </r>
  <r>
    <n v="783"/>
    <x v="35"/>
    <x v="1"/>
    <x v="0"/>
    <x v="0"/>
    <x v="1"/>
    <x v="0"/>
    <x v="19"/>
    <n v="0.65"/>
    <x v="8"/>
    <n v="1"/>
    <n v="17"/>
    <x v="109"/>
  </r>
  <r>
    <n v="784"/>
    <x v="35"/>
    <x v="2"/>
    <x v="0"/>
    <x v="0"/>
    <x v="1"/>
    <x v="0"/>
    <x v="19"/>
    <n v="0.75"/>
    <x v="8"/>
    <n v="5"/>
    <n v="12"/>
    <x v="22"/>
  </r>
  <r>
    <n v="785"/>
    <x v="35"/>
    <x v="3"/>
    <x v="0"/>
    <x v="0"/>
    <x v="1"/>
    <x v="0"/>
    <x v="19"/>
    <n v="0.75"/>
    <x v="8"/>
    <n v="1"/>
    <n v="10"/>
    <x v="62"/>
  </r>
  <r>
    <n v="786"/>
    <x v="35"/>
    <x v="4"/>
    <x v="0"/>
    <x v="0"/>
    <x v="2"/>
    <x v="1"/>
    <x v="11"/>
    <n v="0.93"/>
    <x v="7"/>
    <n v="0"/>
    <n v="8"/>
    <x v="7"/>
  </r>
  <r>
    <n v="787"/>
    <x v="35"/>
    <x v="5"/>
    <x v="0"/>
    <x v="0"/>
    <x v="2"/>
    <x v="2"/>
    <x v="11"/>
    <n v="1"/>
    <x v="1"/>
    <n v="0"/>
    <n v="9"/>
    <x v="23"/>
  </r>
  <r>
    <n v="788"/>
    <x v="35"/>
    <x v="6"/>
    <x v="0"/>
    <x v="0"/>
    <x v="2"/>
    <x v="2"/>
    <x v="2"/>
    <n v="1"/>
    <x v="0"/>
    <n v="0"/>
    <n v="4"/>
    <x v="48"/>
  </r>
  <r>
    <n v="789"/>
    <x v="35"/>
    <x v="7"/>
    <x v="0"/>
    <x v="0"/>
    <x v="2"/>
    <x v="1"/>
    <x v="2"/>
    <n v="0.93"/>
    <x v="1"/>
    <n v="0"/>
    <n v="4"/>
    <x v="48"/>
  </r>
  <r>
    <n v="790"/>
    <x v="35"/>
    <x v="8"/>
    <x v="0"/>
    <x v="0"/>
    <x v="2"/>
    <x v="2"/>
    <x v="11"/>
    <n v="1"/>
    <x v="1"/>
    <n v="0"/>
    <n v="10"/>
    <x v="98"/>
  </r>
  <r>
    <n v="791"/>
    <x v="35"/>
    <x v="9"/>
    <x v="0"/>
    <x v="0"/>
    <x v="2"/>
    <x v="2"/>
    <x v="11"/>
    <n v="1"/>
    <x v="1"/>
    <n v="3"/>
    <n v="17"/>
    <x v="25"/>
  </r>
  <r>
    <n v="792"/>
    <x v="35"/>
    <x v="10"/>
    <x v="0"/>
    <x v="0"/>
    <x v="2"/>
    <x v="2"/>
    <x v="12"/>
    <n v="1"/>
    <x v="7"/>
    <n v="3"/>
    <n v="31"/>
    <x v="19"/>
  </r>
  <r>
    <n v="793"/>
    <x v="35"/>
    <x v="11"/>
    <x v="0"/>
    <x v="0"/>
    <x v="2"/>
    <x v="1"/>
    <x v="11"/>
    <n v="1"/>
    <x v="7"/>
    <n v="1"/>
    <n v="46"/>
    <x v="105"/>
  </r>
  <r>
    <n v="794"/>
    <x v="35"/>
    <x v="12"/>
    <x v="0"/>
    <x v="0"/>
    <x v="2"/>
    <x v="1"/>
    <x v="11"/>
    <n v="1"/>
    <x v="8"/>
    <n v="10"/>
    <n v="42"/>
    <x v="46"/>
  </r>
  <r>
    <n v="795"/>
    <x v="35"/>
    <x v="13"/>
    <x v="0"/>
    <x v="0"/>
    <x v="2"/>
    <x v="1"/>
    <x v="11"/>
    <n v="1"/>
    <x v="8"/>
    <n v="10"/>
    <n v="62"/>
    <x v="44"/>
  </r>
  <r>
    <n v="796"/>
    <x v="35"/>
    <x v="14"/>
    <x v="0"/>
    <x v="0"/>
    <x v="2"/>
    <x v="1"/>
    <x v="1"/>
    <n v="1"/>
    <x v="0"/>
    <n v="5"/>
    <n v="50"/>
    <x v="97"/>
  </r>
  <r>
    <n v="797"/>
    <x v="35"/>
    <x v="15"/>
    <x v="0"/>
    <x v="0"/>
    <x v="2"/>
    <x v="1"/>
    <x v="1"/>
    <n v="1"/>
    <x v="0"/>
    <n v="11"/>
    <n v="49"/>
    <x v="122"/>
  </r>
  <r>
    <n v="798"/>
    <x v="35"/>
    <x v="16"/>
    <x v="0"/>
    <x v="0"/>
    <x v="2"/>
    <x v="1"/>
    <x v="11"/>
    <n v="1"/>
    <x v="7"/>
    <n v="8"/>
    <n v="63"/>
    <x v="68"/>
  </r>
  <r>
    <n v="799"/>
    <x v="35"/>
    <x v="17"/>
    <x v="0"/>
    <x v="0"/>
    <x v="1"/>
    <x v="0"/>
    <x v="12"/>
    <n v="1"/>
    <x v="3"/>
    <n v="14"/>
    <n v="64"/>
    <x v="53"/>
  </r>
  <r>
    <n v="800"/>
    <x v="35"/>
    <x v="18"/>
    <x v="0"/>
    <x v="0"/>
    <x v="1"/>
    <x v="17"/>
    <x v="19"/>
    <n v="0.93"/>
    <x v="10"/>
    <n v="2"/>
    <n v="81"/>
    <x v="56"/>
  </r>
  <r>
    <n v="801"/>
    <x v="35"/>
    <x v="19"/>
    <x v="0"/>
    <x v="0"/>
    <x v="1"/>
    <x v="17"/>
    <x v="19"/>
    <n v="0.93"/>
    <x v="10"/>
    <n v="6"/>
    <n v="78"/>
    <x v="11"/>
  </r>
  <r>
    <n v="802"/>
    <x v="35"/>
    <x v="20"/>
    <x v="0"/>
    <x v="0"/>
    <x v="0"/>
    <x v="11"/>
    <x v="0"/>
    <n v="0.87"/>
    <x v="2"/>
    <n v="5"/>
    <n v="64"/>
    <x v="83"/>
  </r>
  <r>
    <n v="803"/>
    <x v="35"/>
    <x v="21"/>
    <x v="0"/>
    <x v="0"/>
    <x v="0"/>
    <x v="12"/>
    <x v="2"/>
    <n v="1"/>
    <x v="5"/>
    <n v="3"/>
    <n v="53"/>
    <x v="10"/>
  </r>
  <r>
    <n v="804"/>
    <x v="35"/>
    <x v="22"/>
    <x v="0"/>
    <x v="0"/>
    <x v="0"/>
    <x v="12"/>
    <x v="1"/>
    <n v="0.93"/>
    <x v="7"/>
    <n v="2"/>
    <n v="43"/>
    <x v="79"/>
  </r>
  <r>
    <n v="805"/>
    <x v="35"/>
    <x v="23"/>
    <x v="0"/>
    <x v="0"/>
    <x v="0"/>
    <x v="12"/>
    <x v="2"/>
    <n v="0.93"/>
    <x v="6"/>
    <n v="7"/>
    <n v="52"/>
    <x v="29"/>
  </r>
  <r>
    <n v="806"/>
    <x v="36"/>
    <x v="0"/>
    <x v="0"/>
    <x v="0"/>
    <x v="0"/>
    <x v="12"/>
    <x v="2"/>
    <n v="0.7"/>
    <x v="5"/>
    <n v="2"/>
    <n v="37"/>
    <x v="21"/>
  </r>
  <r>
    <n v="807"/>
    <x v="36"/>
    <x v="1"/>
    <x v="0"/>
    <x v="0"/>
    <x v="0"/>
    <x v="12"/>
    <x v="11"/>
    <n v="0.65"/>
    <x v="12"/>
    <n v="4"/>
    <n v="40"/>
    <x v="40"/>
  </r>
  <r>
    <n v="808"/>
    <x v="36"/>
    <x v="2"/>
    <x v="0"/>
    <x v="0"/>
    <x v="0"/>
    <x v="12"/>
    <x v="11"/>
    <n v="0.6"/>
    <x v="9"/>
    <n v="0"/>
    <n v="20"/>
    <x v="25"/>
  </r>
  <r>
    <n v="809"/>
    <x v="36"/>
    <x v="3"/>
    <x v="0"/>
    <x v="0"/>
    <x v="0"/>
    <x v="12"/>
    <x v="0"/>
    <n v="0.6"/>
    <x v="1"/>
    <n v="3"/>
    <n v="10"/>
    <x v="3"/>
  </r>
  <r>
    <n v="810"/>
    <x v="36"/>
    <x v="4"/>
    <x v="0"/>
    <x v="0"/>
    <x v="0"/>
    <x v="12"/>
    <x v="11"/>
    <n v="0.6"/>
    <x v="11"/>
    <n v="0"/>
    <n v="2"/>
    <x v="5"/>
  </r>
  <r>
    <n v="811"/>
    <x v="36"/>
    <x v="5"/>
    <x v="0"/>
    <x v="0"/>
    <x v="0"/>
    <x v="12"/>
    <x v="2"/>
    <n v="0.6"/>
    <x v="6"/>
    <n v="0"/>
    <n v="1"/>
    <x v="4"/>
  </r>
  <r>
    <n v="812"/>
    <x v="36"/>
    <x v="6"/>
    <x v="0"/>
    <x v="0"/>
    <x v="0"/>
    <x v="12"/>
    <x v="2"/>
    <n v="0.6"/>
    <x v="6"/>
    <n v="0"/>
    <n v="1"/>
    <x v="4"/>
  </r>
  <r>
    <n v="813"/>
    <x v="36"/>
    <x v="7"/>
    <x v="0"/>
    <x v="0"/>
    <x v="0"/>
    <x v="0"/>
    <x v="19"/>
    <n v="0.65"/>
    <x v="8"/>
    <n v="0"/>
    <n v="8"/>
    <x v="7"/>
  </r>
  <r>
    <n v="814"/>
    <x v="36"/>
    <x v="8"/>
    <x v="0"/>
    <x v="0"/>
    <x v="0"/>
    <x v="0"/>
    <x v="2"/>
    <n v="0.65"/>
    <x v="14"/>
    <n v="2"/>
    <n v="21"/>
    <x v="84"/>
  </r>
  <r>
    <n v="815"/>
    <x v="36"/>
    <x v="9"/>
    <x v="0"/>
    <x v="0"/>
    <x v="0"/>
    <x v="17"/>
    <x v="0"/>
    <n v="0.56000000000000005"/>
    <x v="14"/>
    <n v="7"/>
    <n v="38"/>
    <x v="79"/>
  </r>
  <r>
    <n v="816"/>
    <x v="36"/>
    <x v="10"/>
    <x v="0"/>
    <x v="0"/>
    <x v="0"/>
    <x v="11"/>
    <x v="0"/>
    <n v="0.52"/>
    <x v="2"/>
    <n v="15"/>
    <n v="74"/>
    <x v="70"/>
  </r>
  <r>
    <n v="817"/>
    <x v="36"/>
    <x v="11"/>
    <x v="0"/>
    <x v="0"/>
    <x v="0"/>
    <x v="3"/>
    <x v="25"/>
    <n v="0.49"/>
    <x v="2"/>
    <n v="28"/>
    <n v="89"/>
    <x v="126"/>
  </r>
  <r>
    <n v="818"/>
    <x v="36"/>
    <x v="12"/>
    <x v="0"/>
    <x v="0"/>
    <x v="0"/>
    <x v="10"/>
    <x v="6"/>
    <n v="0.46"/>
    <x v="0"/>
    <n v="48"/>
    <n v="126"/>
    <x v="176"/>
  </r>
  <r>
    <n v="819"/>
    <x v="36"/>
    <x v="13"/>
    <x v="0"/>
    <x v="0"/>
    <x v="0"/>
    <x v="10"/>
    <x v="30"/>
    <n v="0.46"/>
    <x v="0"/>
    <n v="47"/>
    <n v="135"/>
    <x v="58"/>
  </r>
  <r>
    <n v="820"/>
    <x v="36"/>
    <x v="14"/>
    <x v="0"/>
    <x v="0"/>
    <x v="0"/>
    <x v="10"/>
    <x v="4"/>
    <n v="0.46"/>
    <x v="1"/>
    <n v="47"/>
    <n v="114"/>
    <x v="143"/>
  </r>
  <r>
    <n v="821"/>
    <x v="36"/>
    <x v="15"/>
    <x v="0"/>
    <x v="0"/>
    <x v="0"/>
    <x v="10"/>
    <x v="4"/>
    <n v="0.46"/>
    <x v="1"/>
    <n v="52"/>
    <n v="130"/>
    <x v="58"/>
  </r>
  <r>
    <n v="822"/>
    <x v="36"/>
    <x v="16"/>
    <x v="0"/>
    <x v="0"/>
    <x v="0"/>
    <x v="10"/>
    <x v="4"/>
    <n v="0.49"/>
    <x v="14"/>
    <n v="42"/>
    <n v="115"/>
    <x v="45"/>
  </r>
  <r>
    <n v="823"/>
    <x v="36"/>
    <x v="17"/>
    <x v="0"/>
    <x v="0"/>
    <x v="0"/>
    <x v="10"/>
    <x v="30"/>
    <n v="0.46"/>
    <x v="0"/>
    <n v="24"/>
    <n v="97"/>
    <x v="177"/>
  </r>
  <r>
    <n v="824"/>
    <x v="36"/>
    <x v="18"/>
    <x v="0"/>
    <x v="0"/>
    <x v="0"/>
    <x v="11"/>
    <x v="25"/>
    <n v="0.56000000000000005"/>
    <x v="8"/>
    <n v="13"/>
    <n v="65"/>
    <x v="53"/>
  </r>
  <r>
    <n v="825"/>
    <x v="36"/>
    <x v="19"/>
    <x v="0"/>
    <x v="0"/>
    <x v="0"/>
    <x v="17"/>
    <x v="0"/>
    <n v="0.61"/>
    <x v="7"/>
    <n v="1"/>
    <n v="20"/>
    <x v="137"/>
  </r>
  <r>
    <n v="826"/>
    <x v="36"/>
    <x v="20"/>
    <x v="0"/>
    <x v="0"/>
    <x v="0"/>
    <x v="17"/>
    <x v="0"/>
    <n v="0.61"/>
    <x v="14"/>
    <n v="5"/>
    <n v="21"/>
    <x v="132"/>
  </r>
  <r>
    <n v="827"/>
    <x v="36"/>
    <x v="21"/>
    <x v="0"/>
    <x v="0"/>
    <x v="0"/>
    <x v="12"/>
    <x v="25"/>
    <n v="0.6"/>
    <x v="0"/>
    <n v="5"/>
    <n v="22"/>
    <x v="110"/>
  </r>
  <r>
    <n v="828"/>
    <x v="36"/>
    <x v="22"/>
    <x v="0"/>
    <x v="0"/>
    <x v="0"/>
    <x v="12"/>
    <x v="25"/>
    <n v="0.6"/>
    <x v="0"/>
    <n v="5"/>
    <n v="57"/>
    <x v="69"/>
  </r>
  <r>
    <n v="829"/>
    <x v="36"/>
    <x v="23"/>
    <x v="0"/>
    <x v="0"/>
    <x v="0"/>
    <x v="0"/>
    <x v="0"/>
    <n v="0.65"/>
    <x v="0"/>
    <n v="4"/>
    <n v="26"/>
    <x v="33"/>
  </r>
  <r>
    <n v="830"/>
    <x v="37"/>
    <x v="0"/>
    <x v="0"/>
    <x v="1"/>
    <x v="0"/>
    <x v="0"/>
    <x v="0"/>
    <n v="0.65"/>
    <x v="0"/>
    <n v="1"/>
    <n v="14"/>
    <x v="93"/>
  </r>
  <r>
    <n v="831"/>
    <x v="37"/>
    <x v="1"/>
    <x v="0"/>
    <x v="1"/>
    <x v="0"/>
    <x v="1"/>
    <x v="1"/>
    <n v="0.75"/>
    <x v="0"/>
    <n v="1"/>
    <n v="4"/>
    <x v="36"/>
  </r>
  <r>
    <n v="832"/>
    <x v="37"/>
    <x v="2"/>
    <x v="0"/>
    <x v="1"/>
    <x v="0"/>
    <x v="2"/>
    <x v="2"/>
    <n v="0.8"/>
    <x v="0"/>
    <n v="0"/>
    <n v="3"/>
    <x v="6"/>
  </r>
  <r>
    <n v="833"/>
    <x v="37"/>
    <x v="3"/>
    <x v="0"/>
    <x v="1"/>
    <x v="0"/>
    <x v="2"/>
    <x v="2"/>
    <n v="0.86"/>
    <x v="0"/>
    <n v="0"/>
    <n v="1"/>
    <x v="4"/>
  </r>
  <r>
    <n v="834"/>
    <x v="37"/>
    <x v="4"/>
    <x v="0"/>
    <x v="1"/>
    <x v="0"/>
    <x v="2"/>
    <x v="2"/>
    <n v="0.86"/>
    <x v="0"/>
    <n v="1"/>
    <n v="1"/>
    <x v="5"/>
  </r>
  <r>
    <n v="835"/>
    <x v="37"/>
    <x v="5"/>
    <x v="0"/>
    <x v="1"/>
    <x v="0"/>
    <x v="2"/>
    <x v="2"/>
    <n v="0.86"/>
    <x v="0"/>
    <n v="1"/>
    <n v="9"/>
    <x v="98"/>
  </r>
  <r>
    <n v="836"/>
    <x v="37"/>
    <x v="6"/>
    <x v="0"/>
    <x v="1"/>
    <x v="0"/>
    <x v="15"/>
    <x v="19"/>
    <n v="0.93"/>
    <x v="0"/>
    <n v="1"/>
    <n v="29"/>
    <x v="33"/>
  </r>
  <r>
    <n v="837"/>
    <x v="37"/>
    <x v="7"/>
    <x v="0"/>
    <x v="1"/>
    <x v="0"/>
    <x v="15"/>
    <x v="19"/>
    <n v="0.86"/>
    <x v="0"/>
    <n v="6"/>
    <n v="89"/>
    <x v="76"/>
  </r>
  <r>
    <n v="838"/>
    <x v="37"/>
    <x v="8"/>
    <x v="0"/>
    <x v="1"/>
    <x v="1"/>
    <x v="13"/>
    <x v="11"/>
    <n v="1"/>
    <x v="0"/>
    <n v="7"/>
    <n v="223"/>
    <x v="178"/>
  </r>
  <r>
    <n v="839"/>
    <x v="37"/>
    <x v="9"/>
    <x v="0"/>
    <x v="1"/>
    <x v="0"/>
    <x v="1"/>
    <x v="1"/>
    <n v="0.8"/>
    <x v="0"/>
    <n v="3"/>
    <n v="115"/>
    <x v="130"/>
  </r>
  <r>
    <n v="840"/>
    <x v="37"/>
    <x v="10"/>
    <x v="0"/>
    <x v="1"/>
    <x v="0"/>
    <x v="0"/>
    <x v="2"/>
    <n v="0.75"/>
    <x v="14"/>
    <n v="6"/>
    <n v="49"/>
    <x v="97"/>
  </r>
  <r>
    <n v="841"/>
    <x v="37"/>
    <x v="11"/>
    <x v="0"/>
    <x v="1"/>
    <x v="0"/>
    <x v="11"/>
    <x v="21"/>
    <n v="0.65"/>
    <x v="1"/>
    <n v="11"/>
    <n v="36"/>
    <x v="105"/>
  </r>
  <r>
    <n v="842"/>
    <x v="37"/>
    <x v="12"/>
    <x v="0"/>
    <x v="1"/>
    <x v="1"/>
    <x v="3"/>
    <x v="4"/>
    <n v="0.62"/>
    <x v="0"/>
    <n v="7"/>
    <n v="59"/>
    <x v="179"/>
  </r>
  <r>
    <n v="843"/>
    <x v="37"/>
    <x v="13"/>
    <x v="0"/>
    <x v="1"/>
    <x v="1"/>
    <x v="5"/>
    <x v="30"/>
    <n v="0.56999999999999995"/>
    <x v="1"/>
    <n v="10"/>
    <n v="54"/>
    <x v="37"/>
  </r>
  <r>
    <n v="844"/>
    <x v="37"/>
    <x v="14"/>
    <x v="0"/>
    <x v="1"/>
    <x v="1"/>
    <x v="5"/>
    <x v="30"/>
    <n v="0.56999999999999995"/>
    <x v="1"/>
    <n v="8"/>
    <n v="52"/>
    <x v="122"/>
  </r>
  <r>
    <n v="845"/>
    <x v="37"/>
    <x v="15"/>
    <x v="0"/>
    <x v="1"/>
    <x v="1"/>
    <x v="4"/>
    <x v="5"/>
    <n v="0.54"/>
    <x v="1"/>
    <n v="4"/>
    <n v="46"/>
    <x v="89"/>
  </r>
  <r>
    <n v="846"/>
    <x v="37"/>
    <x v="16"/>
    <x v="0"/>
    <x v="1"/>
    <x v="1"/>
    <x v="5"/>
    <x v="4"/>
    <n v="0.56999999999999995"/>
    <x v="7"/>
    <n v="16"/>
    <n v="98"/>
    <x v="180"/>
  </r>
  <r>
    <n v="847"/>
    <x v="37"/>
    <x v="17"/>
    <x v="0"/>
    <x v="1"/>
    <x v="1"/>
    <x v="3"/>
    <x v="21"/>
    <n v="0.7"/>
    <x v="8"/>
    <n v="9"/>
    <n v="207"/>
    <x v="181"/>
  </r>
  <r>
    <n v="848"/>
    <x v="37"/>
    <x v="18"/>
    <x v="0"/>
    <x v="1"/>
    <x v="1"/>
    <x v="10"/>
    <x v="6"/>
    <n v="0.66"/>
    <x v="7"/>
    <n v="5"/>
    <n v="170"/>
    <x v="171"/>
  </r>
  <r>
    <n v="849"/>
    <x v="37"/>
    <x v="19"/>
    <x v="0"/>
    <x v="1"/>
    <x v="1"/>
    <x v="3"/>
    <x v="4"/>
    <n v="0.7"/>
    <x v="0"/>
    <n v="5"/>
    <n v="123"/>
    <x v="116"/>
  </r>
  <r>
    <n v="850"/>
    <x v="37"/>
    <x v="20"/>
    <x v="0"/>
    <x v="1"/>
    <x v="1"/>
    <x v="3"/>
    <x v="6"/>
    <n v="0.7"/>
    <x v="14"/>
    <n v="6"/>
    <n v="82"/>
    <x v="39"/>
  </r>
  <r>
    <n v="851"/>
    <x v="37"/>
    <x v="21"/>
    <x v="0"/>
    <x v="1"/>
    <x v="0"/>
    <x v="3"/>
    <x v="4"/>
    <n v="0.7"/>
    <x v="0"/>
    <n v="3"/>
    <n v="75"/>
    <x v="53"/>
  </r>
  <r>
    <n v="852"/>
    <x v="37"/>
    <x v="22"/>
    <x v="0"/>
    <x v="1"/>
    <x v="0"/>
    <x v="17"/>
    <x v="25"/>
    <n v="0.81"/>
    <x v="1"/>
    <n v="3"/>
    <n v="34"/>
    <x v="18"/>
  </r>
  <r>
    <n v="853"/>
    <x v="37"/>
    <x v="23"/>
    <x v="0"/>
    <x v="1"/>
    <x v="1"/>
    <x v="11"/>
    <x v="6"/>
    <n v="0.81"/>
    <x v="0"/>
    <n v="6"/>
    <n v="19"/>
    <x v="94"/>
  </r>
  <r>
    <n v="854"/>
    <x v="38"/>
    <x v="0"/>
    <x v="0"/>
    <x v="1"/>
    <x v="1"/>
    <x v="17"/>
    <x v="21"/>
    <n v="0.87"/>
    <x v="0"/>
    <n v="4"/>
    <n v="6"/>
    <x v="98"/>
  </r>
  <r>
    <n v="855"/>
    <x v="38"/>
    <x v="1"/>
    <x v="0"/>
    <x v="1"/>
    <x v="1"/>
    <x v="17"/>
    <x v="21"/>
    <n v="0.87"/>
    <x v="0"/>
    <n v="0"/>
    <n v="4"/>
    <x v="48"/>
  </r>
  <r>
    <n v="856"/>
    <x v="38"/>
    <x v="2"/>
    <x v="0"/>
    <x v="1"/>
    <x v="1"/>
    <x v="12"/>
    <x v="1"/>
    <n v="0.93"/>
    <x v="14"/>
    <n v="1"/>
    <n v="1"/>
    <x v="5"/>
  </r>
  <r>
    <n v="857"/>
    <x v="38"/>
    <x v="3"/>
    <x v="0"/>
    <x v="1"/>
    <x v="2"/>
    <x v="17"/>
    <x v="1"/>
    <n v="0.93"/>
    <x v="8"/>
    <n v="0"/>
    <n v="1"/>
    <x v="4"/>
  </r>
  <r>
    <n v="858"/>
    <x v="38"/>
    <x v="4"/>
    <x v="0"/>
    <x v="1"/>
    <x v="0"/>
    <x v="12"/>
    <x v="2"/>
    <n v="0.93"/>
    <x v="8"/>
    <n v="0"/>
    <n v="3"/>
    <x v="6"/>
  </r>
  <r>
    <n v="859"/>
    <x v="38"/>
    <x v="5"/>
    <x v="0"/>
    <x v="1"/>
    <x v="0"/>
    <x v="12"/>
    <x v="11"/>
    <n v="0.81"/>
    <x v="9"/>
    <n v="0"/>
    <n v="2"/>
    <x v="5"/>
  </r>
  <r>
    <n v="860"/>
    <x v="38"/>
    <x v="6"/>
    <x v="0"/>
    <x v="1"/>
    <x v="0"/>
    <x v="12"/>
    <x v="11"/>
    <n v="0.7"/>
    <x v="9"/>
    <n v="0"/>
    <n v="39"/>
    <x v="21"/>
  </r>
  <r>
    <n v="861"/>
    <x v="38"/>
    <x v="7"/>
    <x v="0"/>
    <x v="1"/>
    <x v="0"/>
    <x v="0"/>
    <x v="13"/>
    <n v="0.65"/>
    <x v="12"/>
    <n v="3"/>
    <n v="97"/>
    <x v="50"/>
  </r>
  <r>
    <n v="862"/>
    <x v="38"/>
    <x v="8"/>
    <x v="0"/>
    <x v="1"/>
    <x v="0"/>
    <x v="0"/>
    <x v="13"/>
    <n v="0.56000000000000005"/>
    <x v="15"/>
    <n v="7"/>
    <n v="236"/>
    <x v="182"/>
  </r>
  <r>
    <n v="863"/>
    <x v="38"/>
    <x v="9"/>
    <x v="0"/>
    <x v="1"/>
    <x v="0"/>
    <x v="0"/>
    <x v="13"/>
    <n v="0.52"/>
    <x v="15"/>
    <n v="7"/>
    <n v="128"/>
    <x v="168"/>
  </r>
  <r>
    <n v="864"/>
    <x v="38"/>
    <x v="10"/>
    <x v="0"/>
    <x v="1"/>
    <x v="0"/>
    <x v="1"/>
    <x v="18"/>
    <n v="0.47"/>
    <x v="16"/>
    <n v="4"/>
    <n v="44"/>
    <x v="61"/>
  </r>
  <r>
    <n v="865"/>
    <x v="38"/>
    <x v="11"/>
    <x v="0"/>
    <x v="1"/>
    <x v="0"/>
    <x v="1"/>
    <x v="18"/>
    <n v="0.47"/>
    <x v="17"/>
    <n v="1"/>
    <n v="49"/>
    <x v="89"/>
  </r>
  <r>
    <n v="866"/>
    <x v="38"/>
    <x v="12"/>
    <x v="0"/>
    <x v="1"/>
    <x v="0"/>
    <x v="0"/>
    <x v="13"/>
    <n v="0.38"/>
    <x v="15"/>
    <n v="2"/>
    <n v="63"/>
    <x v="32"/>
  </r>
  <r>
    <n v="867"/>
    <x v="38"/>
    <x v="13"/>
    <x v="0"/>
    <x v="1"/>
    <x v="1"/>
    <x v="0"/>
    <x v="13"/>
    <n v="0.32"/>
    <x v="10"/>
    <n v="2"/>
    <n v="48"/>
    <x v="89"/>
  </r>
  <r>
    <n v="868"/>
    <x v="38"/>
    <x v="14"/>
    <x v="0"/>
    <x v="1"/>
    <x v="0"/>
    <x v="1"/>
    <x v="13"/>
    <n v="0.37"/>
    <x v="12"/>
    <n v="3"/>
    <n v="61"/>
    <x v="37"/>
  </r>
  <r>
    <n v="869"/>
    <x v="38"/>
    <x v="15"/>
    <x v="0"/>
    <x v="1"/>
    <x v="0"/>
    <x v="1"/>
    <x v="13"/>
    <n v="0.35"/>
    <x v="13"/>
    <n v="6"/>
    <n v="45"/>
    <x v="41"/>
  </r>
  <r>
    <n v="870"/>
    <x v="38"/>
    <x v="16"/>
    <x v="0"/>
    <x v="1"/>
    <x v="0"/>
    <x v="1"/>
    <x v="18"/>
    <n v="0.35"/>
    <x v="18"/>
    <n v="4"/>
    <n v="79"/>
    <x v="56"/>
  </r>
  <r>
    <n v="871"/>
    <x v="38"/>
    <x v="17"/>
    <x v="0"/>
    <x v="1"/>
    <x v="0"/>
    <x v="1"/>
    <x v="18"/>
    <n v="0.32"/>
    <x v="19"/>
    <n v="4"/>
    <n v="172"/>
    <x v="169"/>
  </r>
  <r>
    <n v="872"/>
    <x v="38"/>
    <x v="18"/>
    <x v="0"/>
    <x v="1"/>
    <x v="0"/>
    <x v="2"/>
    <x v="18"/>
    <n v="0.32"/>
    <x v="13"/>
    <n v="1"/>
    <n v="151"/>
    <x v="148"/>
  </r>
  <r>
    <n v="873"/>
    <x v="38"/>
    <x v="19"/>
    <x v="0"/>
    <x v="1"/>
    <x v="0"/>
    <x v="13"/>
    <x v="16"/>
    <n v="0.4"/>
    <x v="17"/>
    <n v="1"/>
    <n v="100"/>
    <x v="129"/>
  </r>
  <r>
    <n v="874"/>
    <x v="38"/>
    <x v="20"/>
    <x v="0"/>
    <x v="1"/>
    <x v="0"/>
    <x v="13"/>
    <x v="14"/>
    <n v="0.4"/>
    <x v="9"/>
    <n v="3"/>
    <n v="53"/>
    <x v="10"/>
  </r>
  <r>
    <n v="875"/>
    <x v="38"/>
    <x v="21"/>
    <x v="0"/>
    <x v="1"/>
    <x v="0"/>
    <x v="14"/>
    <x v="15"/>
    <n v="0.33"/>
    <x v="17"/>
    <n v="8"/>
    <n v="46"/>
    <x v="60"/>
  </r>
  <r>
    <n v="876"/>
    <x v="38"/>
    <x v="22"/>
    <x v="0"/>
    <x v="1"/>
    <x v="0"/>
    <x v="16"/>
    <x v="15"/>
    <n v="0.33"/>
    <x v="11"/>
    <n v="0"/>
    <n v="29"/>
    <x v="115"/>
  </r>
  <r>
    <n v="877"/>
    <x v="38"/>
    <x v="23"/>
    <x v="0"/>
    <x v="1"/>
    <x v="0"/>
    <x v="16"/>
    <x v="15"/>
    <n v="0.33"/>
    <x v="9"/>
    <n v="3"/>
    <n v="9"/>
    <x v="47"/>
  </r>
  <r>
    <n v="878"/>
    <x v="39"/>
    <x v="0"/>
    <x v="0"/>
    <x v="1"/>
    <x v="0"/>
    <x v="18"/>
    <x v="23"/>
    <n v="0.36"/>
    <x v="11"/>
    <n v="0"/>
    <n v="17"/>
    <x v="22"/>
  </r>
  <r>
    <n v="879"/>
    <x v="39"/>
    <x v="1"/>
    <x v="0"/>
    <x v="1"/>
    <x v="0"/>
    <x v="18"/>
    <x v="15"/>
    <n v="0.36"/>
    <x v="6"/>
    <n v="0"/>
    <n v="7"/>
    <x v="85"/>
  </r>
  <r>
    <n v="880"/>
    <x v="39"/>
    <x v="2"/>
    <x v="0"/>
    <x v="1"/>
    <x v="0"/>
    <x v="19"/>
    <x v="23"/>
    <n v="0.38"/>
    <x v="3"/>
    <n v="1"/>
    <n v="2"/>
    <x v="6"/>
  </r>
  <r>
    <n v="881"/>
    <x v="39"/>
    <x v="3"/>
    <x v="0"/>
    <x v="1"/>
    <x v="0"/>
    <x v="20"/>
    <x v="23"/>
    <n v="0.45"/>
    <x v="7"/>
    <n v="0"/>
    <n v="2"/>
    <x v="5"/>
  </r>
  <r>
    <n v="882"/>
    <x v="39"/>
    <x v="5"/>
    <x v="0"/>
    <x v="1"/>
    <x v="0"/>
    <x v="20"/>
    <x v="15"/>
    <n v="0.45"/>
    <x v="14"/>
    <n v="0"/>
    <n v="7"/>
    <x v="85"/>
  </r>
  <r>
    <n v="883"/>
    <x v="39"/>
    <x v="6"/>
    <x v="0"/>
    <x v="1"/>
    <x v="0"/>
    <x v="20"/>
    <x v="20"/>
    <n v="0.45"/>
    <x v="0"/>
    <n v="0"/>
    <n v="43"/>
    <x v="74"/>
  </r>
  <r>
    <n v="884"/>
    <x v="39"/>
    <x v="7"/>
    <x v="0"/>
    <x v="1"/>
    <x v="0"/>
    <x v="20"/>
    <x v="15"/>
    <n v="0.49"/>
    <x v="14"/>
    <n v="4"/>
    <n v="95"/>
    <x v="111"/>
  </r>
  <r>
    <n v="885"/>
    <x v="39"/>
    <x v="8"/>
    <x v="0"/>
    <x v="1"/>
    <x v="0"/>
    <x v="18"/>
    <x v="14"/>
    <n v="0.42"/>
    <x v="0"/>
    <n v="1"/>
    <n v="198"/>
    <x v="183"/>
  </r>
  <r>
    <n v="886"/>
    <x v="39"/>
    <x v="9"/>
    <x v="0"/>
    <x v="1"/>
    <x v="0"/>
    <x v="16"/>
    <x v="14"/>
    <n v="0.39"/>
    <x v="8"/>
    <n v="4"/>
    <n v="119"/>
    <x v="92"/>
  </r>
  <r>
    <n v="887"/>
    <x v="39"/>
    <x v="10"/>
    <x v="0"/>
    <x v="1"/>
    <x v="0"/>
    <x v="14"/>
    <x v="18"/>
    <n v="0.36"/>
    <x v="0"/>
    <n v="8"/>
    <n v="51"/>
    <x v="29"/>
  </r>
  <r>
    <n v="888"/>
    <x v="39"/>
    <x v="11"/>
    <x v="0"/>
    <x v="1"/>
    <x v="1"/>
    <x v="14"/>
    <x v="20"/>
    <n v="0.43"/>
    <x v="8"/>
    <n v="1"/>
    <n v="40"/>
    <x v="102"/>
  </r>
  <r>
    <n v="889"/>
    <x v="39"/>
    <x v="12"/>
    <x v="0"/>
    <x v="1"/>
    <x v="1"/>
    <x v="15"/>
    <x v="18"/>
    <n v="0.4"/>
    <x v="6"/>
    <n v="4"/>
    <n v="57"/>
    <x v="42"/>
  </r>
  <r>
    <n v="890"/>
    <x v="39"/>
    <x v="13"/>
    <x v="0"/>
    <x v="1"/>
    <x v="0"/>
    <x v="15"/>
    <x v="17"/>
    <n v="0.4"/>
    <x v="2"/>
    <n v="2"/>
    <n v="67"/>
    <x v="83"/>
  </r>
  <r>
    <n v="891"/>
    <x v="39"/>
    <x v="14"/>
    <x v="0"/>
    <x v="1"/>
    <x v="0"/>
    <x v="2"/>
    <x v="18"/>
    <n v="0.34"/>
    <x v="4"/>
    <n v="2"/>
    <n v="56"/>
    <x v="154"/>
  </r>
  <r>
    <n v="892"/>
    <x v="39"/>
    <x v="15"/>
    <x v="0"/>
    <x v="1"/>
    <x v="1"/>
    <x v="2"/>
    <x v="18"/>
    <n v="0.34"/>
    <x v="3"/>
    <n v="3"/>
    <n v="61"/>
    <x v="37"/>
  </r>
  <r>
    <n v="893"/>
    <x v="39"/>
    <x v="16"/>
    <x v="0"/>
    <x v="1"/>
    <x v="1"/>
    <x v="2"/>
    <x v="13"/>
    <n v="0.37"/>
    <x v="2"/>
    <n v="7"/>
    <n v="72"/>
    <x v="67"/>
  </r>
  <r>
    <n v="894"/>
    <x v="39"/>
    <x v="17"/>
    <x v="0"/>
    <x v="1"/>
    <x v="1"/>
    <x v="2"/>
    <x v="13"/>
    <n v="0.34"/>
    <x v="2"/>
    <n v="9"/>
    <n v="157"/>
    <x v="150"/>
  </r>
  <r>
    <n v="895"/>
    <x v="39"/>
    <x v="18"/>
    <x v="0"/>
    <x v="1"/>
    <x v="1"/>
    <x v="15"/>
    <x v="17"/>
    <n v="0.47"/>
    <x v="4"/>
    <n v="2"/>
    <n v="168"/>
    <x v="184"/>
  </r>
  <r>
    <n v="896"/>
    <x v="39"/>
    <x v="19"/>
    <x v="0"/>
    <x v="1"/>
    <x v="2"/>
    <x v="14"/>
    <x v="16"/>
    <n v="0.86"/>
    <x v="2"/>
    <n v="1"/>
    <n v="87"/>
    <x v="39"/>
  </r>
  <r>
    <n v="897"/>
    <x v="39"/>
    <x v="20"/>
    <x v="0"/>
    <x v="1"/>
    <x v="2"/>
    <x v="14"/>
    <x v="20"/>
    <n v="0.86"/>
    <x v="8"/>
    <n v="0"/>
    <n v="84"/>
    <x v="11"/>
  </r>
  <r>
    <n v="898"/>
    <x v="39"/>
    <x v="21"/>
    <x v="0"/>
    <x v="1"/>
    <x v="1"/>
    <x v="14"/>
    <x v="20"/>
    <n v="0.86"/>
    <x v="8"/>
    <n v="0"/>
    <n v="83"/>
    <x v="56"/>
  </r>
  <r>
    <n v="899"/>
    <x v="39"/>
    <x v="22"/>
    <x v="0"/>
    <x v="1"/>
    <x v="2"/>
    <x v="13"/>
    <x v="17"/>
    <n v="0.8"/>
    <x v="8"/>
    <n v="4"/>
    <n v="42"/>
    <x v="66"/>
  </r>
  <r>
    <n v="900"/>
    <x v="39"/>
    <x v="23"/>
    <x v="0"/>
    <x v="1"/>
    <x v="2"/>
    <x v="13"/>
    <x v="20"/>
    <n v="0.8"/>
    <x v="5"/>
    <n v="0"/>
    <n v="37"/>
    <x v="18"/>
  </r>
  <r>
    <n v="901"/>
    <x v="40"/>
    <x v="0"/>
    <x v="0"/>
    <x v="1"/>
    <x v="2"/>
    <x v="14"/>
    <x v="14"/>
    <n v="0.86"/>
    <x v="5"/>
    <n v="0"/>
    <n v="16"/>
    <x v="0"/>
  </r>
  <r>
    <n v="902"/>
    <x v="40"/>
    <x v="1"/>
    <x v="0"/>
    <x v="1"/>
    <x v="2"/>
    <x v="14"/>
    <x v="20"/>
    <n v="0.8"/>
    <x v="7"/>
    <n v="0"/>
    <n v="7"/>
    <x v="85"/>
  </r>
  <r>
    <n v="903"/>
    <x v="40"/>
    <x v="2"/>
    <x v="0"/>
    <x v="1"/>
    <x v="2"/>
    <x v="14"/>
    <x v="20"/>
    <n v="0.8"/>
    <x v="7"/>
    <n v="0"/>
    <n v="3"/>
    <x v="6"/>
  </r>
  <r>
    <n v="904"/>
    <x v="40"/>
    <x v="4"/>
    <x v="0"/>
    <x v="1"/>
    <x v="1"/>
    <x v="14"/>
    <x v="14"/>
    <n v="0.59"/>
    <x v="6"/>
    <n v="0"/>
    <n v="1"/>
    <x v="4"/>
  </r>
  <r>
    <n v="905"/>
    <x v="40"/>
    <x v="5"/>
    <x v="0"/>
    <x v="1"/>
    <x v="1"/>
    <x v="16"/>
    <x v="16"/>
    <n v="0.5"/>
    <x v="6"/>
    <n v="0"/>
    <n v="6"/>
    <x v="24"/>
  </r>
  <r>
    <n v="906"/>
    <x v="40"/>
    <x v="6"/>
    <x v="0"/>
    <x v="1"/>
    <x v="1"/>
    <x v="16"/>
    <x v="16"/>
    <n v="0.54"/>
    <x v="3"/>
    <n v="0"/>
    <n v="26"/>
    <x v="132"/>
  </r>
  <r>
    <n v="907"/>
    <x v="40"/>
    <x v="7"/>
    <x v="0"/>
    <x v="1"/>
    <x v="0"/>
    <x v="18"/>
    <x v="23"/>
    <n v="0.5"/>
    <x v="12"/>
    <n v="0"/>
    <n v="99"/>
    <x v="111"/>
  </r>
  <r>
    <n v="908"/>
    <x v="40"/>
    <x v="8"/>
    <x v="0"/>
    <x v="1"/>
    <x v="0"/>
    <x v="18"/>
    <x v="23"/>
    <n v="0.49"/>
    <x v="9"/>
    <n v="5"/>
    <n v="173"/>
    <x v="106"/>
  </r>
  <r>
    <n v="909"/>
    <x v="40"/>
    <x v="9"/>
    <x v="0"/>
    <x v="1"/>
    <x v="0"/>
    <x v="16"/>
    <x v="15"/>
    <n v="0.42"/>
    <x v="11"/>
    <n v="1"/>
    <n v="121"/>
    <x v="78"/>
  </r>
  <r>
    <n v="910"/>
    <x v="40"/>
    <x v="10"/>
    <x v="0"/>
    <x v="1"/>
    <x v="0"/>
    <x v="16"/>
    <x v="15"/>
    <n v="0.42"/>
    <x v="4"/>
    <n v="1"/>
    <n v="34"/>
    <x v="17"/>
  </r>
  <r>
    <n v="911"/>
    <x v="40"/>
    <x v="11"/>
    <x v="0"/>
    <x v="1"/>
    <x v="0"/>
    <x v="14"/>
    <x v="16"/>
    <n v="0.39"/>
    <x v="11"/>
    <n v="1"/>
    <n v="44"/>
    <x v="79"/>
  </r>
  <r>
    <n v="912"/>
    <x v="40"/>
    <x v="12"/>
    <x v="0"/>
    <x v="1"/>
    <x v="0"/>
    <x v="13"/>
    <x v="14"/>
    <n v="0.34"/>
    <x v="13"/>
    <n v="4"/>
    <n v="65"/>
    <x v="83"/>
  </r>
  <r>
    <n v="913"/>
    <x v="40"/>
    <x v="13"/>
    <x v="0"/>
    <x v="1"/>
    <x v="0"/>
    <x v="15"/>
    <x v="17"/>
    <n v="0.28999999999999998"/>
    <x v="4"/>
    <n v="3"/>
    <n v="59"/>
    <x v="69"/>
  </r>
  <r>
    <n v="914"/>
    <x v="40"/>
    <x v="14"/>
    <x v="0"/>
    <x v="1"/>
    <x v="0"/>
    <x v="2"/>
    <x v="18"/>
    <n v="0.27"/>
    <x v="3"/>
    <n v="6"/>
    <n v="42"/>
    <x v="61"/>
  </r>
  <r>
    <n v="915"/>
    <x v="40"/>
    <x v="15"/>
    <x v="0"/>
    <x v="1"/>
    <x v="0"/>
    <x v="2"/>
    <x v="13"/>
    <n v="0.25"/>
    <x v="2"/>
    <n v="0"/>
    <n v="50"/>
    <x v="89"/>
  </r>
  <r>
    <n v="916"/>
    <x v="40"/>
    <x v="16"/>
    <x v="0"/>
    <x v="1"/>
    <x v="0"/>
    <x v="2"/>
    <x v="18"/>
    <n v="0.27"/>
    <x v="4"/>
    <n v="4"/>
    <n v="76"/>
    <x v="138"/>
  </r>
  <r>
    <n v="917"/>
    <x v="40"/>
    <x v="17"/>
    <x v="0"/>
    <x v="1"/>
    <x v="0"/>
    <x v="15"/>
    <x v="18"/>
    <n v="0.26"/>
    <x v="5"/>
    <n v="6"/>
    <n v="159"/>
    <x v="185"/>
  </r>
  <r>
    <n v="918"/>
    <x v="40"/>
    <x v="18"/>
    <x v="0"/>
    <x v="1"/>
    <x v="0"/>
    <x v="13"/>
    <x v="18"/>
    <n v="0.28000000000000003"/>
    <x v="7"/>
    <n v="3"/>
    <n v="157"/>
    <x v="186"/>
  </r>
  <r>
    <n v="919"/>
    <x v="40"/>
    <x v="19"/>
    <x v="0"/>
    <x v="1"/>
    <x v="0"/>
    <x v="14"/>
    <x v="17"/>
    <n v="0.28000000000000003"/>
    <x v="14"/>
    <n v="2"/>
    <n v="110"/>
    <x v="59"/>
  </r>
  <r>
    <n v="920"/>
    <x v="40"/>
    <x v="20"/>
    <x v="0"/>
    <x v="1"/>
    <x v="0"/>
    <x v="14"/>
    <x v="18"/>
    <n v="0.31"/>
    <x v="1"/>
    <n v="4"/>
    <n v="93"/>
    <x v="54"/>
  </r>
  <r>
    <n v="921"/>
    <x v="40"/>
    <x v="21"/>
    <x v="0"/>
    <x v="1"/>
    <x v="0"/>
    <x v="14"/>
    <x v="12"/>
    <n v="0.39"/>
    <x v="0"/>
    <n v="2"/>
    <n v="70"/>
    <x v="44"/>
  </r>
  <r>
    <n v="922"/>
    <x v="40"/>
    <x v="22"/>
    <x v="0"/>
    <x v="1"/>
    <x v="0"/>
    <x v="16"/>
    <x v="13"/>
    <n v="0.39"/>
    <x v="0"/>
    <n v="4"/>
    <n v="47"/>
    <x v="41"/>
  </r>
  <r>
    <n v="923"/>
    <x v="40"/>
    <x v="23"/>
    <x v="0"/>
    <x v="1"/>
    <x v="0"/>
    <x v="16"/>
    <x v="20"/>
    <n v="0.42"/>
    <x v="14"/>
    <n v="1"/>
    <n v="33"/>
    <x v="19"/>
  </r>
  <r>
    <n v="924"/>
    <x v="41"/>
    <x v="0"/>
    <x v="0"/>
    <x v="1"/>
    <x v="0"/>
    <x v="18"/>
    <x v="14"/>
    <n v="0.49"/>
    <x v="14"/>
    <n v="2"/>
    <n v="12"/>
    <x v="8"/>
  </r>
  <r>
    <n v="925"/>
    <x v="41"/>
    <x v="1"/>
    <x v="0"/>
    <x v="1"/>
    <x v="0"/>
    <x v="18"/>
    <x v="14"/>
    <n v="0.54"/>
    <x v="1"/>
    <n v="1"/>
    <n v="6"/>
    <x v="85"/>
  </r>
  <r>
    <n v="926"/>
    <x v="41"/>
    <x v="2"/>
    <x v="0"/>
    <x v="1"/>
    <x v="0"/>
    <x v="18"/>
    <x v="14"/>
    <n v="0.54"/>
    <x v="1"/>
    <n v="0"/>
    <n v="3"/>
    <x v="6"/>
  </r>
  <r>
    <n v="927"/>
    <x v="41"/>
    <x v="5"/>
    <x v="0"/>
    <x v="1"/>
    <x v="0"/>
    <x v="19"/>
    <x v="16"/>
    <n v="0.63"/>
    <x v="1"/>
    <n v="0"/>
    <n v="4"/>
    <x v="48"/>
  </r>
  <r>
    <n v="928"/>
    <x v="41"/>
    <x v="6"/>
    <x v="0"/>
    <x v="1"/>
    <x v="0"/>
    <x v="18"/>
    <x v="18"/>
    <n v="0.68"/>
    <x v="0"/>
    <n v="1"/>
    <n v="23"/>
    <x v="108"/>
  </r>
  <r>
    <n v="929"/>
    <x v="41"/>
    <x v="7"/>
    <x v="0"/>
    <x v="1"/>
    <x v="0"/>
    <x v="19"/>
    <x v="17"/>
    <n v="0.73"/>
    <x v="0"/>
    <n v="1"/>
    <n v="73"/>
    <x v="30"/>
  </r>
  <r>
    <n v="930"/>
    <x v="41"/>
    <x v="8"/>
    <x v="0"/>
    <x v="1"/>
    <x v="0"/>
    <x v="18"/>
    <x v="16"/>
    <n v="0.74"/>
    <x v="8"/>
    <n v="4"/>
    <n v="212"/>
    <x v="181"/>
  </r>
  <r>
    <n v="931"/>
    <x v="41"/>
    <x v="9"/>
    <x v="0"/>
    <x v="1"/>
    <x v="0"/>
    <x v="16"/>
    <x v="16"/>
    <n v="0.74"/>
    <x v="6"/>
    <n v="8"/>
    <n v="132"/>
    <x v="187"/>
  </r>
  <r>
    <n v="932"/>
    <x v="41"/>
    <x v="10"/>
    <x v="0"/>
    <x v="1"/>
    <x v="0"/>
    <x v="14"/>
    <x v="14"/>
    <n v="0.69"/>
    <x v="5"/>
    <n v="5"/>
    <n v="39"/>
    <x v="40"/>
  </r>
  <r>
    <n v="933"/>
    <x v="41"/>
    <x v="11"/>
    <x v="0"/>
    <x v="1"/>
    <x v="0"/>
    <x v="1"/>
    <x v="11"/>
    <n v="0.47"/>
    <x v="7"/>
    <n v="12"/>
    <n v="52"/>
    <x v="37"/>
  </r>
  <r>
    <n v="934"/>
    <x v="41"/>
    <x v="12"/>
    <x v="0"/>
    <x v="1"/>
    <x v="0"/>
    <x v="1"/>
    <x v="11"/>
    <n v="0.47"/>
    <x v="7"/>
    <n v="7"/>
    <n v="64"/>
    <x v="68"/>
  </r>
  <r>
    <n v="935"/>
    <x v="41"/>
    <x v="13"/>
    <x v="0"/>
    <x v="1"/>
    <x v="0"/>
    <x v="0"/>
    <x v="11"/>
    <n v="0.35"/>
    <x v="5"/>
    <n v="21"/>
    <n v="89"/>
    <x v="14"/>
  </r>
  <r>
    <n v="936"/>
    <x v="41"/>
    <x v="14"/>
    <x v="0"/>
    <x v="1"/>
    <x v="0"/>
    <x v="11"/>
    <x v="0"/>
    <n v="0.26"/>
    <x v="2"/>
    <n v="17"/>
    <n v="67"/>
    <x v="11"/>
  </r>
  <r>
    <n v="937"/>
    <x v="41"/>
    <x v="15"/>
    <x v="0"/>
    <x v="1"/>
    <x v="0"/>
    <x v="3"/>
    <x v="21"/>
    <n v="0.21"/>
    <x v="8"/>
    <n v="12"/>
    <n v="62"/>
    <x v="30"/>
  </r>
  <r>
    <n v="938"/>
    <x v="41"/>
    <x v="16"/>
    <x v="0"/>
    <x v="1"/>
    <x v="0"/>
    <x v="11"/>
    <x v="0"/>
    <n v="0.28000000000000003"/>
    <x v="5"/>
    <n v="14"/>
    <n v="111"/>
    <x v="139"/>
  </r>
  <r>
    <n v="939"/>
    <x v="41"/>
    <x v="17"/>
    <x v="0"/>
    <x v="1"/>
    <x v="0"/>
    <x v="11"/>
    <x v="6"/>
    <n v="0.24"/>
    <x v="0"/>
    <n v="18"/>
    <n v="193"/>
    <x v="188"/>
  </r>
  <r>
    <n v="940"/>
    <x v="41"/>
    <x v="18"/>
    <x v="0"/>
    <x v="1"/>
    <x v="0"/>
    <x v="17"/>
    <x v="21"/>
    <n v="0.28000000000000003"/>
    <x v="0"/>
    <n v="9"/>
    <n v="165"/>
    <x v="176"/>
  </r>
  <r>
    <n v="941"/>
    <x v="41"/>
    <x v="19"/>
    <x v="0"/>
    <x v="1"/>
    <x v="0"/>
    <x v="12"/>
    <x v="25"/>
    <n v="0.33"/>
    <x v="0"/>
    <n v="7"/>
    <n v="94"/>
    <x v="129"/>
  </r>
  <r>
    <n v="942"/>
    <x v="41"/>
    <x v="20"/>
    <x v="0"/>
    <x v="1"/>
    <x v="0"/>
    <x v="1"/>
    <x v="11"/>
    <n v="0.55000000000000004"/>
    <x v="7"/>
    <n v="2"/>
    <n v="61"/>
    <x v="55"/>
  </r>
  <r>
    <n v="943"/>
    <x v="41"/>
    <x v="21"/>
    <x v="0"/>
    <x v="1"/>
    <x v="0"/>
    <x v="2"/>
    <x v="12"/>
    <n v="0.59"/>
    <x v="7"/>
    <n v="1"/>
    <n v="46"/>
    <x v="105"/>
  </r>
  <r>
    <n v="944"/>
    <x v="41"/>
    <x v="22"/>
    <x v="0"/>
    <x v="1"/>
    <x v="0"/>
    <x v="2"/>
    <x v="11"/>
    <n v="0.64"/>
    <x v="1"/>
    <n v="2"/>
    <n v="41"/>
    <x v="74"/>
  </r>
  <r>
    <n v="945"/>
    <x v="41"/>
    <x v="23"/>
    <x v="0"/>
    <x v="1"/>
    <x v="0"/>
    <x v="15"/>
    <x v="19"/>
    <n v="0.69"/>
    <x v="0"/>
    <n v="5"/>
    <n v="48"/>
    <x v="26"/>
  </r>
  <r>
    <n v="946"/>
    <x v="42"/>
    <x v="0"/>
    <x v="0"/>
    <x v="0"/>
    <x v="0"/>
    <x v="13"/>
    <x v="13"/>
    <n v="0.69"/>
    <x v="1"/>
    <n v="3"/>
    <n v="27"/>
    <x v="33"/>
  </r>
  <r>
    <n v="947"/>
    <x v="42"/>
    <x v="1"/>
    <x v="0"/>
    <x v="0"/>
    <x v="0"/>
    <x v="14"/>
    <x v="12"/>
    <n v="0.86"/>
    <x v="0"/>
    <n v="2"/>
    <n v="22"/>
    <x v="108"/>
  </r>
  <r>
    <n v="948"/>
    <x v="42"/>
    <x v="2"/>
    <x v="0"/>
    <x v="0"/>
    <x v="0"/>
    <x v="14"/>
    <x v="12"/>
    <n v="0.8"/>
    <x v="0"/>
    <n v="2"/>
    <n v="13"/>
    <x v="93"/>
  </r>
  <r>
    <n v="949"/>
    <x v="42"/>
    <x v="3"/>
    <x v="0"/>
    <x v="0"/>
    <x v="0"/>
    <x v="16"/>
    <x v="13"/>
    <n v="0.8"/>
    <x v="0"/>
    <n v="3"/>
    <n v="7"/>
    <x v="98"/>
  </r>
  <r>
    <n v="950"/>
    <x v="42"/>
    <x v="4"/>
    <x v="0"/>
    <x v="0"/>
    <x v="0"/>
    <x v="16"/>
    <x v="17"/>
    <n v="0.74"/>
    <x v="1"/>
    <n v="0"/>
    <n v="4"/>
    <x v="48"/>
  </r>
  <r>
    <n v="951"/>
    <x v="42"/>
    <x v="5"/>
    <x v="0"/>
    <x v="0"/>
    <x v="0"/>
    <x v="16"/>
    <x v="17"/>
    <n v="0.74"/>
    <x v="1"/>
    <n v="0"/>
    <n v="1"/>
    <x v="4"/>
  </r>
  <r>
    <n v="952"/>
    <x v="42"/>
    <x v="6"/>
    <x v="0"/>
    <x v="0"/>
    <x v="0"/>
    <x v="16"/>
    <x v="14"/>
    <n v="0.93"/>
    <x v="5"/>
    <n v="1"/>
    <n v="1"/>
    <x v="5"/>
  </r>
  <r>
    <n v="953"/>
    <x v="42"/>
    <x v="7"/>
    <x v="0"/>
    <x v="0"/>
    <x v="0"/>
    <x v="16"/>
    <x v="20"/>
    <n v="0.8"/>
    <x v="14"/>
    <n v="2"/>
    <n v="9"/>
    <x v="62"/>
  </r>
  <r>
    <n v="954"/>
    <x v="42"/>
    <x v="8"/>
    <x v="0"/>
    <x v="0"/>
    <x v="0"/>
    <x v="14"/>
    <x v="20"/>
    <n v="0.86"/>
    <x v="7"/>
    <n v="2"/>
    <n v="28"/>
    <x v="33"/>
  </r>
  <r>
    <n v="955"/>
    <x v="42"/>
    <x v="9"/>
    <x v="0"/>
    <x v="0"/>
    <x v="0"/>
    <x v="13"/>
    <x v="18"/>
    <n v="0.64"/>
    <x v="7"/>
    <n v="5"/>
    <n v="38"/>
    <x v="74"/>
  </r>
  <r>
    <n v="956"/>
    <x v="42"/>
    <x v="10"/>
    <x v="0"/>
    <x v="0"/>
    <x v="0"/>
    <x v="1"/>
    <x v="12"/>
    <n v="0.41"/>
    <x v="2"/>
    <n v="13"/>
    <n v="71"/>
    <x v="11"/>
  </r>
  <r>
    <n v="957"/>
    <x v="42"/>
    <x v="11"/>
    <x v="0"/>
    <x v="0"/>
    <x v="0"/>
    <x v="11"/>
    <x v="1"/>
    <n v="0.28000000000000003"/>
    <x v="9"/>
    <n v="30"/>
    <n v="84"/>
    <x v="180"/>
  </r>
  <r>
    <n v="958"/>
    <x v="42"/>
    <x v="12"/>
    <x v="0"/>
    <x v="0"/>
    <x v="0"/>
    <x v="11"/>
    <x v="1"/>
    <n v="0.39"/>
    <x v="17"/>
    <n v="27"/>
    <n v="93"/>
    <x v="151"/>
  </r>
  <r>
    <n v="959"/>
    <x v="42"/>
    <x v="13"/>
    <x v="0"/>
    <x v="0"/>
    <x v="0"/>
    <x v="11"/>
    <x v="1"/>
    <n v="0.39"/>
    <x v="12"/>
    <n v="32"/>
    <n v="103"/>
    <x v="168"/>
  </r>
  <r>
    <n v="960"/>
    <x v="42"/>
    <x v="14"/>
    <x v="0"/>
    <x v="0"/>
    <x v="0"/>
    <x v="10"/>
    <x v="21"/>
    <n v="0.31"/>
    <x v="3"/>
    <n v="30"/>
    <n v="90"/>
    <x v="151"/>
  </r>
  <r>
    <n v="961"/>
    <x v="42"/>
    <x v="15"/>
    <x v="0"/>
    <x v="0"/>
    <x v="0"/>
    <x v="10"/>
    <x v="25"/>
    <n v="0.28999999999999998"/>
    <x v="12"/>
    <n v="47"/>
    <n v="127"/>
    <x v="176"/>
  </r>
  <r>
    <n v="962"/>
    <x v="42"/>
    <x v="16"/>
    <x v="0"/>
    <x v="0"/>
    <x v="0"/>
    <x v="10"/>
    <x v="25"/>
    <n v="0.28999999999999998"/>
    <x v="12"/>
    <n v="42"/>
    <n v="103"/>
    <x v="189"/>
  </r>
  <r>
    <n v="963"/>
    <x v="42"/>
    <x v="17"/>
    <x v="0"/>
    <x v="0"/>
    <x v="0"/>
    <x v="3"/>
    <x v="0"/>
    <n v="0.31"/>
    <x v="18"/>
    <n v="24"/>
    <n v="113"/>
    <x v="120"/>
  </r>
  <r>
    <n v="964"/>
    <x v="42"/>
    <x v="18"/>
    <x v="0"/>
    <x v="0"/>
    <x v="0"/>
    <x v="17"/>
    <x v="2"/>
    <n v="0.38"/>
    <x v="9"/>
    <n v="4"/>
    <n v="60"/>
    <x v="37"/>
  </r>
  <r>
    <n v="965"/>
    <x v="42"/>
    <x v="19"/>
    <x v="0"/>
    <x v="0"/>
    <x v="0"/>
    <x v="17"/>
    <x v="1"/>
    <n v="0.38"/>
    <x v="8"/>
    <n v="2"/>
    <n v="39"/>
    <x v="102"/>
  </r>
  <r>
    <n v="966"/>
    <x v="42"/>
    <x v="20"/>
    <x v="0"/>
    <x v="0"/>
    <x v="0"/>
    <x v="12"/>
    <x v="2"/>
    <n v="0.41"/>
    <x v="6"/>
    <n v="1"/>
    <n v="39"/>
    <x v="1"/>
  </r>
  <r>
    <n v="967"/>
    <x v="42"/>
    <x v="21"/>
    <x v="0"/>
    <x v="0"/>
    <x v="0"/>
    <x v="12"/>
    <x v="25"/>
    <n v="0.41"/>
    <x v="0"/>
    <n v="9"/>
    <n v="42"/>
    <x v="41"/>
  </r>
  <r>
    <n v="968"/>
    <x v="42"/>
    <x v="22"/>
    <x v="0"/>
    <x v="0"/>
    <x v="0"/>
    <x v="0"/>
    <x v="2"/>
    <n v="0.44"/>
    <x v="1"/>
    <n v="6"/>
    <n v="39"/>
    <x v="79"/>
  </r>
  <r>
    <n v="969"/>
    <x v="42"/>
    <x v="23"/>
    <x v="0"/>
    <x v="0"/>
    <x v="0"/>
    <x v="1"/>
    <x v="11"/>
    <n v="0.51"/>
    <x v="7"/>
    <n v="1"/>
    <n v="31"/>
    <x v="2"/>
  </r>
  <r>
    <n v="970"/>
    <x v="43"/>
    <x v="0"/>
    <x v="0"/>
    <x v="0"/>
    <x v="0"/>
    <x v="2"/>
    <x v="11"/>
    <n v="0.64"/>
    <x v="14"/>
    <n v="5"/>
    <n v="34"/>
    <x v="21"/>
  </r>
  <r>
    <n v="971"/>
    <x v="43"/>
    <x v="1"/>
    <x v="0"/>
    <x v="0"/>
    <x v="0"/>
    <x v="2"/>
    <x v="11"/>
    <n v="0.59"/>
    <x v="1"/>
    <n v="1"/>
    <n v="23"/>
    <x v="108"/>
  </r>
  <r>
    <n v="972"/>
    <x v="43"/>
    <x v="2"/>
    <x v="0"/>
    <x v="0"/>
    <x v="1"/>
    <x v="2"/>
    <x v="11"/>
    <n v="0.75"/>
    <x v="1"/>
    <n v="1"/>
    <n v="19"/>
    <x v="25"/>
  </r>
  <r>
    <n v="973"/>
    <x v="43"/>
    <x v="3"/>
    <x v="0"/>
    <x v="0"/>
    <x v="1"/>
    <x v="2"/>
    <x v="11"/>
    <n v="0.69"/>
    <x v="14"/>
    <n v="4"/>
    <n v="8"/>
    <x v="47"/>
  </r>
  <r>
    <n v="974"/>
    <x v="43"/>
    <x v="4"/>
    <x v="0"/>
    <x v="0"/>
    <x v="1"/>
    <x v="2"/>
    <x v="12"/>
    <n v="0.69"/>
    <x v="8"/>
    <n v="0"/>
    <n v="2"/>
    <x v="5"/>
  </r>
  <r>
    <n v="975"/>
    <x v="43"/>
    <x v="6"/>
    <x v="0"/>
    <x v="0"/>
    <x v="1"/>
    <x v="2"/>
    <x v="12"/>
    <n v="0.69"/>
    <x v="7"/>
    <n v="2"/>
    <n v="3"/>
    <x v="36"/>
  </r>
  <r>
    <n v="976"/>
    <x v="43"/>
    <x v="7"/>
    <x v="0"/>
    <x v="0"/>
    <x v="1"/>
    <x v="1"/>
    <x v="1"/>
    <n v="0.55000000000000004"/>
    <x v="0"/>
    <n v="0"/>
    <n v="3"/>
    <x v="6"/>
  </r>
  <r>
    <n v="977"/>
    <x v="43"/>
    <x v="8"/>
    <x v="0"/>
    <x v="0"/>
    <x v="1"/>
    <x v="1"/>
    <x v="11"/>
    <n v="0.64"/>
    <x v="5"/>
    <n v="1"/>
    <n v="11"/>
    <x v="47"/>
  </r>
  <r>
    <n v="978"/>
    <x v="43"/>
    <x v="9"/>
    <x v="0"/>
    <x v="0"/>
    <x v="1"/>
    <x v="0"/>
    <x v="11"/>
    <n v="0.6"/>
    <x v="6"/>
    <n v="12"/>
    <n v="35"/>
    <x v="105"/>
  </r>
  <r>
    <n v="979"/>
    <x v="43"/>
    <x v="10"/>
    <x v="0"/>
    <x v="0"/>
    <x v="0"/>
    <x v="11"/>
    <x v="1"/>
    <n v="0.45"/>
    <x v="9"/>
    <n v="19"/>
    <n v="86"/>
    <x v="136"/>
  </r>
  <r>
    <n v="980"/>
    <x v="43"/>
    <x v="11"/>
    <x v="0"/>
    <x v="0"/>
    <x v="0"/>
    <x v="3"/>
    <x v="0"/>
    <n v="0.39"/>
    <x v="10"/>
    <n v="26"/>
    <n v="86"/>
    <x v="59"/>
  </r>
  <r>
    <n v="981"/>
    <x v="43"/>
    <x v="12"/>
    <x v="0"/>
    <x v="0"/>
    <x v="0"/>
    <x v="5"/>
    <x v="21"/>
    <n v="0.32"/>
    <x v="17"/>
    <n v="58"/>
    <n v="94"/>
    <x v="148"/>
  </r>
  <r>
    <n v="982"/>
    <x v="43"/>
    <x v="13"/>
    <x v="0"/>
    <x v="0"/>
    <x v="0"/>
    <x v="4"/>
    <x v="5"/>
    <n v="0.28999999999999998"/>
    <x v="11"/>
    <n v="62"/>
    <n v="92"/>
    <x v="38"/>
  </r>
  <r>
    <n v="983"/>
    <x v="43"/>
    <x v="14"/>
    <x v="0"/>
    <x v="0"/>
    <x v="1"/>
    <x v="9"/>
    <x v="10"/>
    <n v="0.3"/>
    <x v="12"/>
    <n v="51"/>
    <n v="110"/>
    <x v="143"/>
  </r>
  <r>
    <n v="984"/>
    <x v="43"/>
    <x v="15"/>
    <x v="0"/>
    <x v="0"/>
    <x v="1"/>
    <x v="9"/>
    <x v="10"/>
    <n v="0.3"/>
    <x v="4"/>
    <n v="40"/>
    <n v="122"/>
    <x v="123"/>
  </r>
  <r>
    <n v="985"/>
    <x v="43"/>
    <x v="16"/>
    <x v="0"/>
    <x v="0"/>
    <x v="1"/>
    <x v="6"/>
    <x v="7"/>
    <n v="0.28000000000000003"/>
    <x v="9"/>
    <n v="28"/>
    <n v="106"/>
    <x v="87"/>
  </r>
  <r>
    <n v="986"/>
    <x v="43"/>
    <x v="17"/>
    <x v="0"/>
    <x v="0"/>
    <x v="0"/>
    <x v="6"/>
    <x v="7"/>
    <n v="0.28000000000000003"/>
    <x v="9"/>
    <n v="30"/>
    <n v="95"/>
    <x v="139"/>
  </r>
  <r>
    <n v="987"/>
    <x v="43"/>
    <x v="18"/>
    <x v="0"/>
    <x v="0"/>
    <x v="0"/>
    <x v="9"/>
    <x v="10"/>
    <n v="0.32"/>
    <x v="4"/>
    <n v="17"/>
    <n v="78"/>
    <x v="76"/>
  </r>
  <r>
    <n v="988"/>
    <x v="43"/>
    <x v="19"/>
    <x v="0"/>
    <x v="0"/>
    <x v="0"/>
    <x v="9"/>
    <x v="10"/>
    <n v="0.35"/>
    <x v="3"/>
    <n v="11"/>
    <n v="50"/>
    <x v="42"/>
  </r>
  <r>
    <n v="989"/>
    <x v="43"/>
    <x v="20"/>
    <x v="0"/>
    <x v="0"/>
    <x v="0"/>
    <x v="9"/>
    <x v="10"/>
    <n v="0.35"/>
    <x v="9"/>
    <n v="15"/>
    <n v="32"/>
    <x v="105"/>
  </r>
  <r>
    <n v="990"/>
    <x v="43"/>
    <x v="21"/>
    <x v="0"/>
    <x v="0"/>
    <x v="0"/>
    <x v="9"/>
    <x v="10"/>
    <n v="0.35"/>
    <x v="11"/>
    <n v="6"/>
    <n v="45"/>
    <x v="41"/>
  </r>
  <r>
    <n v="991"/>
    <x v="43"/>
    <x v="22"/>
    <x v="0"/>
    <x v="0"/>
    <x v="0"/>
    <x v="9"/>
    <x v="10"/>
    <n v="0.35"/>
    <x v="4"/>
    <n v="5"/>
    <n v="31"/>
    <x v="9"/>
  </r>
  <r>
    <n v="992"/>
    <x v="43"/>
    <x v="23"/>
    <x v="0"/>
    <x v="0"/>
    <x v="0"/>
    <x v="9"/>
    <x v="10"/>
    <n v="0.35"/>
    <x v="11"/>
    <n v="3"/>
    <n v="27"/>
    <x v="33"/>
  </r>
  <r>
    <n v="993"/>
    <x v="44"/>
    <x v="0"/>
    <x v="0"/>
    <x v="1"/>
    <x v="0"/>
    <x v="4"/>
    <x v="5"/>
    <n v="0.37"/>
    <x v="11"/>
    <n v="3"/>
    <n v="8"/>
    <x v="62"/>
  </r>
  <r>
    <n v="994"/>
    <x v="44"/>
    <x v="1"/>
    <x v="0"/>
    <x v="1"/>
    <x v="0"/>
    <x v="4"/>
    <x v="5"/>
    <n v="0.37"/>
    <x v="11"/>
    <n v="1"/>
    <n v="6"/>
    <x v="85"/>
  </r>
  <r>
    <n v="995"/>
    <x v="44"/>
    <x v="2"/>
    <x v="0"/>
    <x v="1"/>
    <x v="0"/>
    <x v="5"/>
    <x v="6"/>
    <n v="0.4"/>
    <x v="4"/>
    <n v="0"/>
    <n v="2"/>
    <x v="5"/>
  </r>
  <r>
    <n v="996"/>
    <x v="44"/>
    <x v="3"/>
    <x v="0"/>
    <x v="1"/>
    <x v="0"/>
    <x v="10"/>
    <x v="21"/>
    <n v="0.46"/>
    <x v="6"/>
    <n v="1"/>
    <n v="1"/>
    <x v="5"/>
  </r>
  <r>
    <n v="997"/>
    <x v="44"/>
    <x v="4"/>
    <x v="0"/>
    <x v="1"/>
    <x v="0"/>
    <x v="3"/>
    <x v="25"/>
    <n v="0.53"/>
    <x v="3"/>
    <n v="0"/>
    <n v="2"/>
    <x v="5"/>
  </r>
  <r>
    <n v="998"/>
    <x v="44"/>
    <x v="5"/>
    <x v="0"/>
    <x v="1"/>
    <x v="0"/>
    <x v="3"/>
    <x v="25"/>
    <n v="0.53"/>
    <x v="3"/>
    <n v="0"/>
    <n v="3"/>
    <x v="6"/>
  </r>
  <r>
    <n v="999"/>
    <x v="44"/>
    <x v="6"/>
    <x v="0"/>
    <x v="1"/>
    <x v="0"/>
    <x v="10"/>
    <x v="25"/>
    <n v="0.46"/>
    <x v="4"/>
    <n v="1"/>
    <n v="25"/>
    <x v="132"/>
  </r>
  <r>
    <n v="1000"/>
    <x v="44"/>
    <x v="7"/>
    <x v="0"/>
    <x v="1"/>
    <x v="0"/>
    <x v="10"/>
    <x v="25"/>
    <n v="0.46"/>
    <x v="4"/>
    <n v="2"/>
    <n v="96"/>
    <x v="95"/>
  </r>
  <r>
    <n v="611"/>
    <x v="27"/>
    <x v="16"/>
    <x v="0"/>
    <x v="1"/>
    <x v="0"/>
    <x v="1"/>
    <x v="1"/>
    <n v="0.8"/>
    <x v="0"/>
    <n v="10"/>
    <n v="70"/>
    <x v="138"/>
  </r>
  <r>
    <n v="612"/>
    <x v="27"/>
    <x v="17"/>
    <x v="0"/>
    <x v="1"/>
    <x v="0"/>
    <x v="0"/>
    <x v="19"/>
    <n v="0.75"/>
    <x v="7"/>
    <n v="2"/>
    <n v="147"/>
    <x v="190"/>
  </r>
  <r>
    <n v="613"/>
    <x v="27"/>
    <x v="18"/>
    <x v="0"/>
    <x v="1"/>
    <x v="0"/>
    <x v="0"/>
    <x v="11"/>
    <n v="0.75"/>
    <x v="5"/>
    <n v="2"/>
    <n v="107"/>
    <x v="142"/>
  </r>
  <r>
    <n v="614"/>
    <x v="27"/>
    <x v="19"/>
    <x v="0"/>
    <x v="1"/>
    <x v="1"/>
    <x v="0"/>
    <x v="19"/>
    <n v="0.75"/>
    <x v="7"/>
    <n v="5"/>
    <n v="84"/>
    <x v="70"/>
  </r>
  <r>
    <n v="615"/>
    <x v="27"/>
    <x v="20"/>
    <x v="0"/>
    <x v="1"/>
    <x v="1"/>
    <x v="0"/>
    <x v="11"/>
    <n v="0.7"/>
    <x v="5"/>
    <n v="1"/>
    <n v="61"/>
    <x v="69"/>
  </r>
  <r>
    <n v="616"/>
    <x v="27"/>
    <x v="21"/>
    <x v="0"/>
    <x v="1"/>
    <x v="1"/>
    <x v="1"/>
    <x v="11"/>
    <n v="0.75"/>
    <x v="7"/>
    <n v="1"/>
    <n v="57"/>
    <x v="154"/>
  </r>
  <r>
    <n v="617"/>
    <x v="27"/>
    <x v="22"/>
    <x v="0"/>
    <x v="1"/>
    <x v="0"/>
    <x v="0"/>
    <x v="12"/>
    <n v="0.65"/>
    <x v="11"/>
    <n v="0"/>
    <n v="26"/>
    <x v="132"/>
  </r>
  <r>
    <n v="618"/>
    <x v="27"/>
    <x v="23"/>
    <x v="0"/>
    <x v="1"/>
    <x v="0"/>
    <x v="0"/>
    <x v="11"/>
    <n v="0.6"/>
    <x v="6"/>
    <n v="1"/>
    <n v="22"/>
    <x v="84"/>
  </r>
  <r>
    <n v="619"/>
    <x v="28"/>
    <x v="0"/>
    <x v="0"/>
    <x v="0"/>
    <x v="0"/>
    <x v="1"/>
    <x v="13"/>
    <n v="0.64"/>
    <x v="11"/>
    <n v="2"/>
    <n v="26"/>
    <x v="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6">
  <location ref="AA58:AB89" firstHeaderRow="1" firstDataRow="1" firstDataCol="1"/>
  <pivotFields count="14">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1">
        <item x="0"/>
        <item x="1"/>
        <item x="2"/>
        <item x="3"/>
        <item x="4"/>
        <item x="5"/>
        <item x="6"/>
        <item x="7"/>
        <item x="8"/>
        <item x="9"/>
        <item t="default"/>
      </items>
    </pivotField>
    <pivotField showAll="0">
      <items count="3">
        <item x="0"/>
        <item x="1"/>
        <item t="default"/>
      </items>
    </pivotField>
    <pivotField showAll="0">
      <items count="3">
        <item h="1" x="1"/>
        <item x="0"/>
        <item t="default"/>
      </items>
    </pivotField>
    <pivotField showAll="0">
      <items count="5">
        <item x="0"/>
        <item x="1"/>
        <item x="2"/>
        <item x="3"/>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axis="axisRow" showAll="0">
      <items count="32">
        <item x="28"/>
        <item x="29"/>
        <item x="26"/>
        <item x="27"/>
        <item x="22"/>
        <item x="23"/>
        <item x="24"/>
        <item x="15"/>
        <item x="16"/>
        <item x="14"/>
        <item x="20"/>
        <item x="17"/>
        <item x="18"/>
        <item x="13"/>
        <item x="12"/>
        <item x="11"/>
        <item x="19"/>
        <item x="2"/>
        <item x="1"/>
        <item x="0"/>
        <item x="25"/>
        <item x="21"/>
        <item x="6"/>
        <item x="4"/>
        <item x="30"/>
        <item x="5"/>
        <item x="10"/>
        <item x="7"/>
        <item x="9"/>
        <item x="8"/>
        <item x="3"/>
        <item t="default"/>
      </items>
    </pivotField>
    <pivotField showAll="0"/>
    <pivotField showAll="0"/>
    <pivotField showAll="0"/>
    <pivotField showAll="0"/>
    <pivotField dataField="1" showAll="0"/>
    <pivotField showAll="0" defaultSubtotal="0"/>
  </pivotFields>
  <rowFields count="1">
    <field x="7"/>
  </rowFields>
  <rowItems count="31">
    <i>
      <x/>
    </i>
    <i>
      <x v="1"/>
    </i>
    <i>
      <x v="2"/>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Count" fld="12" baseField="0" baseItem="0"/>
  </dataFields>
  <formats count="7">
    <format dxfId="69">
      <pivotArea type="all" dataOnly="0" outline="0" fieldPosition="0"/>
    </format>
    <format dxfId="68">
      <pivotArea outline="0" collapsedLevelsAreSubtotals="1" fieldPosition="0"/>
    </format>
    <format dxfId="67">
      <pivotArea field="7" type="button" dataOnly="0" labelOnly="1" outline="0" axis="axisRow" fieldPosition="0"/>
    </format>
    <format dxfId="66">
      <pivotArea dataOnly="0" labelOnly="1" outline="0" axis="axisValues" fieldPosition="0"/>
    </format>
    <format dxfId="65">
      <pivotArea dataOnly="0" labelOnly="1" fieldPosition="0">
        <references count="1">
          <reference field="7" count="30">
            <x v="0"/>
            <x v="1"/>
            <x v="2"/>
            <x v="4"/>
            <x v="5"/>
            <x v="6"/>
            <x v="7"/>
            <x v="8"/>
            <x v="9"/>
            <x v="10"/>
            <x v="11"/>
            <x v="12"/>
            <x v="13"/>
            <x v="14"/>
            <x v="15"/>
            <x v="16"/>
            <x v="17"/>
            <x v="18"/>
            <x v="19"/>
            <x v="20"/>
            <x v="21"/>
            <x v="22"/>
            <x v="23"/>
            <x v="24"/>
            <x v="25"/>
            <x v="26"/>
            <x v="27"/>
            <x v="28"/>
            <x v="29"/>
            <x v="30"/>
          </reference>
        </references>
      </pivotArea>
    </format>
    <format dxfId="64">
      <pivotArea dataOnly="0" labelOnly="1" grandRow="1" outline="0" fieldPosition="0"/>
    </format>
    <format dxfId="63">
      <pivotArea dataOnly="0" labelOnly="1" outline="0" axis="axisValues" fieldPosition="0"/>
    </format>
  </formats>
  <chartFormats count="2">
    <chartFormat chart="0" format="1"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6" rowHeaderCaption="Date">
  <location ref="AA5:AB20" firstHeaderRow="1" firstDataRow="1" firstDataCol="1"/>
  <pivotFields count="14">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1">
        <item x="0"/>
        <item x="1"/>
        <item x="2"/>
        <item x="3"/>
        <item x="4"/>
        <item x="5"/>
        <item x="6"/>
        <item x="7"/>
        <item x="8"/>
        <item x="9"/>
        <item t="default"/>
      </items>
    </pivotField>
    <pivotField showAll="0">
      <items count="3">
        <item x="0"/>
        <item x="1"/>
        <item t="default"/>
      </items>
    </pivotField>
    <pivotField showAll="0">
      <items count="3">
        <item h="1" x="1"/>
        <item x="0"/>
        <item t="default"/>
      </items>
    </pivotField>
    <pivotField showAll="0">
      <items count="5">
        <item x="0"/>
        <item x="1"/>
        <item x="2"/>
        <item x="3"/>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pivotField showAll="0"/>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15">
    <i>
      <x v="1"/>
    </i>
    <i>
      <x v="2"/>
    </i>
    <i>
      <x v="8"/>
    </i>
    <i>
      <x v="9"/>
    </i>
    <i>
      <x v="15"/>
    </i>
    <i>
      <x v="16"/>
    </i>
    <i>
      <x v="22"/>
    </i>
    <i>
      <x v="23"/>
    </i>
    <i>
      <x v="29"/>
    </i>
    <i>
      <x v="30"/>
    </i>
    <i>
      <x v="36"/>
    </i>
    <i>
      <x v="37"/>
    </i>
    <i>
      <x v="43"/>
    </i>
    <i>
      <x v="44"/>
    </i>
    <i t="grand">
      <x/>
    </i>
  </rowItems>
  <colItems count="1">
    <i/>
  </colItems>
  <dataFields count="1">
    <dataField name="Sum of Count" fld="12" baseField="0" baseItem="0"/>
  </dataFields>
  <formats count="7">
    <format dxfId="76">
      <pivotArea type="all" dataOnly="0" outline="0" fieldPosition="0"/>
    </format>
    <format dxfId="75">
      <pivotArea outline="0" collapsedLevelsAreSubtotals="1" fieldPosition="0"/>
    </format>
    <format dxfId="74">
      <pivotArea field="1" type="button" dataOnly="0" labelOnly="1" outline="0" axis="axisRow" fieldPosition="0"/>
    </format>
    <format dxfId="73">
      <pivotArea dataOnly="0" labelOnly="1" outline="0" axis="axisValues" fieldPosition="0"/>
    </format>
    <format dxfId="72">
      <pivotArea dataOnly="0" labelOnly="1" fieldPosition="0">
        <references count="1">
          <reference field="1" count="14">
            <x v="1"/>
            <x v="2"/>
            <x v="8"/>
            <x v="9"/>
            <x v="15"/>
            <x v="16"/>
            <x v="22"/>
            <x v="23"/>
            <x v="29"/>
            <x v="30"/>
            <x v="36"/>
            <x v="37"/>
            <x v="43"/>
            <x v="44"/>
          </reference>
        </references>
      </pivotArea>
    </format>
    <format dxfId="71">
      <pivotArea dataOnly="0" labelOnly="1" grandRow="1" outline="0" fieldPosition="0"/>
    </format>
    <format dxfId="70">
      <pivotArea dataOnly="0" labelOnly="1" outline="0" axis="axisValues" fieldPosition="0"/>
    </format>
  </formats>
  <chartFormats count="4">
    <chartFormat chart="0"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3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8" rowHeaderCaption="Temperature">
  <location ref="M5:N29" firstHeaderRow="1" firstDataRow="1" firstDataCol="1"/>
  <pivotFields count="14">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1">
        <item x="0"/>
        <item x="1"/>
        <item x="2"/>
        <item x="3"/>
        <item x="4"/>
        <item x="5"/>
        <item x="6"/>
        <item x="7"/>
        <item x="8"/>
        <item x="9"/>
        <item t="default"/>
      </items>
    </pivotField>
    <pivotField showAll="0">
      <items count="3">
        <item x="0"/>
        <item x="1"/>
        <item t="default"/>
      </items>
    </pivotField>
    <pivotField showAll="0">
      <items count="3">
        <item h="1" x="1"/>
        <item x="0"/>
        <item t="default"/>
      </items>
    </pivotField>
    <pivotField showAll="0">
      <items count="5">
        <item x="0"/>
        <item x="1"/>
        <item x="2"/>
        <item x="3"/>
        <item t="default"/>
      </items>
    </pivotField>
    <pivotField axis="axisRow"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s>
  <rowFields count="1">
    <field x="6"/>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Count" fld="12" baseField="0" baseItem="0"/>
  </dataFields>
  <formats count="7">
    <format dxfId="83">
      <pivotArea type="all" dataOnly="0" outline="0" fieldPosition="0"/>
    </format>
    <format dxfId="82">
      <pivotArea outline="0" collapsedLevelsAreSubtotals="1" fieldPosition="0"/>
    </format>
    <format dxfId="81">
      <pivotArea field="6" type="button" dataOnly="0" labelOnly="1" outline="0" axis="axisRow" fieldPosition="0"/>
    </format>
    <format dxfId="80">
      <pivotArea dataOnly="0" labelOnly="1" outline="0" axis="axisValues" fieldPosition="0"/>
    </format>
    <format dxfId="79">
      <pivotArea dataOnly="0" labelOnly="1" fieldPosition="0">
        <references count="1">
          <reference field="6" count="0"/>
        </references>
      </pivotArea>
    </format>
    <format dxfId="78">
      <pivotArea dataOnly="0" labelOnly="1" grandRow="1" outline="0" fieldPosition="0"/>
    </format>
    <format dxfId="77">
      <pivotArea dataOnly="0" labelOnly="1" outline="0" axis="axisValues" fieldPosition="0"/>
    </format>
  </formats>
  <chartFormats count="3">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7" rowHeaderCaption="Hour">
  <location ref="A26:B35" firstHeaderRow="1" firstDataRow="1" firstDataCol="1"/>
  <pivotFields count="14">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1">
        <item x="0"/>
        <item x="1"/>
        <item x="2"/>
        <item x="3"/>
        <item x="4"/>
        <item x="5"/>
        <item x="6"/>
        <item x="7"/>
        <item x="8"/>
        <item x="9"/>
        <item t="default"/>
      </items>
    </pivotField>
    <pivotField showAll="0">
      <items count="3">
        <item x="0"/>
        <item x="1"/>
        <item t="default"/>
      </items>
    </pivotField>
    <pivotField showAll="0">
      <items count="3">
        <item h="1" x="1"/>
        <item x="0"/>
        <item t="default"/>
      </items>
    </pivotField>
    <pivotField showAll="0">
      <items count="5">
        <item x="0"/>
        <item x="1"/>
        <item x="2"/>
        <item x="3"/>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pivotField showAll="0"/>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79"/>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5"/>
        <item x="159"/>
        <item x="142"/>
        <item x="14"/>
        <item x="167"/>
        <item x="59"/>
        <item x="135"/>
        <item x="180"/>
        <item x="65"/>
        <item x="155"/>
        <item x="126"/>
        <item x="130"/>
        <item x="164"/>
        <item x="151"/>
        <item x="177"/>
        <item x="78"/>
        <item x="92"/>
        <item x="139"/>
        <item x="149"/>
        <item x="174"/>
        <item x="116"/>
        <item x="131"/>
        <item x="113"/>
        <item x="73"/>
        <item x="140"/>
        <item x="87"/>
        <item x="168"/>
        <item x="114"/>
        <item x="120"/>
        <item x="119"/>
        <item x="187"/>
        <item x="145"/>
        <item x="124"/>
        <item x="189"/>
        <item x="163"/>
        <item x="172"/>
        <item x="190"/>
        <item x="148"/>
        <item x="158"/>
        <item x="38"/>
        <item x="107"/>
        <item x="166"/>
        <item x="45"/>
        <item x="125"/>
        <item x="128"/>
        <item x="186"/>
        <item x="143"/>
        <item x="123"/>
        <item x="82"/>
        <item x="185"/>
        <item x="150"/>
        <item x="170"/>
        <item x="72"/>
        <item x="184"/>
        <item x="81"/>
        <item x="176"/>
        <item x="171"/>
        <item x="169"/>
        <item x="156"/>
        <item x="106"/>
        <item x="49"/>
        <item x="58"/>
        <item x="157"/>
        <item x="147"/>
        <item x="91"/>
        <item x="104"/>
        <item x="71"/>
        <item x="64"/>
        <item x="141"/>
        <item x="183"/>
        <item x="121"/>
        <item x="175"/>
        <item x="86"/>
        <item x="188"/>
        <item x="57"/>
        <item x="146"/>
        <item x="181"/>
        <item x="112"/>
        <item x="77"/>
        <item x="173"/>
        <item x="161"/>
        <item x="162"/>
        <item x="178"/>
        <item x="160"/>
        <item x="182"/>
        <item x="144"/>
        <item t="default"/>
      </items>
    </pivotField>
    <pivotField showAll="0" defaultSubtotal="0">
      <items count="14">
        <item x="0"/>
        <item x="1"/>
        <item x="2"/>
        <item x="3"/>
        <item x="4"/>
        <item x="5"/>
        <item x="6"/>
        <item x="7"/>
        <item x="8"/>
        <item x="9"/>
        <item x="10"/>
        <item x="11"/>
        <item x="12"/>
        <item x="13"/>
      </items>
    </pivotField>
  </pivotFields>
  <rowFields count="1">
    <field x="2"/>
  </rowFields>
  <rowItems count="9">
    <i>
      <x v="1"/>
    </i>
    <i>
      <x v="2"/>
    </i>
    <i>
      <x v="3"/>
    </i>
    <i>
      <x v="4"/>
    </i>
    <i>
      <x v="5"/>
    </i>
    <i>
      <x v="6"/>
    </i>
    <i>
      <x v="7"/>
    </i>
    <i>
      <x v="8"/>
    </i>
    <i t="grand">
      <x/>
    </i>
  </rowItems>
  <colItems count="1">
    <i/>
  </colItems>
  <dataFields count="1">
    <dataField name="Sum of Count" fld="12" baseField="0" baseItem="0"/>
  </dataFields>
  <formats count="7">
    <format dxfId="90">
      <pivotArea type="all" dataOnly="0" outline="0" fieldPosition="0"/>
    </format>
    <format dxfId="89">
      <pivotArea outline="0" collapsedLevelsAreSubtotals="1" fieldPosition="0"/>
    </format>
    <format dxfId="88">
      <pivotArea field="2" type="button" dataOnly="0" labelOnly="1" outline="0" axis="axisRow" fieldPosition="0"/>
    </format>
    <format dxfId="87">
      <pivotArea dataOnly="0" labelOnly="1" outline="0" axis="axisValues" fieldPosition="0"/>
    </format>
    <format dxfId="86">
      <pivotArea dataOnly="0" labelOnly="1" fieldPosition="0">
        <references count="1">
          <reference field="2" count="8">
            <x v="1"/>
            <x v="2"/>
            <x v="3"/>
            <x v="4"/>
            <x v="5"/>
            <x v="6"/>
            <x v="7"/>
            <x v="8"/>
          </reference>
        </references>
      </pivotArea>
    </format>
    <format dxfId="85">
      <pivotArea dataOnly="0" labelOnly="1" grandRow="1" outline="0" fieldPosition="0"/>
    </format>
    <format dxfId="84">
      <pivotArea dataOnly="0" labelOnly="1" outline="0" axis="axisValues" fieldPosition="0"/>
    </format>
  </formats>
  <chartFormats count="3">
    <chartFormat chart="1"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8" rowHeaderCaption="Windspeed">
  <location ref="M38:N58" firstHeaderRow="1" firstDataRow="1" firstDataCol="1"/>
  <pivotFields count="14">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1">
        <item x="0"/>
        <item x="1"/>
        <item x="2"/>
        <item x="3"/>
        <item x="4"/>
        <item x="5"/>
        <item x="6"/>
        <item x="7"/>
        <item x="8"/>
        <item x="9"/>
        <item t="default"/>
      </items>
    </pivotField>
    <pivotField showAll="0">
      <items count="3">
        <item x="0"/>
        <item x="1"/>
        <item t="default"/>
      </items>
    </pivotField>
    <pivotField showAll="0">
      <items count="3">
        <item h="1" x="1"/>
        <item x="0"/>
        <item t="default"/>
      </items>
    </pivotField>
    <pivotField showAll="0">
      <items count="5">
        <item x="0"/>
        <item x="1"/>
        <item x="2"/>
        <item x="3"/>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axis="axisRow" showAll="0">
      <items count="21">
        <item x="0"/>
        <item x="1"/>
        <item x="14"/>
        <item x="7"/>
        <item x="8"/>
        <item x="5"/>
        <item x="6"/>
        <item x="2"/>
        <item x="3"/>
        <item x="4"/>
        <item x="9"/>
        <item x="11"/>
        <item x="13"/>
        <item x="12"/>
        <item x="10"/>
        <item x="17"/>
        <item x="15"/>
        <item x="18"/>
        <item x="16"/>
        <item x="19"/>
        <item t="default"/>
      </items>
    </pivotField>
    <pivotField showAll="0"/>
    <pivotField showAll="0"/>
    <pivotField dataField="1" showAll="0"/>
    <pivotField showAll="0" defaultSubtotal="0"/>
  </pivotFields>
  <rowFields count="1">
    <field x="9"/>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Count" fld="12" baseField="0" baseItem="0"/>
  </dataFields>
  <formats count="7">
    <format dxfId="97">
      <pivotArea type="all" dataOnly="0" outline="0" fieldPosition="0"/>
    </format>
    <format dxfId="96">
      <pivotArea outline="0" collapsedLevelsAreSubtotals="1" fieldPosition="0"/>
    </format>
    <format dxfId="95">
      <pivotArea field="9" type="button" dataOnly="0" labelOnly="1" outline="0" axis="axisRow" fieldPosition="0"/>
    </format>
    <format dxfId="94">
      <pivotArea dataOnly="0" labelOnly="1" outline="0" axis="axisValues" fieldPosition="0"/>
    </format>
    <format dxfId="93">
      <pivotArea dataOnly="0" labelOnly="1" fieldPosition="0">
        <references count="1">
          <reference field="9" count="19">
            <x v="0"/>
            <x v="1"/>
            <x v="2"/>
            <x v="3"/>
            <x v="4"/>
            <x v="5"/>
            <x v="6"/>
            <x v="7"/>
            <x v="8"/>
            <x v="9"/>
            <x v="10"/>
            <x v="11"/>
            <x v="12"/>
            <x v="13"/>
            <x v="14"/>
            <x v="15"/>
            <x v="16"/>
            <x v="17"/>
            <x v="18"/>
          </reference>
        </references>
      </pivotArea>
    </format>
    <format dxfId="92">
      <pivotArea dataOnly="0" labelOnly="1" grandRow="1" outline="0" fieldPosition="0"/>
    </format>
    <format dxfId="91">
      <pivotArea dataOnly="0" labelOnly="1" outline="0" axis="axisValues" fieldPosition="0"/>
    </format>
  </formats>
  <chartFormats count="61">
    <chartFormat chart="0" format="1" series="1">
      <pivotArea type="data" outline="0" fieldPosition="0">
        <references count="1">
          <reference field="4294967294" count="1" selected="0">
            <x v="0"/>
          </reference>
        </references>
      </pivotArea>
    </chartFormat>
    <chartFormat chart="2" format="23" series="1">
      <pivotArea type="data" outline="0" fieldPosition="0">
        <references count="1">
          <reference field="4294967294" count="1" selected="0">
            <x v="0"/>
          </reference>
        </references>
      </pivotArea>
    </chartFormat>
    <chartFormat chart="2" format="24">
      <pivotArea type="data" outline="0" fieldPosition="0">
        <references count="2">
          <reference field="4294967294" count="1" selected="0">
            <x v="0"/>
          </reference>
          <reference field="9" count="1" selected="0">
            <x v="0"/>
          </reference>
        </references>
      </pivotArea>
    </chartFormat>
    <chartFormat chart="2" format="25">
      <pivotArea type="data" outline="0" fieldPosition="0">
        <references count="2">
          <reference field="4294967294" count="1" selected="0">
            <x v="0"/>
          </reference>
          <reference field="9" count="1" selected="0">
            <x v="1"/>
          </reference>
        </references>
      </pivotArea>
    </chartFormat>
    <chartFormat chart="2" format="26">
      <pivotArea type="data" outline="0" fieldPosition="0">
        <references count="2">
          <reference field="4294967294" count="1" selected="0">
            <x v="0"/>
          </reference>
          <reference field="9" count="1" selected="0">
            <x v="2"/>
          </reference>
        </references>
      </pivotArea>
    </chartFormat>
    <chartFormat chart="2" format="27">
      <pivotArea type="data" outline="0" fieldPosition="0">
        <references count="2">
          <reference field="4294967294" count="1" selected="0">
            <x v="0"/>
          </reference>
          <reference field="9" count="1" selected="0">
            <x v="3"/>
          </reference>
        </references>
      </pivotArea>
    </chartFormat>
    <chartFormat chart="2" format="28">
      <pivotArea type="data" outline="0" fieldPosition="0">
        <references count="2">
          <reference field="4294967294" count="1" selected="0">
            <x v="0"/>
          </reference>
          <reference field="9" count="1" selected="0">
            <x v="4"/>
          </reference>
        </references>
      </pivotArea>
    </chartFormat>
    <chartFormat chart="2" format="29">
      <pivotArea type="data" outline="0" fieldPosition="0">
        <references count="2">
          <reference field="4294967294" count="1" selected="0">
            <x v="0"/>
          </reference>
          <reference field="9" count="1" selected="0">
            <x v="5"/>
          </reference>
        </references>
      </pivotArea>
    </chartFormat>
    <chartFormat chart="2" format="30">
      <pivotArea type="data" outline="0" fieldPosition="0">
        <references count="2">
          <reference field="4294967294" count="1" selected="0">
            <x v="0"/>
          </reference>
          <reference field="9" count="1" selected="0">
            <x v="6"/>
          </reference>
        </references>
      </pivotArea>
    </chartFormat>
    <chartFormat chart="2" format="31">
      <pivotArea type="data" outline="0" fieldPosition="0">
        <references count="2">
          <reference field="4294967294" count="1" selected="0">
            <x v="0"/>
          </reference>
          <reference field="9" count="1" selected="0">
            <x v="7"/>
          </reference>
        </references>
      </pivotArea>
    </chartFormat>
    <chartFormat chart="2" format="32">
      <pivotArea type="data" outline="0" fieldPosition="0">
        <references count="2">
          <reference field="4294967294" count="1" selected="0">
            <x v="0"/>
          </reference>
          <reference field="9" count="1" selected="0">
            <x v="8"/>
          </reference>
        </references>
      </pivotArea>
    </chartFormat>
    <chartFormat chart="2" format="33">
      <pivotArea type="data" outline="0" fieldPosition="0">
        <references count="2">
          <reference field="4294967294" count="1" selected="0">
            <x v="0"/>
          </reference>
          <reference field="9" count="1" selected="0">
            <x v="9"/>
          </reference>
        </references>
      </pivotArea>
    </chartFormat>
    <chartFormat chart="2" format="34">
      <pivotArea type="data" outline="0" fieldPosition="0">
        <references count="2">
          <reference field="4294967294" count="1" selected="0">
            <x v="0"/>
          </reference>
          <reference field="9" count="1" selected="0">
            <x v="10"/>
          </reference>
        </references>
      </pivotArea>
    </chartFormat>
    <chartFormat chart="2" format="35">
      <pivotArea type="data" outline="0" fieldPosition="0">
        <references count="2">
          <reference field="4294967294" count="1" selected="0">
            <x v="0"/>
          </reference>
          <reference field="9" count="1" selected="0">
            <x v="11"/>
          </reference>
        </references>
      </pivotArea>
    </chartFormat>
    <chartFormat chart="2" format="36">
      <pivotArea type="data" outline="0" fieldPosition="0">
        <references count="2">
          <reference field="4294967294" count="1" selected="0">
            <x v="0"/>
          </reference>
          <reference field="9" count="1" selected="0">
            <x v="12"/>
          </reference>
        </references>
      </pivotArea>
    </chartFormat>
    <chartFormat chart="2" format="37">
      <pivotArea type="data" outline="0" fieldPosition="0">
        <references count="2">
          <reference field="4294967294" count="1" selected="0">
            <x v="0"/>
          </reference>
          <reference field="9" count="1" selected="0">
            <x v="13"/>
          </reference>
        </references>
      </pivotArea>
    </chartFormat>
    <chartFormat chart="2" format="38">
      <pivotArea type="data" outline="0" fieldPosition="0">
        <references count="2">
          <reference field="4294967294" count="1" selected="0">
            <x v="0"/>
          </reference>
          <reference field="9" count="1" selected="0">
            <x v="14"/>
          </reference>
        </references>
      </pivotArea>
    </chartFormat>
    <chartFormat chart="2" format="39">
      <pivotArea type="data" outline="0" fieldPosition="0">
        <references count="2">
          <reference field="4294967294" count="1" selected="0">
            <x v="0"/>
          </reference>
          <reference field="9" count="1" selected="0">
            <x v="15"/>
          </reference>
        </references>
      </pivotArea>
    </chartFormat>
    <chartFormat chart="2" format="40">
      <pivotArea type="data" outline="0" fieldPosition="0">
        <references count="2">
          <reference field="4294967294" count="1" selected="0">
            <x v="0"/>
          </reference>
          <reference field="9" count="1" selected="0">
            <x v="16"/>
          </reference>
        </references>
      </pivotArea>
    </chartFormat>
    <chartFormat chart="2" format="41">
      <pivotArea type="data" outline="0" fieldPosition="0">
        <references count="2">
          <reference field="4294967294" count="1" selected="0">
            <x v="0"/>
          </reference>
          <reference field="9" count="1" selected="0">
            <x v="17"/>
          </reference>
        </references>
      </pivotArea>
    </chartFormat>
    <chartFormat chart="2" format="42">
      <pivotArea type="data" outline="0" fieldPosition="0">
        <references count="2">
          <reference field="4294967294" count="1" selected="0">
            <x v="0"/>
          </reference>
          <reference field="9" count="1" selected="0">
            <x v="18"/>
          </reference>
        </references>
      </pivotArea>
    </chartFormat>
    <chartFormat chart="2" format="43">
      <pivotArea type="data" outline="0" fieldPosition="0">
        <references count="2">
          <reference field="4294967294" count="1" selected="0">
            <x v="0"/>
          </reference>
          <reference field="9" count="1" selected="0">
            <x v="19"/>
          </reference>
        </references>
      </pivotArea>
    </chartFormat>
    <chartFormat chart="0" format="2">
      <pivotArea type="data" outline="0" fieldPosition="0">
        <references count="2">
          <reference field="4294967294" count="1" selected="0">
            <x v="0"/>
          </reference>
          <reference field="9" count="1" selected="0">
            <x v="0"/>
          </reference>
        </references>
      </pivotArea>
    </chartFormat>
    <chartFormat chart="0" format="3">
      <pivotArea type="data" outline="0" fieldPosition="0">
        <references count="2">
          <reference field="4294967294" count="1" selected="0">
            <x v="0"/>
          </reference>
          <reference field="9" count="1" selected="0">
            <x v="1"/>
          </reference>
        </references>
      </pivotArea>
    </chartFormat>
    <chartFormat chart="0" format="4">
      <pivotArea type="data" outline="0" fieldPosition="0">
        <references count="2">
          <reference field="4294967294" count="1" selected="0">
            <x v="0"/>
          </reference>
          <reference field="9" count="1" selected="0">
            <x v="2"/>
          </reference>
        </references>
      </pivotArea>
    </chartFormat>
    <chartFormat chart="0" format="5">
      <pivotArea type="data" outline="0" fieldPosition="0">
        <references count="2">
          <reference field="4294967294" count="1" selected="0">
            <x v="0"/>
          </reference>
          <reference field="9" count="1" selected="0">
            <x v="3"/>
          </reference>
        </references>
      </pivotArea>
    </chartFormat>
    <chartFormat chart="0" format="6">
      <pivotArea type="data" outline="0" fieldPosition="0">
        <references count="2">
          <reference field="4294967294" count="1" selected="0">
            <x v="0"/>
          </reference>
          <reference field="9" count="1" selected="0">
            <x v="4"/>
          </reference>
        </references>
      </pivotArea>
    </chartFormat>
    <chartFormat chart="0" format="7">
      <pivotArea type="data" outline="0" fieldPosition="0">
        <references count="2">
          <reference field="4294967294" count="1" selected="0">
            <x v="0"/>
          </reference>
          <reference field="9" count="1" selected="0">
            <x v="5"/>
          </reference>
        </references>
      </pivotArea>
    </chartFormat>
    <chartFormat chart="0" format="8">
      <pivotArea type="data" outline="0" fieldPosition="0">
        <references count="2">
          <reference field="4294967294" count="1" selected="0">
            <x v="0"/>
          </reference>
          <reference field="9" count="1" selected="0">
            <x v="6"/>
          </reference>
        </references>
      </pivotArea>
    </chartFormat>
    <chartFormat chart="0" format="9">
      <pivotArea type="data" outline="0" fieldPosition="0">
        <references count="2">
          <reference field="4294967294" count="1" selected="0">
            <x v="0"/>
          </reference>
          <reference field="9" count="1" selected="0">
            <x v="7"/>
          </reference>
        </references>
      </pivotArea>
    </chartFormat>
    <chartFormat chart="0" format="10">
      <pivotArea type="data" outline="0" fieldPosition="0">
        <references count="2">
          <reference field="4294967294" count="1" selected="0">
            <x v="0"/>
          </reference>
          <reference field="9" count="1" selected="0">
            <x v="8"/>
          </reference>
        </references>
      </pivotArea>
    </chartFormat>
    <chartFormat chart="0" format="11">
      <pivotArea type="data" outline="0" fieldPosition="0">
        <references count="2">
          <reference field="4294967294" count="1" selected="0">
            <x v="0"/>
          </reference>
          <reference field="9" count="1" selected="0">
            <x v="9"/>
          </reference>
        </references>
      </pivotArea>
    </chartFormat>
    <chartFormat chart="0" format="12">
      <pivotArea type="data" outline="0" fieldPosition="0">
        <references count="2">
          <reference field="4294967294" count="1" selected="0">
            <x v="0"/>
          </reference>
          <reference field="9" count="1" selected="0">
            <x v="11"/>
          </reference>
        </references>
      </pivotArea>
    </chartFormat>
    <chartFormat chart="0" format="13">
      <pivotArea type="data" outline="0" fieldPosition="0">
        <references count="2">
          <reference field="4294967294" count="1" selected="0">
            <x v="0"/>
          </reference>
          <reference field="9" count="1" selected="0">
            <x v="12"/>
          </reference>
        </references>
      </pivotArea>
    </chartFormat>
    <chartFormat chart="0" format="14">
      <pivotArea type="data" outline="0" fieldPosition="0">
        <references count="2">
          <reference field="4294967294" count="1" selected="0">
            <x v="0"/>
          </reference>
          <reference field="9" count="1" selected="0">
            <x v="13"/>
          </reference>
        </references>
      </pivotArea>
    </chartFormat>
    <chartFormat chart="0" format="15">
      <pivotArea type="data" outline="0" fieldPosition="0">
        <references count="2">
          <reference field="4294967294" count="1" selected="0">
            <x v="0"/>
          </reference>
          <reference field="9" count="1" selected="0">
            <x v="10"/>
          </reference>
        </references>
      </pivotArea>
    </chartFormat>
    <chartFormat chart="0" format="16">
      <pivotArea type="data" outline="0" fieldPosition="0">
        <references count="2">
          <reference field="4294967294" count="1" selected="0">
            <x v="0"/>
          </reference>
          <reference field="9" count="1" selected="0">
            <x v="14"/>
          </reference>
        </references>
      </pivotArea>
    </chartFormat>
    <chartFormat chart="0" format="17">
      <pivotArea type="data" outline="0" fieldPosition="0">
        <references count="2">
          <reference field="4294967294" count="1" selected="0">
            <x v="0"/>
          </reference>
          <reference field="9" count="1" selected="0">
            <x v="15"/>
          </reference>
        </references>
      </pivotArea>
    </chartFormat>
    <chartFormat chart="0" format="18">
      <pivotArea type="data" outline="0" fieldPosition="0">
        <references count="2">
          <reference field="4294967294" count="1" selected="0">
            <x v="0"/>
          </reference>
          <reference field="9" count="1" selected="0">
            <x v="16"/>
          </reference>
        </references>
      </pivotArea>
    </chartFormat>
    <chartFormat chart="0" format="19">
      <pivotArea type="data" outline="0" fieldPosition="0">
        <references count="2">
          <reference field="4294967294" count="1" selected="0">
            <x v="0"/>
          </reference>
          <reference field="9" count="1" selected="0">
            <x v="17"/>
          </reference>
        </references>
      </pivotArea>
    </chartFormat>
    <chartFormat chart="0" format="20">
      <pivotArea type="data" outline="0" fieldPosition="0">
        <references count="2">
          <reference field="4294967294" count="1" selected="0">
            <x v="0"/>
          </reference>
          <reference field="9" count="1" selected="0">
            <x v="18"/>
          </reference>
        </references>
      </pivotArea>
    </chartFormat>
    <chartFormat chart="6" format="55" series="1">
      <pivotArea type="data" outline="0" fieldPosition="0">
        <references count="1">
          <reference field="4294967294" count="1" selected="0">
            <x v="0"/>
          </reference>
        </references>
      </pivotArea>
    </chartFormat>
    <chartFormat chart="6" format="56">
      <pivotArea type="data" outline="0" fieldPosition="0">
        <references count="2">
          <reference field="4294967294" count="1" selected="0">
            <x v="0"/>
          </reference>
          <reference field="9" count="1" selected="0">
            <x v="0"/>
          </reference>
        </references>
      </pivotArea>
    </chartFormat>
    <chartFormat chart="6" format="57">
      <pivotArea type="data" outline="0" fieldPosition="0">
        <references count="2">
          <reference field="4294967294" count="1" selected="0">
            <x v="0"/>
          </reference>
          <reference field="9" count="1" selected="0">
            <x v="1"/>
          </reference>
        </references>
      </pivotArea>
    </chartFormat>
    <chartFormat chart="6" format="58">
      <pivotArea type="data" outline="0" fieldPosition="0">
        <references count="2">
          <reference field="4294967294" count="1" selected="0">
            <x v="0"/>
          </reference>
          <reference field="9" count="1" selected="0">
            <x v="2"/>
          </reference>
        </references>
      </pivotArea>
    </chartFormat>
    <chartFormat chart="6" format="59">
      <pivotArea type="data" outline="0" fieldPosition="0">
        <references count="2">
          <reference field="4294967294" count="1" selected="0">
            <x v="0"/>
          </reference>
          <reference field="9" count="1" selected="0">
            <x v="3"/>
          </reference>
        </references>
      </pivotArea>
    </chartFormat>
    <chartFormat chart="6" format="60">
      <pivotArea type="data" outline="0" fieldPosition="0">
        <references count="2">
          <reference field="4294967294" count="1" selected="0">
            <x v="0"/>
          </reference>
          <reference field="9" count="1" selected="0">
            <x v="4"/>
          </reference>
        </references>
      </pivotArea>
    </chartFormat>
    <chartFormat chart="6" format="61">
      <pivotArea type="data" outline="0" fieldPosition="0">
        <references count="2">
          <reference field="4294967294" count="1" selected="0">
            <x v="0"/>
          </reference>
          <reference field="9" count="1" selected="0">
            <x v="5"/>
          </reference>
        </references>
      </pivotArea>
    </chartFormat>
    <chartFormat chart="6" format="62">
      <pivotArea type="data" outline="0" fieldPosition="0">
        <references count="2">
          <reference field="4294967294" count="1" selected="0">
            <x v="0"/>
          </reference>
          <reference field="9" count="1" selected="0">
            <x v="6"/>
          </reference>
        </references>
      </pivotArea>
    </chartFormat>
    <chartFormat chart="6" format="63">
      <pivotArea type="data" outline="0" fieldPosition="0">
        <references count="2">
          <reference field="4294967294" count="1" selected="0">
            <x v="0"/>
          </reference>
          <reference field="9" count="1" selected="0">
            <x v="7"/>
          </reference>
        </references>
      </pivotArea>
    </chartFormat>
    <chartFormat chart="6" format="64">
      <pivotArea type="data" outline="0" fieldPosition="0">
        <references count="2">
          <reference field="4294967294" count="1" selected="0">
            <x v="0"/>
          </reference>
          <reference field="9" count="1" selected="0">
            <x v="8"/>
          </reference>
        </references>
      </pivotArea>
    </chartFormat>
    <chartFormat chart="6" format="65">
      <pivotArea type="data" outline="0" fieldPosition="0">
        <references count="2">
          <reference field="4294967294" count="1" selected="0">
            <x v="0"/>
          </reference>
          <reference field="9" count="1" selected="0">
            <x v="9"/>
          </reference>
        </references>
      </pivotArea>
    </chartFormat>
    <chartFormat chart="6" format="66">
      <pivotArea type="data" outline="0" fieldPosition="0">
        <references count="2">
          <reference field="4294967294" count="1" selected="0">
            <x v="0"/>
          </reference>
          <reference field="9" count="1" selected="0">
            <x v="10"/>
          </reference>
        </references>
      </pivotArea>
    </chartFormat>
    <chartFormat chart="6" format="67">
      <pivotArea type="data" outline="0" fieldPosition="0">
        <references count="2">
          <reference field="4294967294" count="1" selected="0">
            <x v="0"/>
          </reference>
          <reference field="9" count="1" selected="0">
            <x v="11"/>
          </reference>
        </references>
      </pivotArea>
    </chartFormat>
    <chartFormat chart="6" format="68">
      <pivotArea type="data" outline="0" fieldPosition="0">
        <references count="2">
          <reference field="4294967294" count="1" selected="0">
            <x v="0"/>
          </reference>
          <reference field="9" count="1" selected="0">
            <x v="12"/>
          </reference>
        </references>
      </pivotArea>
    </chartFormat>
    <chartFormat chart="6" format="69">
      <pivotArea type="data" outline="0" fieldPosition="0">
        <references count="2">
          <reference field="4294967294" count="1" selected="0">
            <x v="0"/>
          </reference>
          <reference field="9" count="1" selected="0">
            <x v="13"/>
          </reference>
        </references>
      </pivotArea>
    </chartFormat>
    <chartFormat chart="6" format="70">
      <pivotArea type="data" outline="0" fieldPosition="0">
        <references count="2">
          <reference field="4294967294" count="1" selected="0">
            <x v="0"/>
          </reference>
          <reference field="9" count="1" selected="0">
            <x v="14"/>
          </reference>
        </references>
      </pivotArea>
    </chartFormat>
    <chartFormat chart="6" format="71">
      <pivotArea type="data" outline="0" fieldPosition="0">
        <references count="2">
          <reference field="4294967294" count="1" selected="0">
            <x v="0"/>
          </reference>
          <reference field="9" count="1" selected="0">
            <x v="15"/>
          </reference>
        </references>
      </pivotArea>
    </chartFormat>
    <chartFormat chart="6" format="72">
      <pivotArea type="data" outline="0" fieldPosition="0">
        <references count="2">
          <reference field="4294967294" count="1" selected="0">
            <x v="0"/>
          </reference>
          <reference field="9" count="1" selected="0">
            <x v="16"/>
          </reference>
        </references>
      </pivotArea>
    </chartFormat>
    <chartFormat chart="6" format="73">
      <pivotArea type="data" outline="0" fieldPosition="0">
        <references count="2">
          <reference field="4294967294" count="1" selected="0">
            <x v="0"/>
          </reference>
          <reference field="9" count="1" selected="0">
            <x v="17"/>
          </reference>
        </references>
      </pivotArea>
    </chartFormat>
    <chartFormat chart="6" format="74">
      <pivotArea type="data" outline="0" fieldPosition="0">
        <references count="2">
          <reference field="4294967294" count="1" selected="0">
            <x v="0"/>
          </reference>
          <reference field="9"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2" rowHeaderCaption="Weather">
  <location ref="A10:B14" firstHeaderRow="1" firstDataRow="1" firstDataCol="1"/>
  <pivotFields count="14">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1">
        <item x="0"/>
        <item x="1"/>
        <item x="2"/>
        <item x="3"/>
        <item x="4"/>
        <item x="5"/>
        <item x="6"/>
        <item x="7"/>
        <item x="8"/>
        <item x="9"/>
        <item t="default"/>
      </items>
    </pivotField>
    <pivotField showAll="0">
      <items count="3">
        <item x="0"/>
        <item x="1"/>
        <item t="default"/>
      </items>
    </pivotField>
    <pivotField showAll="0">
      <items count="3">
        <item h="1" x="1"/>
        <item x="0"/>
        <item t="default"/>
      </items>
    </pivotField>
    <pivotField axis="axisRow" showAll="0">
      <items count="5">
        <item x="0"/>
        <item x="1"/>
        <item x="2"/>
        <item x="3"/>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pivotField showAll="0"/>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79"/>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5"/>
        <item x="159"/>
        <item x="142"/>
        <item x="14"/>
        <item x="167"/>
        <item x="59"/>
        <item x="135"/>
        <item x="180"/>
        <item x="65"/>
        <item x="155"/>
        <item x="126"/>
        <item x="130"/>
        <item x="164"/>
        <item x="151"/>
        <item x="177"/>
        <item x="78"/>
        <item x="92"/>
        <item x="139"/>
        <item x="149"/>
        <item x="174"/>
        <item x="116"/>
        <item x="131"/>
        <item x="113"/>
        <item x="73"/>
        <item x="140"/>
        <item x="87"/>
        <item x="168"/>
        <item x="114"/>
        <item x="120"/>
        <item x="119"/>
        <item x="187"/>
        <item x="145"/>
        <item x="124"/>
        <item x="189"/>
        <item x="163"/>
        <item x="172"/>
        <item x="190"/>
        <item x="148"/>
        <item x="158"/>
        <item x="38"/>
        <item x="107"/>
        <item x="166"/>
        <item x="45"/>
        <item x="125"/>
        <item x="128"/>
        <item x="186"/>
        <item x="143"/>
        <item x="123"/>
        <item x="82"/>
        <item x="185"/>
        <item x="150"/>
        <item x="170"/>
        <item x="72"/>
        <item x="184"/>
        <item x="81"/>
        <item x="176"/>
        <item x="171"/>
        <item x="169"/>
        <item x="156"/>
        <item x="106"/>
        <item x="49"/>
        <item x="58"/>
        <item x="157"/>
        <item x="147"/>
        <item x="91"/>
        <item x="104"/>
        <item x="71"/>
        <item x="64"/>
        <item x="141"/>
        <item x="183"/>
        <item x="121"/>
        <item x="175"/>
        <item x="86"/>
        <item x="188"/>
        <item x="57"/>
        <item x="146"/>
        <item x="181"/>
        <item x="112"/>
        <item x="77"/>
        <item x="173"/>
        <item x="161"/>
        <item x="162"/>
        <item x="178"/>
        <item x="160"/>
        <item x="182"/>
        <item x="144"/>
        <item t="default"/>
      </items>
    </pivotField>
    <pivotField showAll="0" defaultSubtotal="0">
      <items count="14">
        <item x="0"/>
        <item x="1"/>
        <item x="2"/>
        <item x="3"/>
        <item x="4"/>
        <item x="5"/>
        <item x="6"/>
        <item x="7"/>
        <item x="8"/>
        <item x="9"/>
        <item x="10"/>
        <item x="11"/>
        <item x="12"/>
        <item x="13"/>
      </items>
    </pivotField>
  </pivotFields>
  <rowFields count="1">
    <field x="5"/>
  </rowFields>
  <rowItems count="4">
    <i>
      <x/>
    </i>
    <i>
      <x v="1"/>
    </i>
    <i>
      <x v="2"/>
    </i>
    <i t="grand">
      <x/>
    </i>
  </rowItems>
  <colItems count="1">
    <i/>
  </colItems>
  <dataFields count="1">
    <dataField name="Sum of Count" fld="12" baseField="0" baseItem="0"/>
  </dataFields>
  <formats count="7">
    <format dxfId="104">
      <pivotArea type="all" dataOnly="0" outline="0" fieldPosition="0"/>
    </format>
    <format dxfId="103">
      <pivotArea outline="0" collapsedLevelsAreSubtotals="1" fieldPosition="0"/>
    </format>
    <format dxfId="102">
      <pivotArea field="5" type="button" dataOnly="0" labelOnly="1" outline="0" axis="axisRow" fieldPosition="0"/>
    </format>
    <format dxfId="101">
      <pivotArea dataOnly="0" labelOnly="1" outline="0" axis="axisValues" fieldPosition="0"/>
    </format>
    <format dxfId="100">
      <pivotArea dataOnly="0" labelOnly="1" fieldPosition="0">
        <references count="1">
          <reference field="5" count="3">
            <x v="0"/>
            <x v="1"/>
            <x v="2"/>
          </reference>
        </references>
      </pivotArea>
    </format>
    <format dxfId="99">
      <pivotArea dataOnly="0" labelOnly="1" grandRow="1" outline="0" fieldPosition="0"/>
    </format>
    <format dxfId="98">
      <pivotArea dataOnly="0" labelOnly="1" outline="0" axis="axisValues" fieldPosition="0"/>
    </format>
  </formats>
  <chartFormats count="4">
    <chartFormat chart="3" format="3"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 rowHeaderCaption="Hour">
  <location ref="C19:D28" firstHeaderRow="1" firstDataRow="1" firstDataCol="1"/>
  <pivotFields count="14">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1">
        <item x="0"/>
        <item x="1"/>
        <item x="2"/>
        <item x="3"/>
        <item x="4"/>
        <item x="5"/>
        <item x="6"/>
        <item x="7"/>
        <item x="8"/>
        <item x="9"/>
        <item t="default"/>
      </items>
    </pivotField>
    <pivotField showAll="0">
      <items count="3">
        <item x="0"/>
        <item x="1"/>
        <item t="default"/>
      </items>
    </pivotField>
    <pivotField showAll="0">
      <items count="3">
        <item h="1" x="1"/>
        <item x="0"/>
        <item t="default"/>
      </items>
    </pivotField>
    <pivotField showAll="0">
      <items count="5">
        <item x="0"/>
        <item x="1"/>
        <item x="2"/>
        <item x="3"/>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pivotField showAll="0"/>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79"/>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5"/>
        <item x="159"/>
        <item x="142"/>
        <item x="14"/>
        <item x="167"/>
        <item x="59"/>
        <item x="135"/>
        <item x="180"/>
        <item x="65"/>
        <item x="155"/>
        <item x="126"/>
        <item x="130"/>
        <item x="164"/>
        <item x="151"/>
        <item x="177"/>
        <item x="78"/>
        <item x="92"/>
        <item x="139"/>
        <item x="149"/>
        <item x="174"/>
        <item x="116"/>
        <item x="131"/>
        <item x="113"/>
        <item x="73"/>
        <item x="140"/>
        <item x="87"/>
        <item x="168"/>
        <item x="114"/>
        <item x="120"/>
        <item x="119"/>
        <item x="187"/>
        <item x="145"/>
        <item x="124"/>
        <item x="189"/>
        <item x="163"/>
        <item x="172"/>
        <item x="190"/>
        <item x="148"/>
        <item x="158"/>
        <item x="38"/>
        <item x="107"/>
        <item x="166"/>
        <item x="45"/>
        <item x="125"/>
        <item x="128"/>
        <item x="186"/>
        <item x="143"/>
        <item x="123"/>
        <item x="82"/>
        <item x="185"/>
        <item x="150"/>
        <item x="170"/>
        <item x="72"/>
        <item x="184"/>
        <item x="81"/>
        <item x="176"/>
        <item x="171"/>
        <item x="169"/>
        <item x="156"/>
        <item x="106"/>
        <item x="49"/>
        <item x="58"/>
        <item x="157"/>
        <item x="147"/>
        <item x="91"/>
        <item x="104"/>
        <item x="71"/>
        <item x="64"/>
        <item x="141"/>
        <item x="183"/>
        <item x="121"/>
        <item x="175"/>
        <item x="86"/>
        <item x="188"/>
        <item x="57"/>
        <item x="146"/>
        <item x="181"/>
        <item x="112"/>
        <item x="77"/>
        <item x="173"/>
        <item x="161"/>
        <item x="162"/>
        <item x="178"/>
        <item x="160"/>
        <item x="182"/>
        <item x="144"/>
        <item t="default"/>
      </items>
    </pivotField>
    <pivotField showAll="0" defaultSubtotal="0">
      <items count="14">
        <item x="0"/>
        <item x="1"/>
        <item x="2"/>
        <item x="3"/>
        <item x="4"/>
        <item x="5"/>
        <item x="6"/>
        <item x="7"/>
        <item x="8"/>
        <item x="9"/>
        <item x="10"/>
        <item x="11"/>
        <item x="12"/>
        <item x="13"/>
      </items>
    </pivotField>
  </pivotFields>
  <rowFields count="1">
    <field x="2"/>
  </rowFields>
  <rowItems count="9">
    <i>
      <x v="1"/>
    </i>
    <i>
      <x v="2"/>
    </i>
    <i>
      <x v="3"/>
    </i>
    <i>
      <x v="4"/>
    </i>
    <i>
      <x v="5"/>
    </i>
    <i>
      <x v="6"/>
    </i>
    <i>
      <x v="7"/>
    </i>
    <i>
      <x v="8"/>
    </i>
    <i t="grand">
      <x/>
    </i>
  </rowItems>
  <colItems count="1">
    <i/>
  </colItems>
  <dataFields count="1">
    <dataField name="Sum of Count" fld="12" baseField="0" baseItem="0"/>
  </dataFields>
  <formats count="14">
    <format dxfId="20">
      <pivotArea field="2" type="button" dataOnly="0" labelOnly="1" outline="0" axis="axisRow" fieldPosition="0"/>
    </format>
    <format dxfId="19">
      <pivotArea dataOnly="0" labelOnly="1" outline="0" axis="axisValues" fieldPosition="0"/>
    </format>
    <format dxfId="18">
      <pivotArea dataOnly="0" labelOnly="1" outline="0" axis="axisValues" fieldPosition="0"/>
    </format>
    <format dxfId="17">
      <pivotArea field="2" type="button" dataOnly="0" labelOnly="1" outline="0" axis="axisRow" fieldPosition="0"/>
    </format>
    <format dxfId="16">
      <pivotArea dataOnly="0" labelOnly="1" outline="0" axis="axisValues" fieldPosition="0"/>
    </format>
    <format dxfId="15">
      <pivotArea dataOnly="0" labelOnly="1" outline="0" axis="axisValues" fieldPosition="0"/>
    </format>
    <format dxfId="14">
      <pivotArea dataOnly="0" fieldPosition="0">
        <references count="1">
          <reference field="2" count="8">
            <x v="1"/>
            <x v="2"/>
            <x v="3"/>
            <x v="4"/>
            <x v="5"/>
            <x v="6"/>
            <x v="7"/>
            <x v="8"/>
          </reference>
        </references>
      </pivotArea>
    </format>
    <format dxfId="13">
      <pivotArea type="all" dataOnly="0" outline="0" fieldPosition="0"/>
    </format>
    <format dxfId="12">
      <pivotArea outline="0" collapsedLevelsAreSubtotals="1" fieldPosition="0"/>
    </format>
    <format dxfId="11">
      <pivotArea field="2" type="button" dataOnly="0" labelOnly="1" outline="0" axis="axisRow" fieldPosition="0"/>
    </format>
    <format dxfId="10">
      <pivotArea dataOnly="0" labelOnly="1" outline="0" axis="axisValues" fieldPosition="0"/>
    </format>
    <format dxfId="9">
      <pivotArea dataOnly="0" labelOnly="1" fieldPosition="0">
        <references count="1">
          <reference field="2" count="8">
            <x v="1"/>
            <x v="2"/>
            <x v="3"/>
            <x v="4"/>
            <x v="5"/>
            <x v="6"/>
            <x v="7"/>
            <x v="8"/>
          </reference>
        </references>
      </pivotArea>
    </format>
    <format dxfId="8">
      <pivotArea dataOnly="0" labelOnly="1" grandRow="1" outline="0" fieldPosition="0"/>
    </format>
    <format dxfId="7">
      <pivotArea dataOnly="0" labelOnly="1" outline="0" axis="axisValues" fieldPosition="0"/>
    </format>
  </format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 rowHeaderCaption="Windspeed">
  <location ref="M19:N39" firstHeaderRow="1" firstDataRow="1" firstDataCol="1"/>
  <pivotFields count="14">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1">
        <item x="0"/>
        <item x="1"/>
        <item x="2"/>
        <item x="3"/>
        <item x="4"/>
        <item x="5"/>
        <item x="6"/>
        <item x="7"/>
        <item x="8"/>
        <item x="9"/>
        <item t="default"/>
      </items>
    </pivotField>
    <pivotField showAll="0">
      <items count="3">
        <item x="0"/>
        <item x="1"/>
        <item t="default"/>
      </items>
    </pivotField>
    <pivotField showAll="0">
      <items count="3">
        <item h="1" x="1"/>
        <item x="0"/>
        <item t="default"/>
      </items>
    </pivotField>
    <pivotField showAll="0">
      <items count="5">
        <item x="0"/>
        <item x="1"/>
        <item x="2"/>
        <item x="3"/>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axis="axisRow" showAll="0">
      <items count="21">
        <item x="0"/>
        <item x="1"/>
        <item x="14"/>
        <item x="7"/>
        <item x="8"/>
        <item x="5"/>
        <item x="6"/>
        <item x="2"/>
        <item x="3"/>
        <item x="4"/>
        <item x="9"/>
        <item x="11"/>
        <item x="13"/>
        <item x="12"/>
        <item x="10"/>
        <item x="17"/>
        <item x="15"/>
        <item x="18"/>
        <item x="16"/>
        <item x="19"/>
        <item t="default"/>
      </items>
    </pivotField>
    <pivotField showAll="0"/>
    <pivotField showAll="0"/>
    <pivotField dataField="1" showAll="0"/>
    <pivotField showAll="0" defaultSubtotal="0"/>
  </pivotFields>
  <rowFields count="1">
    <field x="9"/>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Count" fld="12" baseField="0" baseItem="0"/>
  </dataFields>
  <formats count="14">
    <format dxfId="34">
      <pivotArea field="9" type="button" dataOnly="0" labelOnly="1" outline="0" axis="axisRow" fieldPosition="0"/>
    </format>
    <format dxfId="33">
      <pivotArea dataOnly="0" labelOnly="1" outline="0" axis="axisValues" fieldPosition="0"/>
    </format>
    <format dxfId="32">
      <pivotArea dataOnly="0" labelOnly="1" outline="0" axis="axisValues" fieldPosition="0"/>
    </format>
    <format dxfId="31">
      <pivotArea field="9" type="button" dataOnly="0" labelOnly="1" outline="0" axis="axisRow" fieldPosition="0"/>
    </format>
    <format dxfId="30">
      <pivotArea dataOnly="0" labelOnly="1" outline="0" axis="axisValues" fieldPosition="0"/>
    </format>
    <format dxfId="29">
      <pivotArea dataOnly="0" labelOnly="1" outline="0" axis="axisValues" fieldPosition="0"/>
    </format>
    <format dxfId="28">
      <pivotArea dataOnly="0" fieldPosition="0">
        <references count="1">
          <reference field="9" count="0"/>
        </references>
      </pivotArea>
    </format>
    <format dxfId="27">
      <pivotArea type="all" dataOnly="0" outline="0" fieldPosition="0"/>
    </format>
    <format dxfId="26">
      <pivotArea outline="0" collapsedLevelsAreSubtotals="1" fieldPosition="0"/>
    </format>
    <format dxfId="25">
      <pivotArea field="9" type="button" dataOnly="0" labelOnly="1" outline="0" axis="axisRow" fieldPosition="0"/>
    </format>
    <format dxfId="24">
      <pivotArea dataOnly="0" labelOnly="1" outline="0" axis="axisValues" fieldPosition="0"/>
    </format>
    <format dxfId="23">
      <pivotArea dataOnly="0" labelOnly="1" fieldPosition="0">
        <references count="1">
          <reference field="9" count="0"/>
        </references>
      </pivotArea>
    </format>
    <format dxfId="22">
      <pivotArea dataOnly="0" labelOnly="1" grandRow="1" outline="0" fieldPosition="0"/>
    </format>
    <format dxfId="21">
      <pivotArea dataOnly="0" labelOnly="1" outline="0" axis="axisValues" fieldPosition="0"/>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 rowHeaderCaption="Temperature">
  <location ref="I19:J43" firstHeaderRow="1" firstDataRow="1" firstDataCol="1"/>
  <pivotFields count="14">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1">
        <item x="0"/>
        <item x="1"/>
        <item x="2"/>
        <item x="3"/>
        <item x="4"/>
        <item x="5"/>
        <item x="6"/>
        <item x="7"/>
        <item x="8"/>
        <item x="9"/>
        <item t="default"/>
      </items>
    </pivotField>
    <pivotField showAll="0">
      <items count="3">
        <item x="0"/>
        <item x="1"/>
        <item t="default"/>
      </items>
    </pivotField>
    <pivotField showAll="0">
      <items count="3">
        <item h="1" x="1"/>
        <item x="0"/>
        <item t="default"/>
      </items>
    </pivotField>
    <pivotField showAll="0">
      <items count="5">
        <item x="0"/>
        <item x="1"/>
        <item x="2"/>
        <item x="3"/>
        <item t="default"/>
      </items>
    </pivotField>
    <pivotField axis="axisRow"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s>
  <rowFields count="1">
    <field x="6"/>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Count" fld="12" baseField="0" baseItem="0"/>
  </dataFields>
  <formats count="14">
    <format dxfId="48">
      <pivotArea field="6" type="button" dataOnly="0" labelOnly="1" outline="0" axis="axisRow" fieldPosition="0"/>
    </format>
    <format dxfId="47">
      <pivotArea dataOnly="0" labelOnly="1" outline="0" axis="axisValues" fieldPosition="0"/>
    </format>
    <format dxfId="46">
      <pivotArea dataOnly="0" labelOnly="1" outline="0" axis="axisValues" fieldPosition="0"/>
    </format>
    <format dxfId="45">
      <pivotArea field="6" type="button" dataOnly="0" labelOnly="1" outline="0" axis="axisRow" fieldPosition="0"/>
    </format>
    <format dxfId="44">
      <pivotArea dataOnly="0" labelOnly="1" outline="0" axis="axisValues" fieldPosition="0"/>
    </format>
    <format dxfId="43">
      <pivotArea dataOnly="0" labelOnly="1" outline="0" axis="axisValues" fieldPosition="0"/>
    </format>
    <format dxfId="42">
      <pivotArea dataOnly="0" fieldPosition="0">
        <references count="1">
          <reference field="6" count="0"/>
        </references>
      </pivotArea>
    </format>
    <format dxfId="41">
      <pivotArea type="all" dataOnly="0" outline="0" fieldPosition="0"/>
    </format>
    <format dxfId="40">
      <pivotArea outline="0" collapsedLevelsAreSubtotals="1" fieldPosition="0"/>
    </format>
    <format dxfId="39">
      <pivotArea field="6" type="button" dataOnly="0" labelOnly="1" outline="0" axis="axisRow" fieldPosition="0"/>
    </format>
    <format dxfId="38">
      <pivotArea dataOnly="0" labelOnly="1" outline="0" axis="axisValues" fieldPosition="0"/>
    </format>
    <format dxfId="37">
      <pivotArea dataOnly="0" labelOnly="1" fieldPosition="0">
        <references count="1">
          <reference field="6" count="0"/>
        </references>
      </pivotArea>
    </format>
    <format dxfId="36">
      <pivotArea dataOnly="0" labelOnly="1" grandRow="1" outline="0" fieldPosition="0"/>
    </format>
    <format dxfId="35">
      <pivotArea dataOnly="0" labelOnly="1" outline="0" axis="axisValues" fieldPosition="0"/>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 rowHeaderCaption="Weather">
  <location ref="F19:G23" firstHeaderRow="1" firstDataRow="1" firstDataCol="1"/>
  <pivotFields count="14">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1">
        <item x="0"/>
        <item x="1"/>
        <item x="2"/>
        <item x="3"/>
        <item x="4"/>
        <item x="5"/>
        <item x="6"/>
        <item x="7"/>
        <item x="8"/>
        <item x="9"/>
        <item t="default"/>
      </items>
    </pivotField>
    <pivotField showAll="0">
      <items count="3">
        <item x="0"/>
        <item x="1"/>
        <item t="default"/>
      </items>
    </pivotField>
    <pivotField showAll="0">
      <items count="3">
        <item h="1" x="1"/>
        <item x="0"/>
        <item t="default"/>
      </items>
    </pivotField>
    <pivotField axis="axisRow" showAll="0">
      <items count="5">
        <item x="0"/>
        <item x="1"/>
        <item x="2"/>
        <item x="3"/>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pivotField showAll="0"/>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79"/>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5"/>
        <item x="159"/>
        <item x="142"/>
        <item x="14"/>
        <item x="167"/>
        <item x="59"/>
        <item x="135"/>
        <item x="180"/>
        <item x="65"/>
        <item x="155"/>
        <item x="126"/>
        <item x="130"/>
        <item x="164"/>
        <item x="151"/>
        <item x="177"/>
        <item x="78"/>
        <item x="92"/>
        <item x="139"/>
        <item x="149"/>
        <item x="174"/>
        <item x="116"/>
        <item x="131"/>
        <item x="113"/>
        <item x="73"/>
        <item x="140"/>
        <item x="87"/>
        <item x="168"/>
        <item x="114"/>
        <item x="120"/>
        <item x="119"/>
        <item x="187"/>
        <item x="145"/>
        <item x="124"/>
        <item x="189"/>
        <item x="163"/>
        <item x="172"/>
        <item x="190"/>
        <item x="148"/>
        <item x="158"/>
        <item x="38"/>
        <item x="107"/>
        <item x="166"/>
        <item x="45"/>
        <item x="125"/>
        <item x="128"/>
        <item x="186"/>
        <item x="143"/>
        <item x="123"/>
        <item x="82"/>
        <item x="185"/>
        <item x="150"/>
        <item x="170"/>
        <item x="72"/>
        <item x="184"/>
        <item x="81"/>
        <item x="176"/>
        <item x="171"/>
        <item x="169"/>
        <item x="156"/>
        <item x="106"/>
        <item x="49"/>
        <item x="58"/>
        <item x="157"/>
        <item x="147"/>
        <item x="91"/>
        <item x="104"/>
        <item x="71"/>
        <item x="64"/>
        <item x="141"/>
        <item x="183"/>
        <item x="121"/>
        <item x="175"/>
        <item x="86"/>
        <item x="188"/>
        <item x="57"/>
        <item x="146"/>
        <item x="181"/>
        <item x="112"/>
        <item x="77"/>
        <item x="173"/>
        <item x="161"/>
        <item x="162"/>
        <item x="178"/>
        <item x="160"/>
        <item x="182"/>
        <item x="144"/>
        <item t="default"/>
      </items>
    </pivotField>
    <pivotField showAll="0" defaultSubtotal="0">
      <items count="14">
        <item x="0"/>
        <item x="1"/>
        <item x="2"/>
        <item x="3"/>
        <item x="4"/>
        <item x="5"/>
        <item x="6"/>
        <item x="7"/>
        <item x="8"/>
        <item x="9"/>
        <item x="10"/>
        <item x="11"/>
        <item x="12"/>
        <item x="13"/>
      </items>
    </pivotField>
  </pivotFields>
  <rowFields count="1">
    <field x="5"/>
  </rowFields>
  <rowItems count="4">
    <i>
      <x/>
    </i>
    <i>
      <x v="1"/>
    </i>
    <i>
      <x v="2"/>
    </i>
    <i t="grand">
      <x/>
    </i>
  </rowItems>
  <colItems count="1">
    <i/>
  </colItems>
  <dataFields count="1">
    <dataField name="Sum of Count" fld="12" baseField="0" baseItem="0"/>
  </dataFields>
  <formats count="14">
    <format dxfId="62">
      <pivotArea field="5" type="button" dataOnly="0" labelOnly="1" outline="0" axis="axisRow" fieldPosition="0"/>
    </format>
    <format dxfId="61">
      <pivotArea dataOnly="0" labelOnly="1" outline="0" axis="axisValues" fieldPosition="0"/>
    </format>
    <format dxfId="60">
      <pivotArea dataOnly="0" labelOnly="1" outline="0" axis="axisValues" fieldPosition="0"/>
    </format>
    <format dxfId="59">
      <pivotArea field="5" type="button" dataOnly="0" labelOnly="1" outline="0" axis="axisRow" fieldPosition="0"/>
    </format>
    <format dxfId="58">
      <pivotArea dataOnly="0" labelOnly="1" outline="0" axis="axisValues" fieldPosition="0"/>
    </format>
    <format dxfId="57">
      <pivotArea dataOnly="0" labelOnly="1" outline="0" axis="axisValues" fieldPosition="0"/>
    </format>
    <format dxfId="56">
      <pivotArea dataOnly="0" fieldPosition="0">
        <references count="1">
          <reference field="5" count="0"/>
        </references>
      </pivotArea>
    </format>
    <format dxfId="55">
      <pivotArea type="all" dataOnly="0" outline="0" fieldPosition="0"/>
    </format>
    <format dxfId="54">
      <pivotArea outline="0" collapsedLevelsAreSubtotals="1" fieldPosition="0"/>
    </format>
    <format dxfId="53">
      <pivotArea field="5" type="button" dataOnly="0" labelOnly="1" outline="0" axis="axisRow" fieldPosition="0"/>
    </format>
    <format dxfId="52">
      <pivotArea dataOnly="0" labelOnly="1" outline="0" axis="axisValues" fieldPosition="0"/>
    </format>
    <format dxfId="51">
      <pivotArea dataOnly="0" labelOnly="1" fieldPosition="0">
        <references count="1">
          <reference field="5" count="0"/>
        </references>
      </pivotArea>
    </format>
    <format dxfId="50">
      <pivotArea dataOnly="0" labelOnly="1" grandRow="1" outline="0" fieldPosition="0"/>
    </format>
    <format dxfId="49">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1">
    <queryTableFields count="10">
      <queryTableField id="1" name="instant" tableColumnId="21"/>
      <queryTableField id="2" name="dteday" tableColumnId="22"/>
      <queryTableField id="3" name="season" tableColumnId="23"/>
      <queryTableField id="4" name="yr" tableColumnId="24"/>
      <queryTableField id="5" name="mnth" tableColumnId="25"/>
      <queryTableField id="6" name="hr" tableColumnId="26"/>
      <queryTableField id="7" name="holiday" tableColumnId="27"/>
      <queryTableField id="8" name="weekday" tableColumnId="28"/>
      <queryTableField id="9" name="weathersit" tableColumnId="29"/>
      <queryTableField id="10" name="temp" tableColumnId="30"/>
    </queryTableFields>
  </queryTableRefresh>
</queryTable>
</file>

<file path=xl/queryTables/queryTable2.xml><?xml version="1.0" encoding="utf-8"?>
<queryTable xmlns="http://schemas.openxmlformats.org/spreadsheetml/2006/main" name="ExternalData_1" connectionId="2" autoFormatId="0" applyNumberFormats="0" applyBorderFormats="0" applyFontFormats="1" applyPatternFormats="1" applyAlignmentFormats="0" applyWidthHeightFormats="0">
  <queryTableRefresh preserveSortFilterLayout="0" nextId="9">
    <queryTableFields count="7">
      <queryTableField id="2" name="instant" tableColumnId="18"/>
      <queryTableField id="3" name="atemp" tableColumnId="19"/>
      <queryTableField id="4" name="hum" tableColumnId="20"/>
      <queryTableField id="5" name="windspeed" tableColumnId="21"/>
      <queryTableField id="6" name="casual" tableColumnId="22"/>
      <queryTableField id="7" name="registered" tableColumnId="23"/>
      <queryTableField id="8" name="cnt" tableColumnId="24"/>
    </queryTableFields>
    <queryTableDeletedFields count="1">
      <deletedField name="Unnamed: 0"/>
    </queryTableDeletedFields>
  </queryTableRefresh>
</queryTable>
</file>

<file path=xl/queryTables/queryTable3.xml><?xml version="1.0" encoding="utf-8"?>
<queryTable xmlns="http://schemas.openxmlformats.org/spreadsheetml/2006/main" name="ExternalData_1" connectionId="4" autoFormatId="0" applyNumberFormats="0" applyBorderFormats="0" applyFontFormats="1" applyPatternFormats="1" applyAlignmentFormats="0" applyWidthHeightFormats="0">
  <queryTableRefresh preserveSortFilterLayout="0" nextId="19">
    <queryTableFields count="13">
      <queryTableField id="1" name="instant" tableColumnId="37"/>
      <queryTableField id="2" name="dteday" tableColumnId="38"/>
      <queryTableField id="6" name="hr" tableColumnId="42"/>
      <queryTableField id="7" name="holiday" tableColumnId="43"/>
      <queryTableField id="8" name="weekday" tableColumnId="44"/>
      <queryTableField id="9" name="weathersit" tableColumnId="45"/>
      <queryTableField id="10" name="temp" tableColumnId="46"/>
      <queryTableField id="13" name="dataset_2.atemp" tableColumnId="49"/>
      <queryTableField id="14" name="dataset_2.hum" tableColumnId="50"/>
      <queryTableField id="15" name="dataset_2.windspeed" tableColumnId="51"/>
      <queryTableField id="16" name="dataset_2.casual" tableColumnId="52"/>
      <queryTableField id="17" name="dataset_2.registered" tableColumnId="53"/>
      <queryTableField id="18" name="dataset_2.cnt" tableColumnId="54"/>
    </queryTableFields>
    <queryTableDeletedFields count="5">
      <deletedField name="dataset_2.Unnamed: 0"/>
      <deletedField name="dataset_2.instant"/>
      <deletedField name="season"/>
      <deletedField name="yr"/>
      <deletedField name="mnth"/>
    </queryTableDeletedFields>
  </queryTableRefresh>
</queryTable>
</file>

<file path=xl/queryTables/queryTable4.xml><?xml version="1.0" encoding="utf-8"?>
<queryTable xmlns="http://schemas.openxmlformats.org/spreadsheetml/2006/main" name="ExternalData_1" connectionId="3" autoFormatId="0" applyNumberFormats="0" applyBorderFormats="0" applyFontFormats="1" applyPatternFormats="1" applyAlignmentFormats="0" applyWidthHeightFormats="0">
  <queryTableRefresh preserveSortFilterLayout="0" nextId="17">
    <queryTableFields count="16">
      <queryTableField id="1" name="instant" tableColumnId="33"/>
      <queryTableField id="2" name="dteday" tableColumnId="34"/>
      <queryTableField id="3" name="season" tableColumnId="35"/>
      <queryTableField id="4" name="yr" tableColumnId="36"/>
      <queryTableField id="5" name="mnth" tableColumnId="37"/>
      <queryTableField id="6" name="hr" tableColumnId="38"/>
      <queryTableField id="7" name="holiday" tableColumnId="39"/>
      <queryTableField id="8" name="weekday" tableColumnId="40"/>
      <queryTableField id="9" name="weathersit" tableColumnId="41"/>
      <queryTableField id="10" name="temp" tableColumnId="42"/>
      <queryTableField id="11" name="atemp" tableColumnId="43"/>
      <queryTableField id="12" name="hum" tableColumnId="44"/>
      <queryTableField id="13" name="windspeed" tableColumnId="45"/>
      <queryTableField id="14" name="casual" tableColumnId="46"/>
      <queryTableField id="15" name="registered" tableColumnId="47"/>
      <queryTableField id="16" name="cnt" tableColumnId="4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te" sourceName="Date">
  <pivotTables>
    <pivotTable tabId="17" name="PivotTable1"/>
    <pivotTable tabId="17" name="PivotTable2"/>
    <pivotTable tabId="17" name="PivotTable5"/>
    <pivotTable tabId="17" name="PivotTable7"/>
    <pivotTable tabId="17" name="PivotTable8"/>
    <pivotTable tabId="17" name="PivotTable9"/>
    <pivotTable tabId="26" name="PivotTable11"/>
    <pivotTable tabId="26" name="PivotTable12"/>
    <pivotTable tabId="26" name="PivotTable13"/>
    <pivotTable tabId="26" name="PivotTable14"/>
  </pivotTables>
  <data>
    <tabular pivotCacheId="1">
      <items count="368">
        <i x="1" s="1"/>
        <i x="2" s="1"/>
        <i x="36" s="1"/>
        <i x="37" s="1"/>
        <i x="8" s="1"/>
        <i x="9" s="1"/>
        <i x="43" s="1"/>
        <i x="44" s="1"/>
        <i x="15" s="1"/>
        <i x="16" s="1"/>
        <i x="22" s="1"/>
        <i x="23" s="1"/>
        <i x="29" s="1"/>
        <i x="30" s="1"/>
        <i x="0" s="1" nd="1"/>
        <i x="367" s="1" nd="1"/>
        <i x="92" s="1" nd="1"/>
        <i x="214" s="1" nd="1"/>
        <i x="336" s="1" nd="1"/>
        <i x="32" s="1" nd="1"/>
        <i x="183" s="1" nd="1"/>
        <i x="153" s="1" nd="1"/>
        <i x="61" s="1" nd="1"/>
        <i x="122" s="1" nd="1"/>
        <i x="306" s="1" nd="1"/>
        <i x="275" s="1" nd="1"/>
        <i x="245" s="1" nd="1"/>
        <i x="93" s="1" nd="1"/>
        <i x="215" s="1" nd="1"/>
        <i x="337" s="1" nd="1"/>
        <i x="33" s="1" nd="1"/>
        <i x="184" s="1" nd="1"/>
        <i x="154" s="1" nd="1"/>
        <i x="62" s="1" nd="1"/>
        <i x="123" s="1" nd="1"/>
        <i x="307" s="1" nd="1"/>
        <i x="276" s="1" nd="1"/>
        <i x="246" s="1" nd="1"/>
        <i x="94" s="1" nd="1"/>
        <i x="216" s="1" nd="1"/>
        <i x="338" s="1" nd="1"/>
        <i x="34" s="1" nd="1"/>
        <i x="3" s="1" nd="1"/>
        <i x="185" s="1" nd="1"/>
        <i x="155" s="1" nd="1"/>
        <i x="63" s="1" nd="1"/>
        <i x="124" s="1" nd="1"/>
        <i x="308" s="1" nd="1"/>
        <i x="277" s="1" nd="1"/>
        <i x="247" s="1" nd="1"/>
        <i x="95" s="1" nd="1"/>
        <i x="217" s="1" nd="1"/>
        <i x="339" s="1" nd="1"/>
        <i x="35" s="1" nd="1"/>
        <i x="4" s="1" nd="1"/>
        <i x="186" s="1" nd="1"/>
        <i x="156" s="1" nd="1"/>
        <i x="64" s="1" nd="1"/>
        <i x="125" s="1" nd="1"/>
        <i x="309" s="1" nd="1"/>
        <i x="278" s="1" nd="1"/>
        <i x="248" s="1" nd="1"/>
        <i x="96" s="1" nd="1"/>
        <i x="218" s="1" nd="1"/>
        <i x="340" s="1" nd="1"/>
        <i x="5" s="1" nd="1"/>
        <i x="187" s="1" nd="1"/>
        <i x="157" s="1" nd="1"/>
        <i x="65" s="1" nd="1"/>
        <i x="126" s="1" nd="1"/>
        <i x="310" s="1" nd="1"/>
        <i x="279" s="1" nd="1"/>
        <i x="249" s="1" nd="1"/>
        <i x="97" s="1" nd="1"/>
        <i x="219" s="1" nd="1"/>
        <i x="341" s="1" nd="1"/>
        <i x="6" s="1" nd="1"/>
        <i x="188" s="1" nd="1"/>
        <i x="158" s="1" nd="1"/>
        <i x="66" s="1" nd="1"/>
        <i x="127" s="1" nd="1"/>
        <i x="311" s="1" nd="1"/>
        <i x="280" s="1" nd="1"/>
        <i x="250" s="1" nd="1"/>
        <i x="98" s="1" nd="1"/>
        <i x="220" s="1" nd="1"/>
        <i x="342" s="1" nd="1"/>
        <i x="38" s="1" nd="1"/>
        <i x="7" s="1" nd="1"/>
        <i x="189" s="1" nd="1"/>
        <i x="159" s="1" nd="1"/>
        <i x="67" s="1" nd="1"/>
        <i x="128" s="1" nd="1"/>
        <i x="312" s="1" nd="1"/>
        <i x="281" s="1" nd="1"/>
        <i x="251" s="1" nd="1"/>
        <i x="99" s="1" nd="1"/>
        <i x="221" s="1" nd="1"/>
        <i x="343" s="1" nd="1"/>
        <i x="39" s="1" nd="1"/>
        <i x="190" s="1" nd="1"/>
        <i x="160" s="1" nd="1"/>
        <i x="68" s="1" nd="1"/>
        <i x="129" s="1" nd="1"/>
        <i x="313" s="1" nd="1"/>
        <i x="282" s="1" nd="1"/>
        <i x="252" s="1" nd="1"/>
        <i x="100" s="1" nd="1"/>
        <i x="222" s="1" nd="1"/>
        <i x="344" s="1" nd="1"/>
        <i x="40" s="1" nd="1"/>
        <i x="191" s="1" nd="1"/>
        <i x="161" s="1" nd="1"/>
        <i x="69" s="1" nd="1"/>
        <i x="130" s="1" nd="1"/>
        <i x="314" s="1" nd="1"/>
        <i x="283" s="1" nd="1"/>
        <i x="253" s="1" nd="1"/>
        <i x="101" s="1" nd="1"/>
        <i x="223" s="1" nd="1"/>
        <i x="345" s="1" nd="1"/>
        <i x="41" s="1" nd="1"/>
        <i x="10" s="1" nd="1"/>
        <i x="192" s="1" nd="1"/>
        <i x="162" s="1" nd="1"/>
        <i x="70" s="1" nd="1"/>
        <i x="131" s="1" nd="1"/>
        <i x="315" s="1" nd="1"/>
        <i x="284" s="1" nd="1"/>
        <i x="254" s="1" nd="1"/>
        <i x="102" s="1" nd="1"/>
        <i x="224" s="1" nd="1"/>
        <i x="346" s="1" nd="1"/>
        <i x="42" s="1" nd="1"/>
        <i x="11" s="1" nd="1"/>
        <i x="193" s="1" nd="1"/>
        <i x="163" s="1" nd="1"/>
        <i x="71" s="1" nd="1"/>
        <i x="132" s="1" nd="1"/>
        <i x="316" s="1" nd="1"/>
        <i x="285" s="1" nd="1"/>
        <i x="255" s="1" nd="1"/>
        <i x="103" s="1" nd="1"/>
        <i x="225" s="1" nd="1"/>
        <i x="347" s="1" nd="1"/>
        <i x="12" s="1" nd="1"/>
        <i x="194" s="1" nd="1"/>
        <i x="164" s="1" nd="1"/>
        <i x="72" s="1" nd="1"/>
        <i x="133" s="1" nd="1"/>
        <i x="317" s="1" nd="1"/>
        <i x="286" s="1" nd="1"/>
        <i x="256" s="1" nd="1"/>
        <i x="104" s="1" nd="1"/>
        <i x="226" s="1" nd="1"/>
        <i x="348" s="1" nd="1"/>
        <i x="13" s="1" nd="1"/>
        <i x="195" s="1" nd="1"/>
        <i x="165" s="1" nd="1"/>
        <i x="73" s="1" nd="1"/>
        <i x="134" s="1" nd="1"/>
        <i x="318" s="1" nd="1"/>
        <i x="287" s="1" nd="1"/>
        <i x="257" s="1" nd="1"/>
        <i x="105" s="1" nd="1"/>
        <i x="227" s="1" nd="1"/>
        <i x="349" s="1" nd="1"/>
        <i x="45" s="1" nd="1"/>
        <i x="14" s="1" nd="1"/>
        <i x="196" s="1" nd="1"/>
        <i x="166" s="1" nd="1"/>
        <i x="74" s="1" nd="1"/>
        <i x="135" s="1" nd="1"/>
        <i x="319" s="1" nd="1"/>
        <i x="288" s="1" nd="1"/>
        <i x="258" s="1" nd="1"/>
        <i x="106" s="1" nd="1"/>
        <i x="228" s="1" nd="1"/>
        <i x="350" s="1" nd="1"/>
        <i x="46" s="1" nd="1"/>
        <i x="197" s="1" nd="1"/>
        <i x="167" s="1" nd="1"/>
        <i x="75" s="1" nd="1"/>
        <i x="136" s="1" nd="1"/>
        <i x="320" s="1" nd="1"/>
        <i x="289" s="1" nd="1"/>
        <i x="259" s="1" nd="1"/>
        <i x="107" s="1" nd="1"/>
        <i x="229" s="1" nd="1"/>
        <i x="351" s="1" nd="1"/>
        <i x="47" s="1" nd="1"/>
        <i x="198" s="1" nd="1"/>
        <i x="168" s="1" nd="1"/>
        <i x="76" s="1" nd="1"/>
        <i x="137" s="1" nd="1"/>
        <i x="321" s="1" nd="1"/>
        <i x="290" s="1" nd="1"/>
        <i x="260" s="1" nd="1"/>
        <i x="108" s="1" nd="1"/>
        <i x="230" s="1" nd="1"/>
        <i x="352" s="1" nd="1"/>
        <i x="48" s="1" nd="1"/>
        <i x="17" s="1" nd="1"/>
        <i x="199" s="1" nd="1"/>
        <i x="169" s="1" nd="1"/>
        <i x="77" s="1" nd="1"/>
        <i x="138" s="1" nd="1"/>
        <i x="322" s="1" nd="1"/>
        <i x="291" s="1" nd="1"/>
        <i x="261" s="1" nd="1"/>
        <i x="109" s="1" nd="1"/>
        <i x="231" s="1" nd="1"/>
        <i x="353" s="1" nd="1"/>
        <i x="49" s="1" nd="1"/>
        <i x="18" s="1" nd="1"/>
        <i x="200" s="1" nd="1"/>
        <i x="170" s="1" nd="1"/>
        <i x="78" s="1" nd="1"/>
        <i x="139" s="1" nd="1"/>
        <i x="323" s="1" nd="1"/>
        <i x="292" s="1" nd="1"/>
        <i x="262" s="1" nd="1"/>
        <i x="110" s="1" nd="1"/>
        <i x="232" s="1" nd="1"/>
        <i x="354" s="1" nd="1"/>
        <i x="50" s="1" nd="1"/>
        <i x="19" s="1" nd="1"/>
        <i x="201" s="1" nd="1"/>
        <i x="171" s="1" nd="1"/>
        <i x="79" s="1" nd="1"/>
        <i x="140" s="1" nd="1"/>
        <i x="324" s="1" nd="1"/>
        <i x="293" s="1" nd="1"/>
        <i x="263" s="1" nd="1"/>
        <i x="111" s="1" nd="1"/>
        <i x="233" s="1" nd="1"/>
        <i x="355" s="1" nd="1"/>
        <i x="51" s="1" nd="1"/>
        <i x="20" s="1" nd="1"/>
        <i x="202" s="1" nd="1"/>
        <i x="172" s="1" nd="1"/>
        <i x="80" s="1" nd="1"/>
        <i x="141" s="1" nd="1"/>
        <i x="325" s="1" nd="1"/>
        <i x="294" s="1" nd="1"/>
        <i x="264" s="1" nd="1"/>
        <i x="112" s="1" nd="1"/>
        <i x="234" s="1" nd="1"/>
        <i x="356" s="1" nd="1"/>
        <i x="52" s="1" nd="1"/>
        <i x="21" s="1" nd="1"/>
        <i x="203" s="1" nd="1"/>
        <i x="173" s="1" nd="1"/>
        <i x="81" s="1" nd="1"/>
        <i x="142" s="1" nd="1"/>
        <i x="326" s="1" nd="1"/>
        <i x="295" s="1" nd="1"/>
        <i x="265" s="1" nd="1"/>
        <i x="113" s="1" nd="1"/>
        <i x="235" s="1" nd="1"/>
        <i x="357" s="1" nd="1"/>
        <i x="53" s="1" nd="1"/>
        <i x="204" s="1" nd="1"/>
        <i x="174" s="1" nd="1"/>
        <i x="82" s="1" nd="1"/>
        <i x="143" s="1" nd="1"/>
        <i x="327" s="1" nd="1"/>
        <i x="296" s="1" nd="1"/>
        <i x="266" s="1" nd="1"/>
        <i x="114" s="1" nd="1"/>
        <i x="236" s="1" nd="1"/>
        <i x="358" s="1" nd="1"/>
        <i x="54" s="1" nd="1"/>
        <i x="205" s="1" nd="1"/>
        <i x="175" s="1" nd="1"/>
        <i x="83" s="1" nd="1"/>
        <i x="144" s="1" nd="1"/>
        <i x="328" s="1" nd="1"/>
        <i x="297" s="1" nd="1"/>
        <i x="267" s="1" nd="1"/>
        <i x="115" s="1" nd="1"/>
        <i x="237" s="1" nd="1"/>
        <i x="359" s="1" nd="1"/>
        <i x="55" s="1" nd="1"/>
        <i x="24" s="1" nd="1"/>
        <i x="206" s="1" nd="1"/>
        <i x="176" s="1" nd="1"/>
        <i x="84" s="1" nd="1"/>
        <i x="145" s="1" nd="1"/>
        <i x="329" s="1" nd="1"/>
        <i x="298" s="1" nd="1"/>
        <i x="268" s="1" nd="1"/>
        <i x="116" s="1" nd="1"/>
        <i x="238" s="1" nd="1"/>
        <i x="360" s="1" nd="1"/>
        <i x="56" s="1" nd="1"/>
        <i x="25" s="1" nd="1"/>
        <i x="207" s="1" nd="1"/>
        <i x="177" s="1" nd="1"/>
        <i x="85" s="1" nd="1"/>
        <i x="146" s="1" nd="1"/>
        <i x="330" s="1" nd="1"/>
        <i x="299" s="1" nd="1"/>
        <i x="269" s="1" nd="1"/>
        <i x="117" s="1" nd="1"/>
        <i x="239" s="1" nd="1"/>
        <i x="361" s="1" nd="1"/>
        <i x="57" s="1" nd="1"/>
        <i x="26" s="1" nd="1"/>
        <i x="208" s="1" nd="1"/>
        <i x="178" s="1" nd="1"/>
        <i x="86" s="1" nd="1"/>
        <i x="147" s="1" nd="1"/>
        <i x="331" s="1" nd="1"/>
        <i x="300" s="1" nd="1"/>
        <i x="270" s="1" nd="1"/>
        <i x="118" s="1" nd="1"/>
        <i x="240" s="1" nd="1"/>
        <i x="362" s="1" nd="1"/>
        <i x="58" s="1" nd="1"/>
        <i x="27" s="1" nd="1"/>
        <i x="209" s="1" nd="1"/>
        <i x="179" s="1" nd="1"/>
        <i x="87" s="1" nd="1"/>
        <i x="148" s="1" nd="1"/>
        <i x="332" s="1" nd="1"/>
        <i x="301" s="1" nd="1"/>
        <i x="271" s="1" nd="1"/>
        <i x="119" s="1" nd="1"/>
        <i x="241" s="1" nd="1"/>
        <i x="363" s="1" nd="1"/>
        <i x="59" s="1" nd="1"/>
        <i x="28" s="1" nd="1"/>
        <i x="210" s="1" nd="1"/>
        <i x="180" s="1" nd="1"/>
        <i x="88" s="1" nd="1"/>
        <i x="149" s="1" nd="1"/>
        <i x="333" s="1" nd="1"/>
        <i x="302" s="1" nd="1"/>
        <i x="272" s="1" nd="1"/>
        <i x="120" s="1" nd="1"/>
        <i x="242" s="1" nd="1"/>
        <i x="364" s="1" nd="1"/>
        <i x="60" s="1" nd="1"/>
        <i x="211" s="1" nd="1"/>
        <i x="181" s="1" nd="1"/>
        <i x="89" s="1" nd="1"/>
        <i x="150" s="1" nd="1"/>
        <i x="334" s="1" nd="1"/>
        <i x="303" s="1" nd="1"/>
        <i x="273" s="1" nd="1"/>
        <i x="121" s="1" nd="1"/>
        <i x="243" s="1" nd="1"/>
        <i x="365" s="1" nd="1"/>
        <i x="212" s="1" nd="1"/>
        <i x="182" s="1" nd="1"/>
        <i x="90" s="1" nd="1"/>
        <i x="151" s="1" nd="1"/>
        <i x="335" s="1" nd="1"/>
        <i x="304" s="1" nd="1"/>
        <i x="274" s="1" nd="1"/>
        <i x="244" s="1" nd="1"/>
        <i x="366" s="1" nd="1"/>
        <i x="31" s="1" nd="1"/>
        <i x="213" s="1" nd="1"/>
        <i x="91" s="1" nd="1"/>
        <i x="152" s="1" nd="1"/>
        <i x="30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Hour" sourceName="Hour">
  <pivotTables>
    <pivotTable tabId="17" name="PivotTable1"/>
    <pivotTable tabId="17" name="PivotTable2"/>
    <pivotTable tabId="17" name="PivotTable7"/>
    <pivotTable tabId="17" name="PivotTable8"/>
    <pivotTable tabId="17" name="PivotTable9"/>
    <pivotTable tabId="26" name="PivotTable11"/>
    <pivotTable tabId="26" name="PivotTable12"/>
    <pivotTable tabId="26" name="PivotTable13"/>
    <pivotTable tabId="26" name="PivotTable14"/>
  </pivotTables>
  <data>
    <tabular pivotCacheId="1">
      <items count="10">
        <i x="1" s="1"/>
        <i x="5" s="1"/>
        <i x="6" s="1"/>
        <i x="7" s="1"/>
        <i x="8" s="1"/>
        <i x="2" s="1"/>
        <i x="3" s="1"/>
        <i x="4" s="1"/>
        <i x="0" s="1" nd="1"/>
        <i x="9"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Holiday" sourceName="Holiday">
  <pivotTables>
    <pivotTable tabId="17" name="PivotTable1"/>
    <pivotTable tabId="17" name="PivotTable2"/>
    <pivotTable tabId="17" name="PivotTable5"/>
    <pivotTable tabId="17" name="PivotTable7"/>
    <pivotTable tabId="17" name="PivotTable8"/>
    <pivotTable tabId="17" name="PivotTable9"/>
    <pivotTable tabId="26" name="PivotTable11"/>
    <pivotTable tabId="26" name="PivotTable12"/>
    <pivotTable tabId="26" name="PivotTable13"/>
    <pivotTable tabId="26" name="PivotTable14"/>
  </pivotTables>
  <data>
    <tabular pivotCacheId="1">
      <items count="2">
        <i x="0" s="1"/>
        <i x="1"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Weekday" sourceName="Weekday">
  <pivotTables>
    <pivotTable tabId="17" name="PivotTable1"/>
    <pivotTable tabId="17" name="PivotTable2"/>
    <pivotTable tabId="17" name="PivotTable5"/>
    <pivotTable tabId="17" name="PivotTable7"/>
    <pivotTable tabId="17" name="PivotTable8"/>
    <pivotTable tabId="17" name="PivotTable9"/>
    <pivotTable tabId="26" name="PivotTable11"/>
    <pivotTable tabId="26" name="PivotTable12"/>
    <pivotTable tabId="26" name="PivotTable13"/>
    <pivotTable tabId="26" name="PivotTable14"/>
  </pivotTables>
  <data>
    <tabular pivotCacheId="1">
      <items count="2">
        <i x="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Weathersit" sourceName="Weathersit">
  <pivotTables>
    <pivotTable tabId="17" name="PivotTable1"/>
    <pivotTable tabId="17" name="PivotTable2"/>
    <pivotTable tabId="17" name="PivotTable5"/>
    <pivotTable tabId="17" name="PivotTable7"/>
    <pivotTable tabId="17" name="PivotTable8"/>
    <pivotTable tabId="17" name="PivotTable9"/>
    <pivotTable tabId="26" name="PivotTable11"/>
    <pivotTable tabId="26" name="PivotTable12"/>
    <pivotTable tabId="26" name="PivotTable13"/>
    <pivotTable tabId="26" name="PivotTable14"/>
  </pivotTables>
  <data>
    <tabular pivotCacheId="1">
      <items count="4">
        <i x="0" s="1"/>
        <i x="1" s="1"/>
        <i x="2" s="1"/>
        <i x="3"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Temperature" sourceName="Temperature">
  <pivotTables>
    <pivotTable tabId="17" name="PivotTable1"/>
    <pivotTable tabId="17" name="PivotTable2"/>
    <pivotTable tabId="17" name="PivotTable5"/>
    <pivotTable tabId="17" name="PivotTable7"/>
    <pivotTable tabId="17" name="PivotTable8"/>
    <pivotTable tabId="17" name="PivotTable9"/>
    <pivotTable tabId="26" name="PivotTable11"/>
    <pivotTable tabId="26" name="PivotTable12"/>
    <pivotTable tabId="26" name="PivotTable14"/>
  </pivotTables>
  <data>
    <tabular pivotCacheId="1">
      <items count="23">
        <i x="22" s="1"/>
        <i x="21" s="1"/>
        <i x="20" s="1"/>
        <i x="19" s="1"/>
        <i x="18" s="1"/>
        <i x="16" s="1"/>
        <i x="14" s="1"/>
        <i x="13" s="1"/>
        <i x="15" s="1"/>
        <i x="2" s="1"/>
        <i x="1" s="1"/>
        <i x="0" s="1"/>
        <i x="12" s="1"/>
        <i x="17" s="1"/>
        <i x="11" s="1"/>
        <i x="3" s="1"/>
        <i x="10" s="1"/>
        <i x="5" s="1"/>
        <i x="4" s="1"/>
        <i x="9" s="1"/>
        <i x="6" s="1"/>
        <i x="8"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te" cache="Slicer_Date" caption="Date" startItem="12" style="SlicerStyleDark5" rowHeight="241300"/>
  <slicer name="Hour 1" cache="Slicer_Hour" caption="Hour" style="SlicerStyleDark5" rowHeight="241300"/>
  <slicer name="Holiday" cache="Slicer_Holiday" caption="Holiday" style="SlicerStyleDark5" rowHeight="241300"/>
  <slicer name="Weekday 1" cache="Slicer_Weekday" caption="Weekday" style="SlicerStyleDark5" rowHeight="241300"/>
  <slicer name="Weathersit 1" cache="Slicer_Weathersit" caption="Weathersit" style="SlicerStyleDark5" rowHeight="241300"/>
  <slicer name="Temperature" cache="Slicer_Temperature" caption="Temperature" style="SlicerStyleDark5"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id="1" name="dataset_1" displayName="dataset_1" ref="A1:J611" tableType="queryTable" totalsRowShown="0" headerRowDxfId="183" dataDxfId="182">
  <autoFilter ref="A1:J611"/>
  <tableColumns count="10">
    <tableColumn id="21" uniqueName="21" name="No." queryTableFieldId="1" dataDxfId="181"/>
    <tableColumn id="22" uniqueName="22" name="Date" queryTableFieldId="2" dataDxfId="180"/>
    <tableColumn id="23" uniqueName="23" name="Season" queryTableFieldId="3" dataDxfId="179"/>
    <tableColumn id="24" uniqueName="24" name="Year" queryTableFieldId="4" dataDxfId="178"/>
    <tableColumn id="25" uniqueName="25" name="Month" queryTableFieldId="5" dataDxfId="177"/>
    <tableColumn id="26" uniqueName="26" name="Hour" queryTableFieldId="6" dataDxfId="176"/>
    <tableColumn id="27" uniqueName="27" name="Holiday" queryTableFieldId="7" dataDxfId="175"/>
    <tableColumn id="28" uniqueName="28" name="Weekday" queryTableFieldId="8" dataDxfId="174"/>
    <tableColumn id="29" uniqueName="29" name="Weathersit" queryTableFieldId="9" dataDxfId="173"/>
    <tableColumn id="30" uniqueName="30" name="Temp" queryTableFieldId="10" dataDxfId="172"/>
  </tableColumns>
  <tableStyleInfo name="TableStyleMedium2" showFirstColumn="0" showLastColumn="0" showRowStripes="1" showColumnStripes="0"/>
</table>
</file>

<file path=xl/tables/table2.xml><?xml version="1.0" encoding="utf-8"?>
<table xmlns="http://schemas.openxmlformats.org/spreadsheetml/2006/main" id="3" name="Table3" displayName="Table3" ref="M4:N15" totalsRowShown="0">
  <autoFilter ref="M4:N15"/>
  <tableColumns count="2">
    <tableColumn id="1" name="STATISTIC" dataDxfId="171"/>
    <tableColumn id="3" name="RESULT"/>
  </tableColumns>
  <tableStyleInfo name="TableStyleMedium3" showFirstColumn="0" showLastColumn="0" showRowStripes="1" showColumnStripes="0"/>
</table>
</file>

<file path=xl/tables/table3.xml><?xml version="1.0" encoding="utf-8"?>
<table xmlns="http://schemas.openxmlformats.org/spreadsheetml/2006/main" id="13" name="dataset_2__2" displayName="dataset_2__2" ref="A1:G611" tableType="queryTable" totalsRowShown="0" headerRowDxfId="170" dataDxfId="169">
  <autoFilter ref="A1:G611"/>
  <tableColumns count="7">
    <tableColumn id="18" uniqueName="18" name="No." queryTableFieldId="2" dataDxfId="168"/>
    <tableColumn id="19" uniqueName="19" name="ATemp" queryTableFieldId="3" dataDxfId="167"/>
    <tableColumn id="20" uniqueName="20" name="Humidity" queryTableFieldId="4" dataDxfId="166"/>
    <tableColumn id="21" uniqueName="21" name="Windspeed" queryTableFieldId="5" dataDxfId="165"/>
    <tableColumn id="22" uniqueName="22" name="Casual" queryTableFieldId="6" dataDxfId="164"/>
    <tableColumn id="23" uniqueName="23" name="Registered" queryTableFieldId="7" dataDxfId="163"/>
    <tableColumn id="24" uniqueName="24" name="Count" queryTableFieldId="8" dataDxfId="162"/>
  </tableColumns>
  <tableStyleInfo name="TableStyleMedium2" showFirstColumn="0" showLastColumn="0" showRowStripes="1" showColumnStripes="0"/>
</table>
</file>

<file path=xl/tables/table4.xml><?xml version="1.0" encoding="utf-8"?>
<table xmlns="http://schemas.openxmlformats.org/spreadsheetml/2006/main" id="16" name="Table317" displayName="Table317" ref="L4:M15" totalsRowShown="0">
  <autoFilter ref="L4:M15"/>
  <tableColumns count="2">
    <tableColumn id="1" name="STATISTIC" dataDxfId="161"/>
    <tableColumn id="3" name="RESULT"/>
  </tableColumns>
  <tableStyleInfo name="TableStyleMedium3" showFirstColumn="0" showLastColumn="0" showRowStripes="1" showColumnStripes="0"/>
</table>
</file>

<file path=xl/tables/table5.xml><?xml version="1.0" encoding="utf-8"?>
<table xmlns="http://schemas.openxmlformats.org/spreadsheetml/2006/main" id="11" name="Merge1" displayName="Merge1" ref="A1:M612" tableType="queryTable" totalsRowShown="0" headerRowDxfId="160" dataDxfId="159">
  <autoFilter ref="A1:M612"/>
  <tableColumns count="13">
    <tableColumn id="37" uniqueName="37" name="No." queryTableFieldId="1" dataDxfId="158"/>
    <tableColumn id="38" uniqueName="38" name="Date" queryTableFieldId="2" dataDxfId="157"/>
    <tableColumn id="42" uniqueName="42" name="Hour" queryTableFieldId="6" dataDxfId="156"/>
    <tableColumn id="43" uniqueName="43" name="Holiday" queryTableFieldId="7" dataDxfId="155"/>
    <tableColumn id="44" uniqueName="44" name="Weekday" queryTableFieldId="8" dataDxfId="154"/>
    <tableColumn id="45" uniqueName="45" name="Weathersit" queryTableFieldId="9" dataDxfId="153"/>
    <tableColumn id="46" uniqueName="46" name="Temp" queryTableFieldId="10" dataDxfId="152"/>
    <tableColumn id="49" uniqueName="49" name="ATemp" queryTableFieldId="13" dataDxfId="151"/>
    <tableColumn id="50" uniqueName="50" name="Humidity" queryTableFieldId="14" dataDxfId="150"/>
    <tableColumn id="51" uniqueName="51" name="Windspeed" queryTableFieldId="15" dataDxfId="149"/>
    <tableColumn id="52" uniqueName="52" name="Casual" queryTableFieldId="16" dataDxfId="148"/>
    <tableColumn id="53" uniqueName="53" name="Registered" queryTableFieldId="17" dataDxfId="147"/>
    <tableColumn id="54" uniqueName="54" name="Count" queryTableFieldId="18" dataDxfId="146"/>
  </tableColumns>
  <tableStyleInfo name="TableStyleMedium2" showFirstColumn="0" showLastColumn="0" showRowStripes="1" showColumnStripes="0"/>
</table>
</file>

<file path=xl/tables/table6.xml><?xml version="1.0" encoding="utf-8"?>
<table xmlns="http://schemas.openxmlformats.org/spreadsheetml/2006/main" id="7" name="dataset_3" displayName="dataset_3" ref="A1:P391" tableType="queryTable" totalsRowShown="0" headerRowDxfId="145" dataDxfId="144">
  <autoFilter ref="A1:P391"/>
  <tableColumns count="16">
    <tableColumn id="33" uniqueName="33" name="No." queryTableFieldId="1" dataDxfId="143"/>
    <tableColumn id="34" uniqueName="34" name="Date" queryTableFieldId="2" dataDxfId="142"/>
    <tableColumn id="35" uniqueName="35" name="Season" queryTableFieldId="3" dataDxfId="141"/>
    <tableColumn id="36" uniqueName="36" name="Year" queryTableFieldId="4" dataDxfId="140"/>
    <tableColumn id="37" uniqueName="37" name="Month" queryTableFieldId="5" dataDxfId="139"/>
    <tableColumn id="38" uniqueName="38" name="Hour" queryTableFieldId="6" dataDxfId="138"/>
    <tableColumn id="39" uniqueName="39" name="Holiday" queryTableFieldId="7" dataDxfId="137"/>
    <tableColumn id="40" uniqueName="40" name="Weekday" queryTableFieldId="8" dataDxfId="136"/>
    <tableColumn id="41" uniqueName="41" name="Weathersit" queryTableFieldId="9" dataDxfId="135"/>
    <tableColumn id="42" uniqueName="42" name="Temp" queryTableFieldId="10" dataDxfId="134"/>
    <tableColumn id="43" uniqueName="43" name="ATemp" queryTableFieldId="11" dataDxfId="133"/>
    <tableColumn id="44" uniqueName="44" name="Humidity" queryTableFieldId="12" dataDxfId="132"/>
    <tableColumn id="45" uniqueName="45" name="Windspeed" queryTableFieldId="13" dataDxfId="131"/>
    <tableColumn id="46" uniqueName="46" name="Casual" queryTableFieldId="14" dataDxfId="130"/>
    <tableColumn id="47" uniqueName="47" name="Registered" queryTableFieldId="15" dataDxfId="129"/>
    <tableColumn id="48" uniqueName="48" name="Count" queryTableFieldId="16" dataDxfId="128"/>
  </tableColumns>
  <tableStyleInfo name="TableStyleMedium2" showFirstColumn="0" showLastColumn="0" showRowStripes="1" showColumnStripes="0"/>
</table>
</file>

<file path=xl/tables/table7.xml><?xml version="1.0" encoding="utf-8"?>
<table xmlns="http://schemas.openxmlformats.org/spreadsheetml/2006/main" id="9" name="Table3710" displayName="Table3710" ref="T5:U16" totalsRowShown="0">
  <autoFilter ref="T5:U16"/>
  <tableColumns count="2">
    <tableColumn id="1" name="STATISTIC" dataDxfId="127"/>
    <tableColumn id="3" name="RESULT"/>
  </tableColumns>
  <tableStyleInfo name="TableStyleMedium3" showFirstColumn="0" showLastColumn="0" showRowStripes="1" showColumnStripes="0"/>
</table>
</file>

<file path=xl/tables/table8.xml><?xml version="1.0" encoding="utf-8"?>
<table xmlns="http://schemas.openxmlformats.org/spreadsheetml/2006/main" id="10" name="Table371011" displayName="Table371011" ref="T21:U32" totalsRowShown="0">
  <autoFilter ref="T21:U32"/>
  <tableColumns count="2">
    <tableColumn id="1" name="STATISTIC" dataDxfId="126"/>
    <tableColumn id="3" name="RESULT"/>
  </tableColumns>
  <tableStyleInfo name="TableStyleMedium3" showFirstColumn="0" showLastColumn="0" showRowStripes="1" showColumnStripes="0"/>
</table>
</file>

<file path=xl/tables/table9.xml><?xml version="1.0" encoding="utf-8"?>
<table xmlns="http://schemas.openxmlformats.org/spreadsheetml/2006/main" id="5" name="Table5" displayName="Table5" ref="A1:M1001" totalsRowShown="0" headerRowDxfId="125" dataDxfId="124">
  <autoFilter ref="A1:M1001"/>
  <tableColumns count="13">
    <tableColumn id="1" name="No." dataDxfId="123"/>
    <tableColumn id="2" name="Date" dataDxfId="122"/>
    <tableColumn id="3" name="Hour" dataDxfId="121"/>
    <tableColumn id="4" name="Holiday" dataDxfId="120"/>
    <tableColumn id="5" name="Weekday" dataDxfId="119">
      <calculatedColumnFormula>IF(WEEKDAY(B2,2)&gt;=6,"Weekend","Weekday")</calculatedColumnFormula>
    </tableColumn>
    <tableColumn id="6" name="Weathersit" dataDxfId="118"/>
    <tableColumn id="7" name="Temperature" dataDxfId="117"/>
    <tableColumn id="8" name="Assumed_temp" dataDxfId="116"/>
    <tableColumn id="9" name="humidity" dataDxfId="115"/>
    <tableColumn id="10" name="Windspeed" dataDxfId="114"/>
    <tableColumn id="11" name="Casual" dataDxfId="113"/>
    <tableColumn id="12" name="Registered" dataDxfId="112"/>
    <tableColumn id="13" name="Count" dataDxfId="111"/>
  </tableColumns>
  <tableStyleInfo name="TableStyleMedium2" showFirstColumn="0" showLastColumn="0" showRowStripes="1" showColumnStripes="0"/>
</table>
</file>

<file path=xl/tables/table10.xml><?xml version="1.0" encoding="utf-8"?>
<table xmlns="http://schemas.openxmlformats.org/spreadsheetml/2006/main" id="12" name="Table12" displayName="Table12" ref="O5:P8" totalsRowShown="0">
  <autoFilter ref="O5:P8"/>
  <tableColumns count="2">
    <tableColumn id="1" name="TOTAL" dataDxfId="110"/>
    <tableColumn id="5" name="RESULT"/>
  </tableColumns>
  <tableStyleInfo name="TableStyleLight10" showFirstColumn="0" showLastColumn="0" showRowStripes="1" showColumnStripes="0"/>
</table>
</file>

<file path=xl/tables/table11.xml><?xml version="1.0" encoding="utf-8"?>
<table xmlns="http://schemas.openxmlformats.org/spreadsheetml/2006/main" id="14" name="Table14" displayName="Table14" ref="O11:P14" totalsRowShown="0">
  <autoFilter ref="O11:P14"/>
  <tableColumns count="2">
    <tableColumn id="1" name="AVERAGE" dataDxfId="109"/>
    <tableColumn id="4" name="RESULT"/>
  </tableColumns>
  <tableStyleInfo name="TableStyleLight10" showFirstColumn="0" showLastColumn="0" showRowStripes="1" showColumnStripes="0"/>
</table>
</file>

<file path=xl/tables/table12.xml><?xml version="1.0" encoding="utf-8"?>
<table xmlns="http://schemas.openxmlformats.org/spreadsheetml/2006/main" id="15" name="Table15" displayName="Table15" ref="O17:P20" totalsRowShown="0">
  <autoFilter ref="O17:P20"/>
  <tableColumns count="2">
    <tableColumn id="1" name="MAXIMUM" dataDxfId="108"/>
    <tableColumn id="4" name="RESULT"/>
  </tableColumns>
  <tableStyleInfo name="TableStyleLight10" showFirstColumn="0" showLastColumn="0" showRowStripes="1" showColumnStripes="0"/>
</table>
</file>

<file path=xl/tables/table13.xml><?xml version="1.0" encoding="utf-8"?>
<table xmlns="http://schemas.openxmlformats.org/spreadsheetml/2006/main" id="18" name="Table18" displayName="Table18" ref="O23:P26" totalsRowShown="0" tableBorderDxfId="107">
  <autoFilter ref="O23:P26"/>
  <tableColumns count="2">
    <tableColumn id="1" name="MINIMUM" dataDxfId="106"/>
    <tableColumn id="2" name="RESULT" dataDxfId="105"/>
  </tableColumns>
  <tableStyleInfo name="TableStyleLight10" showFirstColumn="0" showLastColumn="0" showRowStripes="1" showColumnStripes="0"/>
</table>
</file>

<file path=xl/tables/table14.xml><?xml version="1.0" encoding="utf-8"?>
<table xmlns="http://schemas.openxmlformats.org/spreadsheetml/2006/main" id="21" name="Table21" displayName="Table21" ref="R5:T9" totalsRowShown="0">
  <autoFilter ref="R5:T9"/>
  <tableColumns count="3">
    <tableColumn id="1" name="Function"/>
    <tableColumn id="2" name="Purpose"/>
    <tableColumn id="3" name="Formula"/>
  </tableColumns>
  <tableStyleInfo name="TableStyleLight10" showFirstColumn="0" showLastColumn="0" showRowStripes="1" showColumnStripes="0"/>
</table>
</file>

<file path=xl/tables/table15.xml><?xml version="1.0" encoding="utf-8"?>
<table xmlns="http://schemas.openxmlformats.org/spreadsheetml/2006/main" id="27" name="Table27" displayName="Table27" ref="A1:E58" totalsRowShown="0">
  <autoFilter ref="A1:E58"/>
  <tableColumns count="5">
    <tableColumn id="1" name="Date" dataDxfId="6"/>
    <tableColumn id="2" name="Count"/>
    <tableColumn id="3" name="Forecast(Count)" dataDxfId="5">
      <calculatedColumnFormula>_xlfn.FORECAST.ETS(A2,$B$2:$B$46,$A$2:$A$46,1,1)</calculatedColumnFormula>
    </tableColumn>
    <tableColumn id="4" name="Lower Confidence Bound(Count)" dataDxfId="4">
      <calculatedColumnFormula>C2-_xlfn.FORECAST.ETS.CONFINT(A2,$B$2:$B$46,$A$2:$A$46,0.95,1,1)</calculatedColumnFormula>
    </tableColumn>
    <tableColumn id="5" name="Upper Confidence Bound(Count)" dataDxfId="3">
      <calculatedColumnFormula>C2+_xlfn.FORECAST.ETS.CONFINT(A2,$B$2:$B$46,$A$2:$A$46,0.95,1,1)</calculatedColumnFormula>
    </tableColumn>
  </tableColumns>
  <tableStyleInfo name="TableStyleMedium2" showFirstColumn="0" showLastColumn="0" showRowStripes="1" showColumnStripes="0"/>
</table>
</file>

<file path=xl/tables/table16.xml><?xml version="1.0" encoding="utf-8"?>
<table xmlns="http://schemas.openxmlformats.org/spreadsheetml/2006/main" id="2" name="Table2" displayName="Table2" ref="F1:G3" totalsRowShown="0" headerRowDxfId="2">
  <autoFilter ref="F1:G3"/>
  <tableColumns count="2">
    <tableColumn id="1" name="Status" dataDxfId="1"/>
    <tableColumn id="2" name="Count" dataDxfId="0">
      <calculatedColumnFormula>COUNTIF(D1:D1000,"Normal")</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17" name="PivotTable1"/>
    <pivotTable tabId="17" name="PivotTable2"/>
    <pivotTable tabId="17" name="PivotTable5"/>
    <pivotTable tabId="17" name="PivotTable7"/>
    <pivotTable tabId="17" name="PivotTable8"/>
    <pivotTable tabId="17" name="PivotTable9"/>
    <pivotTable tabId="26" name="PivotTable11"/>
    <pivotTable tabId="26" name="PivotTable12"/>
    <pivotTable tabId="26" name="PivotTable13"/>
    <pivotTable tabId="26" name="PivotTable14"/>
  </pivotTables>
  <state minimalRefreshVersion="6" lastRefreshVersion="6" pivotCacheId="1" filterType="unknown">
    <bounds startDate="2011-01-01T00:00:00" endDate="201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1" cache="NativeTimeline_Date" caption="Date" level="2" selectionLevel="0" scrollPosition="2011-01-01T00:00:00"/>
</timelines>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4.bin"/><Relationship Id="rId4" Type="http://schemas.openxmlformats.org/officeDocument/2006/relationships/table" Target="../tables/table8.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0.xml"/><Relationship Id="rId7" Type="http://schemas.openxmlformats.org/officeDocument/2006/relationships/table" Target="../tables/table14.xml"/><Relationship Id="rId2" Type="http://schemas.openxmlformats.org/officeDocument/2006/relationships/table" Target="../tables/table9.xml"/><Relationship Id="rId1" Type="http://schemas.openxmlformats.org/officeDocument/2006/relationships/printerSettings" Target="../printerSettings/printerSettings5.bin"/><Relationship Id="rId6" Type="http://schemas.openxmlformats.org/officeDocument/2006/relationships/table" Target="../tables/table13.xml"/><Relationship Id="rId5" Type="http://schemas.openxmlformats.org/officeDocument/2006/relationships/table" Target="../tables/table12.xml"/><Relationship Id="rId4" Type="http://schemas.openxmlformats.org/officeDocument/2006/relationships/table" Target="../tables/table11.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6.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drawing" Target="../drawings/drawing2.xml"/><Relationship Id="rId4"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microsoft.com/office/2011/relationships/timeline" Target="../timelines/timeline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11"/>
  <sheetViews>
    <sheetView topLeftCell="A316" zoomScale="78" workbookViewId="0">
      <selection activeCell="A25" sqref="A25:XFD25"/>
    </sheetView>
  </sheetViews>
  <sheetFormatPr defaultRowHeight="14.5"/>
  <cols>
    <col min="1" max="1" width="11.36328125" customWidth="1"/>
    <col min="2" max="2" width="12.36328125" customWidth="1"/>
    <col min="3" max="3" width="11.26953125" customWidth="1"/>
    <col min="4" max="4" width="9.08984375" customWidth="1"/>
    <col min="5" max="5" width="11.08984375" customWidth="1"/>
    <col min="6" max="6" width="9.54296875" customWidth="1"/>
    <col min="7" max="7" width="11.6328125" customWidth="1"/>
    <col min="8" max="8" width="13.1796875" customWidth="1"/>
    <col min="9" max="9" width="14.7265625" customWidth="1"/>
    <col min="10" max="10" width="10.08984375" customWidth="1"/>
    <col min="13" max="13" width="16.26953125" customWidth="1"/>
    <col min="14" max="14" width="13.90625" customWidth="1"/>
    <col min="15" max="15" width="8.90625" customWidth="1"/>
  </cols>
  <sheetData>
    <row r="1" spans="1:14">
      <c r="A1" s="29" t="s">
        <v>29</v>
      </c>
      <c r="B1" s="29" t="s">
        <v>30</v>
      </c>
      <c r="C1" s="29" t="s">
        <v>22</v>
      </c>
      <c r="D1" s="29" t="s">
        <v>21</v>
      </c>
      <c r="E1" s="29" t="s">
        <v>20</v>
      </c>
      <c r="F1" s="29" t="s">
        <v>19</v>
      </c>
      <c r="G1" s="29" t="s">
        <v>18</v>
      </c>
      <c r="H1" s="29" t="s">
        <v>17</v>
      </c>
      <c r="I1" s="29" t="s">
        <v>16</v>
      </c>
      <c r="J1" s="29" t="s">
        <v>15</v>
      </c>
    </row>
    <row r="2" spans="1:14">
      <c r="A2" s="5">
        <v>1</v>
      </c>
      <c r="B2" s="6">
        <v>40544</v>
      </c>
      <c r="C2" s="5">
        <v>1</v>
      </c>
      <c r="D2" s="5">
        <v>0</v>
      </c>
      <c r="E2" s="5">
        <v>1</v>
      </c>
      <c r="F2" s="5">
        <v>0</v>
      </c>
      <c r="G2" s="5" t="b">
        <v>0</v>
      </c>
      <c r="H2" s="5">
        <v>6</v>
      </c>
      <c r="I2" s="5">
        <v>1</v>
      </c>
      <c r="J2" s="5">
        <v>0.24</v>
      </c>
      <c r="M2" s="50" t="s">
        <v>0</v>
      </c>
      <c r="N2" s="50"/>
    </row>
    <row r="3" spans="1:14">
      <c r="A3" s="5">
        <v>2</v>
      </c>
      <c r="B3" s="6">
        <v>40544</v>
      </c>
      <c r="C3" s="5">
        <v>1</v>
      </c>
      <c r="D3" s="5">
        <v>0</v>
      </c>
      <c r="E3" s="5">
        <v>1</v>
      </c>
      <c r="F3" s="5">
        <v>1</v>
      </c>
      <c r="G3" s="5" t="b">
        <v>0</v>
      </c>
      <c r="H3" s="5">
        <v>6</v>
      </c>
      <c r="I3" s="5">
        <v>1</v>
      </c>
      <c r="J3" s="5">
        <v>0.22</v>
      </c>
    </row>
    <row r="4" spans="1:14">
      <c r="A4" s="5">
        <v>3</v>
      </c>
      <c r="B4" s="6">
        <v>40544</v>
      </c>
      <c r="C4" s="5">
        <v>1</v>
      </c>
      <c r="D4" s="5">
        <v>0</v>
      </c>
      <c r="E4" s="5">
        <v>1</v>
      </c>
      <c r="F4" s="5">
        <v>2</v>
      </c>
      <c r="G4" s="5" t="b">
        <v>0</v>
      </c>
      <c r="H4" s="5">
        <v>6</v>
      </c>
      <c r="I4" s="5">
        <v>1</v>
      </c>
      <c r="J4" s="5">
        <v>0.22</v>
      </c>
      <c r="M4" s="2" t="s">
        <v>4</v>
      </c>
      <c r="N4" s="2" t="s">
        <v>5</v>
      </c>
    </row>
    <row r="5" spans="1:14">
      <c r="A5" s="5">
        <v>4</v>
      </c>
      <c r="B5" s="6">
        <v>40544</v>
      </c>
      <c r="C5" s="5">
        <v>1</v>
      </c>
      <c r="D5" s="5">
        <v>0</v>
      </c>
      <c r="E5" s="5">
        <v>1</v>
      </c>
      <c r="F5" s="5">
        <v>3</v>
      </c>
      <c r="G5" s="5" t="b">
        <v>0</v>
      </c>
      <c r="H5" s="5">
        <v>6</v>
      </c>
      <c r="I5" s="5">
        <v>1</v>
      </c>
      <c r="J5" s="5">
        <v>0.24</v>
      </c>
      <c r="M5" s="3"/>
      <c r="N5" s="3"/>
    </row>
    <row r="6" spans="1:14">
      <c r="A6" s="5">
        <v>5</v>
      </c>
      <c r="B6" s="6">
        <v>40544</v>
      </c>
      <c r="C6" s="5">
        <v>1</v>
      </c>
      <c r="D6" s="5">
        <v>0</v>
      </c>
      <c r="E6" s="5">
        <v>1</v>
      </c>
      <c r="F6" s="5">
        <v>4</v>
      </c>
      <c r="G6" s="5" t="b">
        <v>0</v>
      </c>
      <c r="H6" s="5">
        <v>6</v>
      </c>
      <c r="I6" s="5">
        <v>1</v>
      </c>
      <c r="J6" s="5">
        <v>0.24</v>
      </c>
      <c r="M6" s="3" t="s">
        <v>1</v>
      </c>
      <c r="N6" s="21">
        <f>AVERAGE(J2:J611)</f>
        <v>0.19688524590163942</v>
      </c>
    </row>
    <row r="7" spans="1:14">
      <c r="A7" s="5">
        <v>6</v>
      </c>
      <c r="B7" s="6">
        <v>40544</v>
      </c>
      <c r="C7" s="5">
        <v>1</v>
      </c>
      <c r="D7" s="5">
        <v>0</v>
      </c>
      <c r="E7" s="5">
        <v>1</v>
      </c>
      <c r="F7" s="5">
        <v>5</v>
      </c>
      <c r="G7" s="5" t="b">
        <v>0</v>
      </c>
      <c r="H7" s="5">
        <v>6</v>
      </c>
      <c r="I7" s="5">
        <v>2</v>
      </c>
      <c r="J7" s="5">
        <v>0.24</v>
      </c>
      <c r="M7" s="3" t="s">
        <v>2</v>
      </c>
      <c r="N7" s="3">
        <v>0.2</v>
      </c>
    </row>
    <row r="8" spans="1:14">
      <c r="A8" s="5">
        <v>7</v>
      </c>
      <c r="B8" s="6">
        <v>40544</v>
      </c>
      <c r="C8" s="5">
        <v>1</v>
      </c>
      <c r="D8" s="5">
        <v>0</v>
      </c>
      <c r="E8" s="5">
        <v>1</v>
      </c>
      <c r="F8" s="5">
        <v>6</v>
      </c>
      <c r="G8" s="5" t="b">
        <v>0</v>
      </c>
      <c r="H8" s="5">
        <v>6</v>
      </c>
      <c r="I8" s="5">
        <v>1</v>
      </c>
      <c r="J8" s="5">
        <v>0.22</v>
      </c>
      <c r="M8" s="3" t="s">
        <v>3</v>
      </c>
      <c r="N8" s="3">
        <f>_xlfn.STDEV.S(dataset_1[Temp])/SQRT(COUNT(dataset_1[Temp]))</f>
        <v>3.2918964630001034E-3</v>
      </c>
    </row>
    <row r="9" spans="1:14">
      <c r="A9" s="5">
        <v>8</v>
      </c>
      <c r="B9" s="6">
        <v>40544</v>
      </c>
      <c r="C9" s="5">
        <v>1</v>
      </c>
      <c r="D9" s="5">
        <v>0</v>
      </c>
      <c r="E9" s="5">
        <v>1</v>
      </c>
      <c r="F9" s="5">
        <v>7</v>
      </c>
      <c r="G9" s="5" t="b">
        <v>0</v>
      </c>
      <c r="H9" s="5">
        <v>6</v>
      </c>
      <c r="I9" s="5">
        <v>1</v>
      </c>
      <c r="J9" s="5">
        <v>0.2</v>
      </c>
      <c r="M9" s="3" t="s">
        <v>6</v>
      </c>
      <c r="N9" s="3">
        <f>MODE(dataset_1[Temp])</f>
        <v>0.2</v>
      </c>
    </row>
    <row r="10" spans="1:14">
      <c r="A10" s="5">
        <v>9</v>
      </c>
      <c r="B10" s="6">
        <v>40544</v>
      </c>
      <c r="C10" s="5">
        <v>1</v>
      </c>
      <c r="D10" s="5">
        <v>0</v>
      </c>
      <c r="E10" s="5">
        <v>1</v>
      </c>
      <c r="F10" s="5">
        <v>8</v>
      </c>
      <c r="G10" s="5" t="b">
        <v>0</v>
      </c>
      <c r="H10" s="5">
        <v>6</v>
      </c>
      <c r="I10" s="5">
        <v>1</v>
      </c>
      <c r="J10" s="5">
        <v>0.24</v>
      </c>
      <c r="M10" s="4" t="s">
        <v>7</v>
      </c>
      <c r="N10" s="3">
        <f>_xlfn.STDEV.S(dataset_1[Temp])</f>
        <v>8.1303845032683911E-2</v>
      </c>
    </row>
    <row r="11" spans="1:14">
      <c r="A11" s="5">
        <v>10</v>
      </c>
      <c r="B11" s="6">
        <v>40544</v>
      </c>
      <c r="C11" s="5">
        <v>1</v>
      </c>
      <c r="D11" s="5">
        <v>0</v>
      </c>
      <c r="E11" s="5">
        <v>1</v>
      </c>
      <c r="F11" s="5">
        <v>9</v>
      </c>
      <c r="G11" s="5" t="b">
        <v>0</v>
      </c>
      <c r="H11" s="5">
        <v>6</v>
      </c>
      <c r="I11" s="5">
        <v>1</v>
      </c>
      <c r="J11" s="5">
        <v>0.32</v>
      </c>
      <c r="M11" s="4" t="s">
        <v>8</v>
      </c>
      <c r="N11" s="3">
        <f>_xlfn.VAR.S(dataset_1[Temp])</f>
        <v>6.6103152170986796E-3</v>
      </c>
    </row>
    <row r="12" spans="1:14">
      <c r="A12" s="5">
        <v>11</v>
      </c>
      <c r="B12" s="6">
        <v>40544</v>
      </c>
      <c r="C12" s="5">
        <v>1</v>
      </c>
      <c r="D12" s="5">
        <v>0</v>
      </c>
      <c r="E12" s="5">
        <v>1</v>
      </c>
      <c r="F12" s="5">
        <v>10</v>
      </c>
      <c r="G12" s="5" t="b">
        <v>0</v>
      </c>
      <c r="H12" s="5">
        <v>6</v>
      </c>
      <c r="I12" s="5">
        <v>1</v>
      </c>
      <c r="J12" s="5">
        <v>0.38</v>
      </c>
      <c r="M12" s="3" t="s">
        <v>9</v>
      </c>
      <c r="N12" s="3">
        <f>MIN(dataset_1[Temp])</f>
        <v>0.02</v>
      </c>
    </row>
    <row r="13" spans="1:14">
      <c r="A13" s="5">
        <v>12</v>
      </c>
      <c r="B13" s="6">
        <v>40544</v>
      </c>
      <c r="C13" s="5">
        <v>1</v>
      </c>
      <c r="D13" s="5">
        <v>0</v>
      </c>
      <c r="E13" s="5">
        <v>1</v>
      </c>
      <c r="F13" s="5">
        <v>11</v>
      </c>
      <c r="G13" s="5" t="b">
        <v>0</v>
      </c>
      <c r="H13" s="5">
        <v>6</v>
      </c>
      <c r="I13" s="5">
        <v>1</v>
      </c>
      <c r="J13" s="5">
        <v>0.36</v>
      </c>
      <c r="M13" s="4" t="s">
        <v>10</v>
      </c>
      <c r="N13" s="3">
        <f>MAX(dataset_1[Temp])</f>
        <v>0.46</v>
      </c>
    </row>
    <row r="14" spans="1:14">
      <c r="A14" s="5">
        <v>13</v>
      </c>
      <c r="B14" s="6">
        <v>40544</v>
      </c>
      <c r="C14" s="5">
        <v>1</v>
      </c>
      <c r="D14" s="5">
        <v>0</v>
      </c>
      <c r="E14" s="5">
        <v>1</v>
      </c>
      <c r="F14" s="5">
        <v>12</v>
      </c>
      <c r="G14" s="5" t="b">
        <v>0</v>
      </c>
      <c r="H14" s="5">
        <v>6</v>
      </c>
      <c r="I14" s="5">
        <v>1</v>
      </c>
      <c r="J14" s="5">
        <v>0.42</v>
      </c>
      <c r="M14" s="4" t="s">
        <v>11</v>
      </c>
      <c r="N14" s="3">
        <f>SUM(dataset_1[Temp])</f>
        <v>120.10000000000005</v>
      </c>
    </row>
    <row r="15" spans="1:14">
      <c r="A15" s="5">
        <v>14</v>
      </c>
      <c r="B15" s="6">
        <v>40544</v>
      </c>
      <c r="C15" s="5">
        <v>1</v>
      </c>
      <c r="D15" s="5">
        <v>0</v>
      </c>
      <c r="E15" s="5">
        <v>1</v>
      </c>
      <c r="F15" s="5">
        <v>13</v>
      </c>
      <c r="G15" s="5" t="b">
        <v>0</v>
      </c>
      <c r="H15" s="5">
        <v>6</v>
      </c>
      <c r="I15" s="5">
        <v>2</v>
      </c>
      <c r="J15" s="5">
        <v>0.46</v>
      </c>
      <c r="M15" s="4" t="s">
        <v>12</v>
      </c>
      <c r="N15" s="3">
        <f>COUNT(dataset_1[Temp])</f>
        <v>610</v>
      </c>
    </row>
    <row r="16" spans="1:14">
      <c r="A16" s="5">
        <v>15</v>
      </c>
      <c r="B16" s="6">
        <v>40544</v>
      </c>
      <c r="C16" s="5">
        <v>1</v>
      </c>
      <c r="D16" s="5">
        <v>0</v>
      </c>
      <c r="E16" s="5">
        <v>1</v>
      </c>
      <c r="F16" s="5">
        <v>14</v>
      </c>
      <c r="G16" s="5" t="b">
        <v>0</v>
      </c>
      <c r="H16" s="5">
        <v>6</v>
      </c>
      <c r="I16" s="5">
        <v>2</v>
      </c>
      <c r="J16" s="5">
        <v>0.46</v>
      </c>
    </row>
    <row r="17" spans="1:10">
      <c r="A17" s="5">
        <v>16</v>
      </c>
      <c r="B17" s="6">
        <v>40544</v>
      </c>
      <c r="C17" s="5">
        <v>1</v>
      </c>
      <c r="D17" s="5">
        <v>0</v>
      </c>
      <c r="E17" s="5">
        <v>1</v>
      </c>
      <c r="F17" s="5">
        <v>15</v>
      </c>
      <c r="G17" s="5" t="b">
        <v>0</v>
      </c>
      <c r="H17" s="5">
        <v>6</v>
      </c>
      <c r="I17" s="5">
        <v>2</v>
      </c>
      <c r="J17" s="5">
        <v>0.44</v>
      </c>
    </row>
    <row r="18" spans="1:10">
      <c r="A18" s="5">
        <v>17</v>
      </c>
      <c r="B18" s="6">
        <v>40544</v>
      </c>
      <c r="C18" s="5">
        <v>1</v>
      </c>
      <c r="D18" s="5">
        <v>0</v>
      </c>
      <c r="E18" s="5">
        <v>1</v>
      </c>
      <c r="F18" s="5">
        <v>16</v>
      </c>
      <c r="G18" s="5" t="b">
        <v>0</v>
      </c>
      <c r="H18" s="5">
        <v>6</v>
      </c>
      <c r="I18" s="5">
        <v>2</v>
      </c>
      <c r="J18" s="5">
        <v>0.42</v>
      </c>
    </row>
    <row r="19" spans="1:10">
      <c r="A19" s="5">
        <v>18</v>
      </c>
      <c r="B19" s="6">
        <v>40544</v>
      </c>
      <c r="C19" s="5">
        <v>1</v>
      </c>
      <c r="D19" s="5">
        <v>0</v>
      </c>
      <c r="E19" s="5">
        <v>1</v>
      </c>
      <c r="F19" s="5">
        <v>17</v>
      </c>
      <c r="G19" s="5" t="b">
        <v>0</v>
      </c>
      <c r="H19" s="5">
        <v>6</v>
      </c>
      <c r="I19" s="5">
        <v>2</v>
      </c>
      <c r="J19" s="5">
        <v>0.44</v>
      </c>
    </row>
    <row r="20" spans="1:10">
      <c r="A20" s="5">
        <v>19</v>
      </c>
      <c r="B20" s="6">
        <v>40544</v>
      </c>
      <c r="C20" s="5">
        <v>1</v>
      </c>
      <c r="D20" s="5">
        <v>0</v>
      </c>
      <c r="E20" s="5">
        <v>1</v>
      </c>
      <c r="F20" s="5">
        <v>18</v>
      </c>
      <c r="G20" s="5" t="b">
        <v>0</v>
      </c>
      <c r="H20" s="5">
        <v>6</v>
      </c>
      <c r="I20" s="5">
        <v>3</v>
      </c>
      <c r="J20" s="5">
        <v>0.42</v>
      </c>
    </row>
    <row r="21" spans="1:10">
      <c r="A21" s="5">
        <v>20</v>
      </c>
      <c r="B21" s="6">
        <v>40544</v>
      </c>
      <c r="C21" s="5">
        <v>1</v>
      </c>
      <c r="D21" s="5">
        <v>0</v>
      </c>
      <c r="E21" s="5">
        <v>1</v>
      </c>
      <c r="F21" s="5">
        <v>19</v>
      </c>
      <c r="G21" s="5" t="b">
        <v>0</v>
      </c>
      <c r="H21" s="5">
        <v>6</v>
      </c>
      <c r="I21" s="5">
        <v>3</v>
      </c>
      <c r="J21" s="5">
        <v>0.42</v>
      </c>
    </row>
    <row r="22" spans="1:10">
      <c r="A22" s="5">
        <v>21</v>
      </c>
      <c r="B22" s="6">
        <v>40544</v>
      </c>
      <c r="C22" s="5">
        <v>1</v>
      </c>
      <c r="D22" s="5">
        <v>0</v>
      </c>
      <c r="E22" s="5">
        <v>1</v>
      </c>
      <c r="F22" s="5">
        <v>20</v>
      </c>
      <c r="G22" s="5" t="b">
        <v>0</v>
      </c>
      <c r="H22" s="5">
        <v>6</v>
      </c>
      <c r="I22" s="5">
        <v>2</v>
      </c>
      <c r="J22" s="5">
        <v>0.4</v>
      </c>
    </row>
    <row r="23" spans="1:10">
      <c r="A23" s="5">
        <v>22</v>
      </c>
      <c r="B23" s="6">
        <v>40544</v>
      </c>
      <c r="C23" s="5">
        <v>1</v>
      </c>
      <c r="D23" s="5">
        <v>0</v>
      </c>
      <c r="E23" s="5">
        <v>1</v>
      </c>
      <c r="F23" s="5">
        <v>21</v>
      </c>
      <c r="G23" s="5" t="b">
        <v>0</v>
      </c>
      <c r="H23" s="5">
        <v>6</v>
      </c>
      <c r="I23" s="5">
        <v>2</v>
      </c>
      <c r="J23" s="5">
        <v>0.4</v>
      </c>
    </row>
    <row r="24" spans="1:10">
      <c r="A24" s="5">
        <v>23</v>
      </c>
      <c r="B24" s="6">
        <v>40544</v>
      </c>
      <c r="C24" s="5">
        <v>1</v>
      </c>
      <c r="D24" s="5">
        <v>0</v>
      </c>
      <c r="E24" s="5">
        <v>1</v>
      </c>
      <c r="F24" s="5">
        <v>22</v>
      </c>
      <c r="G24" s="5" t="b">
        <v>0</v>
      </c>
      <c r="H24" s="5">
        <v>6</v>
      </c>
      <c r="I24" s="5">
        <v>2</v>
      </c>
      <c r="J24" s="5">
        <v>0.4</v>
      </c>
    </row>
    <row r="25" spans="1:10">
      <c r="A25" s="5">
        <v>24</v>
      </c>
      <c r="B25" s="6">
        <v>40544</v>
      </c>
      <c r="C25" s="5">
        <v>1</v>
      </c>
      <c r="D25" s="5">
        <v>0</v>
      </c>
      <c r="E25" s="5">
        <v>1</v>
      </c>
      <c r="F25" s="5">
        <v>23</v>
      </c>
      <c r="G25" s="5" t="b">
        <v>0</v>
      </c>
      <c r="H25" s="5">
        <v>6</v>
      </c>
      <c r="I25" s="5">
        <v>2</v>
      </c>
      <c r="J25" s="5">
        <v>0.46</v>
      </c>
    </row>
    <row r="26" spans="1:10">
      <c r="A26" s="5">
        <v>25</v>
      </c>
      <c r="B26" s="6">
        <v>40545</v>
      </c>
      <c r="C26" s="5">
        <v>1</v>
      </c>
      <c r="D26" s="5">
        <v>0</v>
      </c>
      <c r="E26" s="5">
        <v>1</v>
      </c>
      <c r="F26" s="5">
        <v>0</v>
      </c>
      <c r="G26" s="5" t="b">
        <v>0</v>
      </c>
      <c r="H26" s="5">
        <v>0</v>
      </c>
      <c r="I26" s="5">
        <v>2</v>
      </c>
      <c r="J26" s="5">
        <v>0.46</v>
      </c>
    </row>
    <row r="27" spans="1:10">
      <c r="A27" s="5">
        <v>26</v>
      </c>
      <c r="B27" s="6">
        <v>40545</v>
      </c>
      <c r="C27" s="5">
        <v>1</v>
      </c>
      <c r="D27" s="5">
        <v>0</v>
      </c>
      <c r="E27" s="5">
        <v>1</v>
      </c>
      <c r="F27" s="5">
        <v>1</v>
      </c>
      <c r="G27" s="5" t="b">
        <v>0</v>
      </c>
      <c r="H27" s="5">
        <v>0</v>
      </c>
      <c r="I27" s="5">
        <v>2</v>
      </c>
      <c r="J27" s="5">
        <v>0.44</v>
      </c>
    </row>
    <row r="28" spans="1:10">
      <c r="A28" s="5">
        <v>27</v>
      </c>
      <c r="B28" s="6">
        <v>40545</v>
      </c>
      <c r="C28" s="5">
        <v>1</v>
      </c>
      <c r="D28" s="5">
        <v>0</v>
      </c>
      <c r="E28" s="5">
        <v>1</v>
      </c>
      <c r="F28" s="5">
        <v>2</v>
      </c>
      <c r="G28" s="5" t="b">
        <v>0</v>
      </c>
      <c r="H28" s="5">
        <v>0</v>
      </c>
      <c r="I28" s="5">
        <v>2</v>
      </c>
      <c r="J28" s="5">
        <v>0.42</v>
      </c>
    </row>
    <row r="29" spans="1:10">
      <c r="A29" s="5">
        <v>28</v>
      </c>
      <c r="B29" s="6">
        <v>40545</v>
      </c>
      <c r="C29" s="5">
        <v>1</v>
      </c>
      <c r="D29" s="5">
        <v>0</v>
      </c>
      <c r="E29" s="5">
        <v>1</v>
      </c>
      <c r="F29" s="5">
        <v>3</v>
      </c>
      <c r="G29" s="5" t="b">
        <v>0</v>
      </c>
      <c r="H29" s="5">
        <v>0</v>
      </c>
      <c r="I29" s="5">
        <v>2</v>
      </c>
      <c r="J29" s="5">
        <v>0.46</v>
      </c>
    </row>
    <row r="30" spans="1:10">
      <c r="A30" s="5">
        <v>29</v>
      </c>
      <c r="B30" s="6">
        <v>40545</v>
      </c>
      <c r="C30" s="5">
        <v>1</v>
      </c>
      <c r="D30" s="5">
        <v>0</v>
      </c>
      <c r="E30" s="5">
        <v>1</v>
      </c>
      <c r="F30" s="5">
        <v>4</v>
      </c>
      <c r="G30" s="5" t="b">
        <v>0</v>
      </c>
      <c r="H30" s="5">
        <v>0</v>
      </c>
      <c r="I30" s="5">
        <v>2</v>
      </c>
      <c r="J30" s="5">
        <v>0.46</v>
      </c>
    </row>
    <row r="31" spans="1:10">
      <c r="A31" s="5">
        <v>30</v>
      </c>
      <c r="B31" s="6">
        <v>40545</v>
      </c>
      <c r="C31" s="5">
        <v>1</v>
      </c>
      <c r="D31" s="5">
        <v>0</v>
      </c>
      <c r="E31" s="5">
        <v>1</v>
      </c>
      <c r="F31" s="5">
        <v>6</v>
      </c>
      <c r="G31" s="5" t="b">
        <v>0</v>
      </c>
      <c r="H31" s="5">
        <v>0</v>
      </c>
      <c r="I31" s="5">
        <v>3</v>
      </c>
      <c r="J31" s="5">
        <v>0.42</v>
      </c>
    </row>
    <row r="32" spans="1:10">
      <c r="A32" s="5">
        <v>31</v>
      </c>
      <c r="B32" s="6">
        <v>40545</v>
      </c>
      <c r="C32" s="5">
        <v>1</v>
      </c>
      <c r="D32" s="5">
        <v>0</v>
      </c>
      <c r="E32" s="5">
        <v>1</v>
      </c>
      <c r="F32" s="5">
        <v>7</v>
      </c>
      <c r="G32" s="5" t="b">
        <v>0</v>
      </c>
      <c r="H32" s="5">
        <v>0</v>
      </c>
      <c r="I32" s="5">
        <v>2</v>
      </c>
      <c r="J32" s="5">
        <v>0.4</v>
      </c>
    </row>
    <row r="33" spans="1:10">
      <c r="A33" s="5">
        <v>32</v>
      </c>
      <c r="B33" s="6">
        <v>40545</v>
      </c>
      <c r="C33" s="5">
        <v>1</v>
      </c>
      <c r="D33" s="5">
        <v>0</v>
      </c>
      <c r="E33" s="5">
        <v>1</v>
      </c>
      <c r="F33" s="5">
        <v>8</v>
      </c>
      <c r="G33" s="5" t="b">
        <v>0</v>
      </c>
      <c r="H33" s="5">
        <v>0</v>
      </c>
      <c r="I33" s="5">
        <v>3</v>
      </c>
      <c r="J33" s="5">
        <v>0.4</v>
      </c>
    </row>
    <row r="34" spans="1:10">
      <c r="A34" s="5">
        <v>33</v>
      </c>
      <c r="B34" s="6">
        <v>40545</v>
      </c>
      <c r="C34" s="5">
        <v>1</v>
      </c>
      <c r="D34" s="5">
        <v>0</v>
      </c>
      <c r="E34" s="5">
        <v>1</v>
      </c>
      <c r="F34" s="5">
        <v>9</v>
      </c>
      <c r="G34" s="5" t="b">
        <v>0</v>
      </c>
      <c r="H34" s="5">
        <v>0</v>
      </c>
      <c r="I34" s="5">
        <v>2</v>
      </c>
      <c r="J34" s="5">
        <v>0.38</v>
      </c>
    </row>
    <row r="35" spans="1:10">
      <c r="A35" s="5">
        <v>34</v>
      </c>
      <c r="B35" s="6">
        <v>40545</v>
      </c>
      <c r="C35" s="5">
        <v>1</v>
      </c>
      <c r="D35" s="5">
        <v>0</v>
      </c>
      <c r="E35" s="5">
        <v>1</v>
      </c>
      <c r="F35" s="5">
        <v>10</v>
      </c>
      <c r="G35" s="5" t="b">
        <v>0</v>
      </c>
      <c r="H35" s="5">
        <v>0</v>
      </c>
      <c r="I35" s="5">
        <v>2</v>
      </c>
      <c r="J35" s="5">
        <v>0.36</v>
      </c>
    </row>
    <row r="36" spans="1:10">
      <c r="A36" s="5">
        <v>35</v>
      </c>
      <c r="B36" s="6">
        <v>40545</v>
      </c>
      <c r="C36" s="5">
        <v>1</v>
      </c>
      <c r="D36" s="5">
        <v>0</v>
      </c>
      <c r="E36" s="5">
        <v>1</v>
      </c>
      <c r="F36" s="5">
        <v>11</v>
      </c>
      <c r="G36" s="5" t="b">
        <v>0</v>
      </c>
      <c r="H36" s="5">
        <v>0</v>
      </c>
      <c r="I36" s="5">
        <v>2</v>
      </c>
      <c r="J36" s="5">
        <v>0.36</v>
      </c>
    </row>
    <row r="37" spans="1:10">
      <c r="A37" s="5">
        <v>36</v>
      </c>
      <c r="B37" s="6">
        <v>40545</v>
      </c>
      <c r="C37" s="5">
        <v>1</v>
      </c>
      <c r="D37" s="5">
        <v>0</v>
      </c>
      <c r="E37" s="5">
        <v>1</v>
      </c>
      <c r="F37" s="5">
        <v>12</v>
      </c>
      <c r="G37" s="5" t="b">
        <v>0</v>
      </c>
      <c r="H37" s="5">
        <v>0</v>
      </c>
      <c r="I37" s="5">
        <v>2</v>
      </c>
      <c r="J37" s="5">
        <v>0.36</v>
      </c>
    </row>
    <row r="38" spans="1:10">
      <c r="A38" s="5">
        <v>37</v>
      </c>
      <c r="B38" s="6">
        <v>40545</v>
      </c>
      <c r="C38" s="5">
        <v>1</v>
      </c>
      <c r="D38" s="5">
        <v>0</v>
      </c>
      <c r="E38" s="5">
        <v>1</v>
      </c>
      <c r="F38" s="5">
        <v>13</v>
      </c>
      <c r="G38" s="5" t="b">
        <v>0</v>
      </c>
      <c r="H38" s="5">
        <v>0</v>
      </c>
      <c r="I38" s="5">
        <v>2</v>
      </c>
      <c r="J38" s="5">
        <v>0.36</v>
      </c>
    </row>
    <row r="39" spans="1:10">
      <c r="A39" s="5">
        <v>38</v>
      </c>
      <c r="B39" s="6">
        <v>40545</v>
      </c>
      <c r="C39" s="5">
        <v>1</v>
      </c>
      <c r="D39" s="5">
        <v>0</v>
      </c>
      <c r="E39" s="5">
        <v>1</v>
      </c>
      <c r="F39" s="5">
        <v>14</v>
      </c>
      <c r="G39" s="5" t="b">
        <v>0</v>
      </c>
      <c r="H39" s="5">
        <v>0</v>
      </c>
      <c r="I39" s="5">
        <v>3</v>
      </c>
      <c r="J39" s="5">
        <v>0.36</v>
      </c>
    </row>
    <row r="40" spans="1:10">
      <c r="A40" s="5">
        <v>39</v>
      </c>
      <c r="B40" s="6">
        <v>40545</v>
      </c>
      <c r="C40" s="5">
        <v>1</v>
      </c>
      <c r="D40" s="5">
        <v>0</v>
      </c>
      <c r="E40" s="5">
        <v>1</v>
      </c>
      <c r="F40" s="5">
        <v>15</v>
      </c>
      <c r="G40" s="5" t="b">
        <v>0</v>
      </c>
      <c r="H40" s="5">
        <v>0</v>
      </c>
      <c r="I40" s="5">
        <v>3</v>
      </c>
      <c r="J40" s="5">
        <v>0.34</v>
      </c>
    </row>
    <row r="41" spans="1:10">
      <c r="A41" s="5">
        <v>40</v>
      </c>
      <c r="B41" s="6">
        <v>40545</v>
      </c>
      <c r="C41" s="5">
        <v>1</v>
      </c>
      <c r="D41" s="5">
        <v>0</v>
      </c>
      <c r="E41" s="5">
        <v>1</v>
      </c>
      <c r="F41" s="5">
        <v>16</v>
      </c>
      <c r="G41" s="5" t="b">
        <v>0</v>
      </c>
      <c r="H41" s="5">
        <v>0</v>
      </c>
      <c r="I41" s="5">
        <v>3</v>
      </c>
      <c r="J41" s="5">
        <v>0.34</v>
      </c>
    </row>
    <row r="42" spans="1:10">
      <c r="A42" s="5">
        <v>41</v>
      </c>
      <c r="B42" s="6">
        <v>40545</v>
      </c>
      <c r="C42" s="5">
        <v>1</v>
      </c>
      <c r="D42" s="5">
        <v>0</v>
      </c>
      <c r="E42" s="5">
        <v>1</v>
      </c>
      <c r="F42" s="5">
        <v>17</v>
      </c>
      <c r="G42" s="5" t="b">
        <v>0</v>
      </c>
      <c r="H42" s="5">
        <v>0</v>
      </c>
      <c r="I42" s="5">
        <v>1</v>
      </c>
      <c r="J42" s="5">
        <v>0.34</v>
      </c>
    </row>
    <row r="43" spans="1:10">
      <c r="A43" s="5">
        <v>42</v>
      </c>
      <c r="B43" s="6">
        <v>40545</v>
      </c>
      <c r="C43" s="5">
        <v>1</v>
      </c>
      <c r="D43" s="5">
        <v>0</v>
      </c>
      <c r="E43" s="5">
        <v>1</v>
      </c>
      <c r="F43" s="5">
        <v>18</v>
      </c>
      <c r="G43" s="5" t="b">
        <v>0</v>
      </c>
      <c r="H43" s="5">
        <v>0</v>
      </c>
      <c r="I43" s="5">
        <v>2</v>
      </c>
      <c r="J43" s="5">
        <v>0.36</v>
      </c>
    </row>
    <row r="44" spans="1:10">
      <c r="A44" s="5">
        <v>43</v>
      </c>
      <c r="B44" s="6">
        <v>40545</v>
      </c>
      <c r="C44" s="5">
        <v>1</v>
      </c>
      <c r="D44" s="5">
        <v>0</v>
      </c>
      <c r="E44" s="5">
        <v>1</v>
      </c>
      <c r="F44" s="5">
        <v>19</v>
      </c>
      <c r="G44" s="5" t="b">
        <v>0</v>
      </c>
      <c r="H44" s="5">
        <v>0</v>
      </c>
      <c r="I44" s="5">
        <v>1</v>
      </c>
      <c r="J44" s="5">
        <v>0.32</v>
      </c>
    </row>
    <row r="45" spans="1:10">
      <c r="A45" s="5">
        <v>44</v>
      </c>
      <c r="B45" s="6">
        <v>40545</v>
      </c>
      <c r="C45" s="5">
        <v>1</v>
      </c>
      <c r="D45" s="5">
        <v>0</v>
      </c>
      <c r="E45" s="5">
        <v>1</v>
      </c>
      <c r="F45" s="5">
        <v>20</v>
      </c>
      <c r="G45" s="5" t="b">
        <v>0</v>
      </c>
      <c r="H45" s="5">
        <v>0</v>
      </c>
      <c r="I45" s="5">
        <v>1</v>
      </c>
      <c r="J45" s="5">
        <v>0.3</v>
      </c>
    </row>
    <row r="46" spans="1:10">
      <c r="A46" s="5">
        <v>45</v>
      </c>
      <c r="B46" s="6">
        <v>40545</v>
      </c>
      <c r="C46" s="5">
        <v>1</v>
      </c>
      <c r="D46" s="5">
        <v>0</v>
      </c>
      <c r="E46" s="5">
        <v>1</v>
      </c>
      <c r="F46" s="5">
        <v>21</v>
      </c>
      <c r="G46" s="5" t="b">
        <v>0</v>
      </c>
      <c r="H46" s="5">
        <v>0</v>
      </c>
      <c r="I46" s="5">
        <v>1</v>
      </c>
      <c r="J46" s="5">
        <v>0.26</v>
      </c>
    </row>
    <row r="47" spans="1:10">
      <c r="A47" s="5">
        <v>46</v>
      </c>
      <c r="B47" s="6">
        <v>40545</v>
      </c>
      <c r="C47" s="5">
        <v>1</v>
      </c>
      <c r="D47" s="5">
        <v>0</v>
      </c>
      <c r="E47" s="5">
        <v>1</v>
      </c>
      <c r="F47" s="5">
        <v>22</v>
      </c>
      <c r="G47" s="5" t="b">
        <v>0</v>
      </c>
      <c r="H47" s="5">
        <v>0</v>
      </c>
      <c r="I47" s="5">
        <v>1</v>
      </c>
      <c r="J47" s="5">
        <v>0.24</v>
      </c>
    </row>
    <row r="48" spans="1:10">
      <c r="A48" s="5">
        <v>47</v>
      </c>
      <c r="B48" s="6">
        <v>40545</v>
      </c>
      <c r="C48" s="5">
        <v>1</v>
      </c>
      <c r="D48" s="5">
        <v>0</v>
      </c>
      <c r="E48" s="5">
        <v>1</v>
      </c>
      <c r="F48" s="5">
        <v>23</v>
      </c>
      <c r="G48" s="5" t="b">
        <v>0</v>
      </c>
      <c r="H48" s="5">
        <v>0</v>
      </c>
      <c r="I48" s="5">
        <v>1</v>
      </c>
      <c r="J48" s="5">
        <v>0.22</v>
      </c>
    </row>
    <row r="49" spans="1:10">
      <c r="A49" s="5">
        <v>48</v>
      </c>
      <c r="B49" s="6">
        <v>40546</v>
      </c>
      <c r="C49" s="5">
        <v>1</v>
      </c>
      <c r="D49" s="5">
        <v>0</v>
      </c>
      <c r="E49" s="5">
        <v>1</v>
      </c>
      <c r="F49" s="5">
        <v>0</v>
      </c>
      <c r="G49" s="5" t="b">
        <v>0</v>
      </c>
      <c r="H49" s="5">
        <v>1</v>
      </c>
      <c r="I49" s="5">
        <v>1</v>
      </c>
      <c r="J49" s="5">
        <v>0.22</v>
      </c>
    </row>
    <row r="50" spans="1:10">
      <c r="A50" s="5">
        <v>49</v>
      </c>
      <c r="B50" s="6">
        <v>40546</v>
      </c>
      <c r="C50" s="5">
        <v>1</v>
      </c>
      <c r="D50" s="5">
        <v>0</v>
      </c>
      <c r="E50" s="5">
        <v>1</v>
      </c>
      <c r="F50" s="5">
        <v>1</v>
      </c>
      <c r="G50" s="5" t="b">
        <v>0</v>
      </c>
      <c r="H50" s="5">
        <v>1</v>
      </c>
      <c r="I50" s="5">
        <v>1</v>
      </c>
      <c r="J50" s="5">
        <v>0.2</v>
      </c>
    </row>
    <row r="51" spans="1:10">
      <c r="A51" s="5">
        <v>50</v>
      </c>
      <c r="B51" s="6">
        <v>40546</v>
      </c>
      <c r="C51" s="5">
        <v>1</v>
      </c>
      <c r="D51" s="5">
        <v>0</v>
      </c>
      <c r="E51" s="5">
        <v>1</v>
      </c>
      <c r="F51" s="5">
        <v>4</v>
      </c>
      <c r="G51" s="5" t="b">
        <v>0</v>
      </c>
      <c r="H51" s="5">
        <v>1</v>
      </c>
      <c r="I51" s="5">
        <v>1</v>
      </c>
      <c r="J51" s="5">
        <v>0.16</v>
      </c>
    </row>
    <row r="52" spans="1:10">
      <c r="A52" s="5">
        <v>51</v>
      </c>
      <c r="B52" s="6">
        <v>40546</v>
      </c>
      <c r="C52" s="5">
        <v>1</v>
      </c>
      <c r="D52" s="5">
        <v>0</v>
      </c>
      <c r="E52" s="5">
        <v>1</v>
      </c>
      <c r="F52" s="5">
        <v>5</v>
      </c>
      <c r="G52" s="5" t="b">
        <v>0</v>
      </c>
      <c r="H52" s="5">
        <v>1</v>
      </c>
      <c r="I52" s="5">
        <v>1</v>
      </c>
      <c r="J52" s="5">
        <v>0.16</v>
      </c>
    </row>
    <row r="53" spans="1:10">
      <c r="A53" s="5">
        <v>52</v>
      </c>
      <c r="B53" s="6">
        <v>40546</v>
      </c>
      <c r="C53" s="5">
        <v>1</v>
      </c>
      <c r="D53" s="5">
        <v>0</v>
      </c>
      <c r="E53" s="5">
        <v>1</v>
      </c>
      <c r="F53" s="5">
        <v>6</v>
      </c>
      <c r="G53" s="5" t="b">
        <v>0</v>
      </c>
      <c r="H53" s="5">
        <v>1</v>
      </c>
      <c r="I53" s="5">
        <v>1</v>
      </c>
      <c r="J53" s="5">
        <v>0.14000000000000001</v>
      </c>
    </row>
    <row r="54" spans="1:10">
      <c r="A54" s="5">
        <v>53</v>
      </c>
      <c r="B54" s="6">
        <v>40546</v>
      </c>
      <c r="C54" s="5">
        <v>1</v>
      </c>
      <c r="D54" s="5">
        <v>0</v>
      </c>
      <c r="E54" s="5">
        <v>1</v>
      </c>
      <c r="F54" s="5">
        <v>7</v>
      </c>
      <c r="G54" s="5" t="b">
        <v>0</v>
      </c>
      <c r="H54" s="5">
        <v>1</v>
      </c>
      <c r="I54" s="5">
        <v>1</v>
      </c>
      <c r="J54" s="5">
        <v>0.14000000000000001</v>
      </c>
    </row>
    <row r="55" spans="1:10">
      <c r="A55" s="5">
        <v>54</v>
      </c>
      <c r="B55" s="6">
        <v>40546</v>
      </c>
      <c r="C55" s="5">
        <v>1</v>
      </c>
      <c r="D55" s="5">
        <v>0</v>
      </c>
      <c r="E55" s="5">
        <v>1</v>
      </c>
      <c r="F55" s="5">
        <v>8</v>
      </c>
      <c r="G55" s="5" t="b">
        <v>0</v>
      </c>
      <c r="H55" s="5">
        <v>1</v>
      </c>
      <c r="I55" s="5">
        <v>1</v>
      </c>
      <c r="J55" s="5">
        <v>0.14000000000000001</v>
      </c>
    </row>
    <row r="56" spans="1:10">
      <c r="A56" s="5">
        <v>55</v>
      </c>
      <c r="B56" s="6">
        <v>40546</v>
      </c>
      <c r="C56" s="5">
        <v>1</v>
      </c>
      <c r="D56" s="5">
        <v>0</v>
      </c>
      <c r="E56" s="5">
        <v>1</v>
      </c>
      <c r="F56" s="5">
        <v>9</v>
      </c>
      <c r="G56" s="5" t="b">
        <v>0</v>
      </c>
      <c r="H56" s="5">
        <v>1</v>
      </c>
      <c r="I56" s="5">
        <v>1</v>
      </c>
      <c r="J56" s="5">
        <v>0.16</v>
      </c>
    </row>
    <row r="57" spans="1:10">
      <c r="A57" s="5">
        <v>56</v>
      </c>
      <c r="B57" s="6">
        <v>40546</v>
      </c>
      <c r="C57" s="5">
        <v>1</v>
      </c>
      <c r="D57" s="5">
        <v>0</v>
      </c>
      <c r="E57" s="5">
        <v>1</v>
      </c>
      <c r="F57" s="5">
        <v>10</v>
      </c>
      <c r="G57" s="5" t="b">
        <v>0</v>
      </c>
      <c r="H57" s="5">
        <v>1</v>
      </c>
      <c r="I57" s="5">
        <v>1</v>
      </c>
      <c r="J57" s="5">
        <v>0.18</v>
      </c>
    </row>
    <row r="58" spans="1:10">
      <c r="A58" s="5">
        <v>57</v>
      </c>
      <c r="B58" s="6">
        <v>40546</v>
      </c>
      <c r="C58" s="5">
        <v>1</v>
      </c>
      <c r="D58" s="5">
        <v>0</v>
      </c>
      <c r="E58" s="5">
        <v>1</v>
      </c>
      <c r="F58" s="5">
        <v>11</v>
      </c>
      <c r="G58" s="5" t="b">
        <v>0</v>
      </c>
      <c r="H58" s="5">
        <v>1</v>
      </c>
      <c r="I58" s="5">
        <v>1</v>
      </c>
      <c r="J58" s="5">
        <v>0.2</v>
      </c>
    </row>
    <row r="59" spans="1:10">
      <c r="A59" s="5">
        <v>58</v>
      </c>
      <c r="B59" s="6">
        <v>40546</v>
      </c>
      <c r="C59" s="5">
        <v>1</v>
      </c>
      <c r="D59" s="5">
        <v>0</v>
      </c>
      <c r="E59" s="5">
        <v>1</v>
      </c>
      <c r="F59" s="5">
        <v>12</v>
      </c>
      <c r="G59" s="5" t="b">
        <v>0</v>
      </c>
      <c r="H59" s="5">
        <v>1</v>
      </c>
      <c r="I59" s="5">
        <v>1</v>
      </c>
      <c r="J59" s="5">
        <v>0.22</v>
      </c>
    </row>
    <row r="60" spans="1:10">
      <c r="A60" s="5">
        <v>59</v>
      </c>
      <c r="B60" s="6">
        <v>40546</v>
      </c>
      <c r="C60" s="5">
        <v>1</v>
      </c>
      <c r="D60" s="5">
        <v>0</v>
      </c>
      <c r="E60" s="5">
        <v>1</v>
      </c>
      <c r="F60" s="5">
        <v>13</v>
      </c>
      <c r="G60" s="5" t="b">
        <v>0</v>
      </c>
      <c r="H60" s="5">
        <v>1</v>
      </c>
      <c r="I60" s="5">
        <v>1</v>
      </c>
      <c r="J60" s="5">
        <v>0.24</v>
      </c>
    </row>
    <row r="61" spans="1:10">
      <c r="A61" s="5">
        <v>60</v>
      </c>
      <c r="B61" s="6">
        <v>40546</v>
      </c>
      <c r="C61" s="5">
        <v>1</v>
      </c>
      <c r="D61" s="5">
        <v>0</v>
      </c>
      <c r="E61" s="5">
        <v>1</v>
      </c>
      <c r="F61" s="5">
        <v>14</v>
      </c>
      <c r="G61" s="5" t="b">
        <v>0</v>
      </c>
      <c r="H61" s="5">
        <v>1</v>
      </c>
      <c r="I61" s="5">
        <v>1</v>
      </c>
      <c r="J61" s="5">
        <v>0.26</v>
      </c>
    </row>
    <row r="62" spans="1:10">
      <c r="A62" s="5">
        <v>61</v>
      </c>
      <c r="B62" s="6">
        <v>40546</v>
      </c>
      <c r="C62" s="5">
        <v>1</v>
      </c>
      <c r="D62" s="5">
        <v>0</v>
      </c>
      <c r="E62" s="5">
        <v>1</v>
      </c>
      <c r="F62" s="5">
        <v>15</v>
      </c>
      <c r="G62" s="5" t="b">
        <v>0</v>
      </c>
      <c r="H62" s="5">
        <v>1</v>
      </c>
      <c r="I62" s="5">
        <v>1</v>
      </c>
      <c r="J62" s="5">
        <v>0.26</v>
      </c>
    </row>
    <row r="63" spans="1:10">
      <c r="A63" s="5">
        <v>62</v>
      </c>
      <c r="B63" s="6">
        <v>40546</v>
      </c>
      <c r="C63" s="5">
        <v>1</v>
      </c>
      <c r="D63" s="5">
        <v>0</v>
      </c>
      <c r="E63" s="5">
        <v>1</v>
      </c>
      <c r="F63" s="5">
        <v>16</v>
      </c>
      <c r="G63" s="5" t="b">
        <v>0</v>
      </c>
      <c r="H63" s="5">
        <v>1</v>
      </c>
      <c r="I63" s="5">
        <v>1</v>
      </c>
      <c r="J63" s="5">
        <v>0.26</v>
      </c>
    </row>
    <row r="64" spans="1:10">
      <c r="A64" s="5">
        <v>63</v>
      </c>
      <c r="B64" s="6">
        <v>40546</v>
      </c>
      <c r="C64" s="5">
        <v>1</v>
      </c>
      <c r="D64" s="5">
        <v>0</v>
      </c>
      <c r="E64" s="5">
        <v>1</v>
      </c>
      <c r="F64" s="5">
        <v>17</v>
      </c>
      <c r="G64" s="5" t="b">
        <v>0</v>
      </c>
      <c r="H64" s="5">
        <v>1</v>
      </c>
      <c r="I64" s="5">
        <v>1</v>
      </c>
      <c r="J64" s="5">
        <v>0.24</v>
      </c>
    </row>
    <row r="65" spans="1:10">
      <c r="A65" s="5">
        <v>64</v>
      </c>
      <c r="B65" s="6">
        <v>40546</v>
      </c>
      <c r="C65" s="5">
        <v>1</v>
      </c>
      <c r="D65" s="5">
        <v>0</v>
      </c>
      <c r="E65" s="5">
        <v>1</v>
      </c>
      <c r="F65" s="5">
        <v>18</v>
      </c>
      <c r="G65" s="5" t="b">
        <v>0</v>
      </c>
      <c r="H65" s="5">
        <v>1</v>
      </c>
      <c r="I65" s="5">
        <v>1</v>
      </c>
      <c r="J65" s="5">
        <v>0.24</v>
      </c>
    </row>
    <row r="66" spans="1:10">
      <c r="A66" s="5">
        <v>65</v>
      </c>
      <c r="B66" s="6">
        <v>40546</v>
      </c>
      <c r="C66" s="5">
        <v>1</v>
      </c>
      <c r="D66" s="5">
        <v>0</v>
      </c>
      <c r="E66" s="5">
        <v>1</v>
      </c>
      <c r="F66" s="5">
        <v>19</v>
      </c>
      <c r="G66" s="5" t="b">
        <v>0</v>
      </c>
      <c r="H66" s="5">
        <v>1</v>
      </c>
      <c r="I66" s="5">
        <v>1</v>
      </c>
      <c r="J66" s="5">
        <v>0.2</v>
      </c>
    </row>
    <row r="67" spans="1:10">
      <c r="A67" s="5">
        <v>66</v>
      </c>
      <c r="B67" s="6">
        <v>40546</v>
      </c>
      <c r="C67" s="5">
        <v>1</v>
      </c>
      <c r="D67" s="5">
        <v>0</v>
      </c>
      <c r="E67" s="5">
        <v>1</v>
      </c>
      <c r="F67" s="5">
        <v>20</v>
      </c>
      <c r="G67" s="5" t="b">
        <v>0</v>
      </c>
      <c r="H67" s="5">
        <v>1</v>
      </c>
      <c r="I67" s="5">
        <v>1</v>
      </c>
      <c r="J67" s="5">
        <v>0.2</v>
      </c>
    </row>
    <row r="68" spans="1:10">
      <c r="A68" s="5">
        <v>67</v>
      </c>
      <c r="B68" s="6">
        <v>40546</v>
      </c>
      <c r="C68" s="5">
        <v>1</v>
      </c>
      <c r="D68" s="5">
        <v>0</v>
      </c>
      <c r="E68" s="5">
        <v>1</v>
      </c>
      <c r="F68" s="5">
        <v>21</v>
      </c>
      <c r="G68" s="5" t="b">
        <v>0</v>
      </c>
      <c r="H68" s="5">
        <v>1</v>
      </c>
      <c r="I68" s="5">
        <v>1</v>
      </c>
      <c r="J68" s="5">
        <v>0.18</v>
      </c>
    </row>
    <row r="69" spans="1:10">
      <c r="A69" s="5">
        <v>68</v>
      </c>
      <c r="B69" s="6">
        <v>40546</v>
      </c>
      <c r="C69" s="5">
        <v>1</v>
      </c>
      <c r="D69" s="5">
        <v>0</v>
      </c>
      <c r="E69" s="5">
        <v>1</v>
      </c>
      <c r="F69" s="5">
        <v>22</v>
      </c>
      <c r="G69" s="5" t="b">
        <v>0</v>
      </c>
      <c r="H69" s="5">
        <v>1</v>
      </c>
      <c r="I69" s="5">
        <v>1</v>
      </c>
      <c r="J69" s="5">
        <v>0.14000000000000001</v>
      </c>
    </row>
    <row r="70" spans="1:10">
      <c r="A70" s="5">
        <v>69</v>
      </c>
      <c r="B70" s="6">
        <v>40546</v>
      </c>
      <c r="C70" s="5">
        <v>1</v>
      </c>
      <c r="D70" s="5">
        <v>0</v>
      </c>
      <c r="E70" s="5">
        <v>1</v>
      </c>
      <c r="F70" s="5">
        <v>23</v>
      </c>
      <c r="G70" s="5" t="b">
        <v>0</v>
      </c>
      <c r="H70" s="5">
        <v>1</v>
      </c>
      <c r="I70" s="5">
        <v>1</v>
      </c>
      <c r="J70" s="5">
        <v>0.18</v>
      </c>
    </row>
    <row r="71" spans="1:10">
      <c r="A71" s="5">
        <v>70</v>
      </c>
      <c r="B71" s="6">
        <v>40547</v>
      </c>
      <c r="C71" s="5">
        <v>1</v>
      </c>
      <c r="D71" s="5">
        <v>0</v>
      </c>
      <c r="E71" s="5">
        <v>1</v>
      </c>
      <c r="F71" s="5">
        <v>0</v>
      </c>
      <c r="G71" s="5" t="b">
        <v>0</v>
      </c>
      <c r="H71" s="5">
        <v>2</v>
      </c>
      <c r="I71" s="5">
        <v>1</v>
      </c>
      <c r="J71" s="5">
        <v>0.16</v>
      </c>
    </row>
    <row r="72" spans="1:10">
      <c r="A72" s="5">
        <v>71</v>
      </c>
      <c r="B72" s="6">
        <v>40547</v>
      </c>
      <c r="C72" s="5">
        <v>1</v>
      </c>
      <c r="D72" s="5">
        <v>0</v>
      </c>
      <c r="E72" s="5">
        <v>1</v>
      </c>
      <c r="F72" s="5">
        <v>1</v>
      </c>
      <c r="G72" s="5" t="b">
        <v>0</v>
      </c>
      <c r="H72" s="5">
        <v>2</v>
      </c>
      <c r="I72" s="5">
        <v>1</v>
      </c>
      <c r="J72" s="5">
        <v>0.16</v>
      </c>
    </row>
    <row r="73" spans="1:10">
      <c r="A73" s="5">
        <v>72</v>
      </c>
      <c r="B73" s="6">
        <v>40547</v>
      </c>
      <c r="C73" s="5">
        <v>1</v>
      </c>
      <c r="D73" s="5">
        <v>0</v>
      </c>
      <c r="E73" s="5">
        <v>1</v>
      </c>
      <c r="F73" s="5">
        <v>2</v>
      </c>
      <c r="G73" s="5" t="b">
        <v>0</v>
      </c>
      <c r="H73" s="5">
        <v>2</v>
      </c>
      <c r="I73" s="5">
        <v>1</v>
      </c>
      <c r="J73" s="5">
        <v>0.14000000000000001</v>
      </c>
    </row>
    <row r="74" spans="1:10">
      <c r="A74" s="5">
        <v>73</v>
      </c>
      <c r="B74" s="6">
        <v>40547</v>
      </c>
      <c r="C74" s="5">
        <v>1</v>
      </c>
      <c r="D74" s="5">
        <v>0</v>
      </c>
      <c r="E74" s="5">
        <v>1</v>
      </c>
      <c r="F74" s="5">
        <v>4</v>
      </c>
      <c r="G74" s="5" t="b">
        <v>0</v>
      </c>
      <c r="H74" s="5">
        <v>2</v>
      </c>
      <c r="I74" s="5">
        <v>1</v>
      </c>
      <c r="J74" s="5">
        <v>0.14000000000000001</v>
      </c>
    </row>
    <row r="75" spans="1:10">
      <c r="A75" s="5">
        <v>74</v>
      </c>
      <c r="B75" s="6">
        <v>40547</v>
      </c>
      <c r="C75" s="5">
        <v>1</v>
      </c>
      <c r="D75" s="5">
        <v>0</v>
      </c>
      <c r="E75" s="5">
        <v>1</v>
      </c>
      <c r="F75" s="5">
        <v>5</v>
      </c>
      <c r="G75" s="5" t="b">
        <v>0</v>
      </c>
      <c r="H75" s="5">
        <v>2</v>
      </c>
      <c r="I75" s="5">
        <v>1</v>
      </c>
      <c r="J75" s="5">
        <v>0.12</v>
      </c>
    </row>
    <row r="76" spans="1:10">
      <c r="A76" s="5">
        <v>75</v>
      </c>
      <c r="B76" s="6">
        <v>40547</v>
      </c>
      <c r="C76" s="5">
        <v>1</v>
      </c>
      <c r="D76" s="5">
        <v>0</v>
      </c>
      <c r="E76" s="5">
        <v>1</v>
      </c>
      <c r="F76" s="5">
        <v>6</v>
      </c>
      <c r="G76" s="5" t="b">
        <v>0</v>
      </c>
      <c r="H76" s="5">
        <v>2</v>
      </c>
      <c r="I76" s="5">
        <v>1</v>
      </c>
      <c r="J76" s="5">
        <v>0.12</v>
      </c>
    </row>
    <row r="77" spans="1:10">
      <c r="A77" s="5">
        <v>76</v>
      </c>
      <c r="B77" s="6">
        <v>40547</v>
      </c>
      <c r="C77" s="5">
        <v>1</v>
      </c>
      <c r="D77" s="5">
        <v>0</v>
      </c>
      <c r="E77" s="5">
        <v>1</v>
      </c>
      <c r="F77" s="5">
        <v>7</v>
      </c>
      <c r="G77" s="5" t="b">
        <v>0</v>
      </c>
      <c r="H77" s="5">
        <v>2</v>
      </c>
      <c r="I77" s="5">
        <v>1</v>
      </c>
      <c r="J77" s="5">
        <v>0.12</v>
      </c>
    </row>
    <row r="78" spans="1:10">
      <c r="A78" s="5">
        <v>77</v>
      </c>
      <c r="B78" s="6">
        <v>40547</v>
      </c>
      <c r="C78" s="5">
        <v>1</v>
      </c>
      <c r="D78" s="5">
        <v>0</v>
      </c>
      <c r="E78" s="5">
        <v>1</v>
      </c>
      <c r="F78" s="5">
        <v>8</v>
      </c>
      <c r="G78" s="5" t="b">
        <v>0</v>
      </c>
      <c r="H78" s="5">
        <v>2</v>
      </c>
      <c r="I78" s="5">
        <v>1</v>
      </c>
      <c r="J78" s="5">
        <v>0.14000000000000001</v>
      </c>
    </row>
    <row r="79" spans="1:10">
      <c r="A79" s="5">
        <v>78</v>
      </c>
      <c r="B79" s="6">
        <v>40547</v>
      </c>
      <c r="C79" s="5">
        <v>1</v>
      </c>
      <c r="D79" s="5">
        <v>0</v>
      </c>
      <c r="E79" s="5">
        <v>1</v>
      </c>
      <c r="F79" s="5">
        <v>9</v>
      </c>
      <c r="G79" s="5" t="b">
        <v>0</v>
      </c>
      <c r="H79" s="5">
        <v>2</v>
      </c>
      <c r="I79" s="5">
        <v>1</v>
      </c>
      <c r="J79" s="5">
        <v>0.16</v>
      </c>
    </row>
    <row r="80" spans="1:10">
      <c r="A80" s="5">
        <v>79</v>
      </c>
      <c r="B80" s="6">
        <v>40547</v>
      </c>
      <c r="C80" s="5">
        <v>1</v>
      </c>
      <c r="D80" s="5">
        <v>0</v>
      </c>
      <c r="E80" s="5">
        <v>1</v>
      </c>
      <c r="F80" s="5">
        <v>10</v>
      </c>
      <c r="G80" s="5" t="b">
        <v>0</v>
      </c>
      <c r="H80" s="5">
        <v>2</v>
      </c>
      <c r="I80" s="5">
        <v>2</v>
      </c>
      <c r="J80" s="5">
        <v>0.16</v>
      </c>
    </row>
    <row r="81" spans="1:10">
      <c r="A81" s="5">
        <v>80</v>
      </c>
      <c r="B81" s="6">
        <v>40547</v>
      </c>
      <c r="C81" s="5">
        <v>1</v>
      </c>
      <c r="D81" s="5">
        <v>0</v>
      </c>
      <c r="E81" s="5">
        <v>1</v>
      </c>
      <c r="F81" s="5">
        <v>11</v>
      </c>
      <c r="G81" s="5" t="b">
        <v>0</v>
      </c>
      <c r="H81" s="5">
        <v>2</v>
      </c>
      <c r="I81" s="5">
        <v>1</v>
      </c>
      <c r="J81" s="5">
        <v>0.22</v>
      </c>
    </row>
    <row r="82" spans="1:10">
      <c r="A82" s="5">
        <v>81</v>
      </c>
      <c r="B82" s="6">
        <v>40547</v>
      </c>
      <c r="C82" s="5">
        <v>1</v>
      </c>
      <c r="D82" s="5">
        <v>0</v>
      </c>
      <c r="E82" s="5">
        <v>1</v>
      </c>
      <c r="F82" s="5">
        <v>12</v>
      </c>
      <c r="G82" s="5" t="b">
        <v>0</v>
      </c>
      <c r="H82" s="5">
        <v>2</v>
      </c>
      <c r="I82" s="5">
        <v>1</v>
      </c>
      <c r="J82" s="5">
        <v>0.22</v>
      </c>
    </row>
    <row r="83" spans="1:10">
      <c r="A83" s="5">
        <v>82</v>
      </c>
      <c r="B83" s="6">
        <v>40547</v>
      </c>
      <c r="C83" s="5">
        <v>1</v>
      </c>
      <c r="D83" s="5">
        <v>0</v>
      </c>
      <c r="E83" s="5">
        <v>1</v>
      </c>
      <c r="F83" s="5">
        <v>13</v>
      </c>
      <c r="G83" s="5" t="b">
        <v>0</v>
      </c>
      <c r="H83" s="5">
        <v>2</v>
      </c>
      <c r="I83" s="5">
        <v>1</v>
      </c>
      <c r="J83" s="5">
        <v>0.24</v>
      </c>
    </row>
    <row r="84" spans="1:10">
      <c r="A84" s="5">
        <v>83</v>
      </c>
      <c r="B84" s="6">
        <v>40547</v>
      </c>
      <c r="C84" s="5">
        <v>1</v>
      </c>
      <c r="D84" s="5">
        <v>0</v>
      </c>
      <c r="E84" s="5">
        <v>1</v>
      </c>
      <c r="F84" s="5">
        <v>14</v>
      </c>
      <c r="G84" s="5" t="b">
        <v>0</v>
      </c>
      <c r="H84" s="5">
        <v>2</v>
      </c>
      <c r="I84" s="5">
        <v>1</v>
      </c>
      <c r="J84" s="5">
        <v>0.26</v>
      </c>
    </row>
    <row r="85" spans="1:10">
      <c r="A85" s="5">
        <v>84</v>
      </c>
      <c r="B85" s="6">
        <v>40547</v>
      </c>
      <c r="C85" s="5">
        <v>1</v>
      </c>
      <c r="D85" s="5">
        <v>0</v>
      </c>
      <c r="E85" s="5">
        <v>1</v>
      </c>
      <c r="F85" s="5">
        <v>15</v>
      </c>
      <c r="G85" s="5" t="b">
        <v>0</v>
      </c>
      <c r="H85" s="5">
        <v>2</v>
      </c>
      <c r="I85" s="5">
        <v>1</v>
      </c>
      <c r="J85" s="5">
        <v>0.28000000000000003</v>
      </c>
    </row>
    <row r="86" spans="1:10">
      <c r="A86" s="5">
        <v>85</v>
      </c>
      <c r="B86" s="6">
        <v>40547</v>
      </c>
      <c r="C86" s="5">
        <v>1</v>
      </c>
      <c r="D86" s="5">
        <v>0</v>
      </c>
      <c r="E86" s="5">
        <v>1</v>
      </c>
      <c r="F86" s="5">
        <v>16</v>
      </c>
      <c r="G86" s="5" t="b">
        <v>0</v>
      </c>
      <c r="H86" s="5">
        <v>2</v>
      </c>
      <c r="I86" s="5">
        <v>1</v>
      </c>
      <c r="J86" s="5">
        <v>0.3</v>
      </c>
    </row>
    <row r="87" spans="1:10">
      <c r="A87" s="5">
        <v>86</v>
      </c>
      <c r="B87" s="6">
        <v>40547</v>
      </c>
      <c r="C87" s="5">
        <v>1</v>
      </c>
      <c r="D87" s="5">
        <v>0</v>
      </c>
      <c r="E87" s="5">
        <v>1</v>
      </c>
      <c r="F87" s="5">
        <v>17</v>
      </c>
      <c r="G87" s="5" t="b">
        <v>0</v>
      </c>
      <c r="H87" s="5">
        <v>2</v>
      </c>
      <c r="I87" s="5">
        <v>1</v>
      </c>
      <c r="J87" s="5">
        <v>0.28000000000000003</v>
      </c>
    </row>
    <row r="88" spans="1:10">
      <c r="A88" s="5">
        <v>87</v>
      </c>
      <c r="B88" s="6">
        <v>40547</v>
      </c>
      <c r="C88" s="5">
        <v>1</v>
      </c>
      <c r="D88" s="5">
        <v>0</v>
      </c>
      <c r="E88" s="5">
        <v>1</v>
      </c>
      <c r="F88" s="5">
        <v>18</v>
      </c>
      <c r="G88" s="5" t="b">
        <v>0</v>
      </c>
      <c r="H88" s="5">
        <v>2</v>
      </c>
      <c r="I88" s="5">
        <v>1</v>
      </c>
      <c r="J88" s="5">
        <v>0.26</v>
      </c>
    </row>
    <row r="89" spans="1:10">
      <c r="A89" s="5">
        <v>88</v>
      </c>
      <c r="B89" s="6">
        <v>40547</v>
      </c>
      <c r="C89" s="5">
        <v>1</v>
      </c>
      <c r="D89" s="5">
        <v>0</v>
      </c>
      <c r="E89" s="5">
        <v>1</v>
      </c>
      <c r="F89" s="5">
        <v>19</v>
      </c>
      <c r="G89" s="5" t="b">
        <v>0</v>
      </c>
      <c r="H89" s="5">
        <v>2</v>
      </c>
      <c r="I89" s="5">
        <v>1</v>
      </c>
      <c r="J89" s="5">
        <v>0.24</v>
      </c>
    </row>
    <row r="90" spans="1:10">
      <c r="A90" s="5">
        <v>89</v>
      </c>
      <c r="B90" s="6">
        <v>40547</v>
      </c>
      <c r="C90" s="5">
        <v>1</v>
      </c>
      <c r="D90" s="5">
        <v>0</v>
      </c>
      <c r="E90" s="5">
        <v>1</v>
      </c>
      <c r="F90" s="5">
        <v>20</v>
      </c>
      <c r="G90" s="5" t="b">
        <v>0</v>
      </c>
      <c r="H90" s="5">
        <v>2</v>
      </c>
      <c r="I90" s="5">
        <v>1</v>
      </c>
      <c r="J90" s="5">
        <v>0.24</v>
      </c>
    </row>
    <row r="91" spans="1:10">
      <c r="A91" s="5">
        <v>90</v>
      </c>
      <c r="B91" s="6">
        <v>40547</v>
      </c>
      <c r="C91" s="5">
        <v>1</v>
      </c>
      <c r="D91" s="5">
        <v>0</v>
      </c>
      <c r="E91" s="5">
        <v>1</v>
      </c>
      <c r="F91" s="5">
        <v>21</v>
      </c>
      <c r="G91" s="5" t="b">
        <v>0</v>
      </c>
      <c r="H91" s="5">
        <v>2</v>
      </c>
      <c r="I91" s="5">
        <v>1</v>
      </c>
      <c r="J91" s="5">
        <v>0.22</v>
      </c>
    </row>
    <row r="92" spans="1:10">
      <c r="A92" s="5">
        <v>91</v>
      </c>
      <c r="B92" s="6">
        <v>40547</v>
      </c>
      <c r="C92" s="5">
        <v>1</v>
      </c>
      <c r="D92" s="5">
        <v>0</v>
      </c>
      <c r="E92" s="5">
        <v>1</v>
      </c>
      <c r="F92" s="5">
        <v>22</v>
      </c>
      <c r="G92" s="5" t="b">
        <v>0</v>
      </c>
      <c r="H92" s="5">
        <v>2</v>
      </c>
      <c r="I92" s="5">
        <v>1</v>
      </c>
      <c r="J92" s="5">
        <v>0.22</v>
      </c>
    </row>
    <row r="93" spans="1:10">
      <c r="A93" s="5">
        <v>92</v>
      </c>
      <c r="B93" s="6">
        <v>40547</v>
      </c>
      <c r="C93" s="5">
        <v>1</v>
      </c>
      <c r="D93" s="5">
        <v>0</v>
      </c>
      <c r="E93" s="5">
        <v>1</v>
      </c>
      <c r="F93" s="5">
        <v>23</v>
      </c>
      <c r="G93" s="5" t="b">
        <v>0</v>
      </c>
      <c r="H93" s="5">
        <v>2</v>
      </c>
      <c r="I93" s="5">
        <v>1</v>
      </c>
      <c r="J93" s="5">
        <v>0.2</v>
      </c>
    </row>
    <row r="94" spans="1:10">
      <c r="A94" s="5">
        <v>93</v>
      </c>
      <c r="B94" s="6">
        <v>40548</v>
      </c>
      <c r="C94" s="5">
        <v>1</v>
      </c>
      <c r="D94" s="5">
        <v>0</v>
      </c>
      <c r="E94" s="5">
        <v>1</v>
      </c>
      <c r="F94" s="5">
        <v>0</v>
      </c>
      <c r="G94" s="5" t="b">
        <v>0</v>
      </c>
      <c r="H94" s="5">
        <v>3</v>
      </c>
      <c r="I94" s="5">
        <v>1</v>
      </c>
      <c r="J94" s="5">
        <v>0.2</v>
      </c>
    </row>
    <row r="95" spans="1:10">
      <c r="A95" s="5">
        <v>94</v>
      </c>
      <c r="B95" s="6">
        <v>40548</v>
      </c>
      <c r="C95" s="5">
        <v>1</v>
      </c>
      <c r="D95" s="5">
        <v>0</v>
      </c>
      <c r="E95" s="5">
        <v>1</v>
      </c>
      <c r="F95" s="5">
        <v>1</v>
      </c>
      <c r="G95" s="5" t="b">
        <v>0</v>
      </c>
      <c r="H95" s="5">
        <v>3</v>
      </c>
      <c r="I95" s="5">
        <v>1</v>
      </c>
      <c r="J95" s="5">
        <v>0.16</v>
      </c>
    </row>
    <row r="96" spans="1:10">
      <c r="A96" s="5">
        <v>95</v>
      </c>
      <c r="B96" s="6">
        <v>40548</v>
      </c>
      <c r="C96" s="5">
        <v>1</v>
      </c>
      <c r="D96" s="5">
        <v>0</v>
      </c>
      <c r="E96" s="5">
        <v>1</v>
      </c>
      <c r="F96" s="5">
        <v>2</v>
      </c>
      <c r="G96" s="5" t="b">
        <v>0</v>
      </c>
      <c r="H96" s="5">
        <v>3</v>
      </c>
      <c r="I96" s="5">
        <v>1</v>
      </c>
      <c r="J96" s="5">
        <v>0.16</v>
      </c>
    </row>
    <row r="97" spans="1:10">
      <c r="A97" s="5">
        <v>96</v>
      </c>
      <c r="B97" s="6">
        <v>40548</v>
      </c>
      <c r="C97" s="5">
        <v>1</v>
      </c>
      <c r="D97" s="5">
        <v>0</v>
      </c>
      <c r="E97" s="5">
        <v>1</v>
      </c>
      <c r="F97" s="5">
        <v>4</v>
      </c>
      <c r="G97" s="5" t="b">
        <v>0</v>
      </c>
      <c r="H97" s="5">
        <v>3</v>
      </c>
      <c r="I97" s="5">
        <v>1</v>
      </c>
      <c r="J97" s="5">
        <v>0.24</v>
      </c>
    </row>
    <row r="98" spans="1:10">
      <c r="A98" s="5">
        <v>97</v>
      </c>
      <c r="B98" s="6">
        <v>40548</v>
      </c>
      <c r="C98" s="5">
        <v>1</v>
      </c>
      <c r="D98" s="5">
        <v>0</v>
      </c>
      <c r="E98" s="5">
        <v>1</v>
      </c>
      <c r="F98" s="5">
        <v>5</v>
      </c>
      <c r="G98" s="5" t="b">
        <v>0</v>
      </c>
      <c r="H98" s="5">
        <v>3</v>
      </c>
      <c r="I98" s="5">
        <v>1</v>
      </c>
      <c r="J98" s="5">
        <v>0.22</v>
      </c>
    </row>
    <row r="99" spans="1:10">
      <c r="A99" s="5">
        <v>98</v>
      </c>
      <c r="B99" s="6">
        <v>40548</v>
      </c>
      <c r="C99" s="5">
        <v>1</v>
      </c>
      <c r="D99" s="5">
        <v>0</v>
      </c>
      <c r="E99" s="5">
        <v>1</v>
      </c>
      <c r="F99" s="5">
        <v>6</v>
      </c>
      <c r="G99" s="5" t="b">
        <v>0</v>
      </c>
      <c r="H99" s="5">
        <v>3</v>
      </c>
      <c r="I99" s="5">
        <v>1</v>
      </c>
      <c r="J99" s="5">
        <v>0.2</v>
      </c>
    </row>
    <row r="100" spans="1:10">
      <c r="A100" s="5">
        <v>99</v>
      </c>
      <c r="B100" s="6">
        <v>40548</v>
      </c>
      <c r="C100" s="5">
        <v>1</v>
      </c>
      <c r="D100" s="5">
        <v>0</v>
      </c>
      <c r="E100" s="5">
        <v>1</v>
      </c>
      <c r="F100" s="5">
        <v>7</v>
      </c>
      <c r="G100" s="5" t="b">
        <v>0</v>
      </c>
      <c r="H100" s="5">
        <v>3</v>
      </c>
      <c r="I100" s="5">
        <v>1</v>
      </c>
      <c r="J100" s="5">
        <v>0.18</v>
      </c>
    </row>
    <row r="101" spans="1:10">
      <c r="A101" s="5">
        <v>100</v>
      </c>
      <c r="B101" s="6">
        <v>40548</v>
      </c>
      <c r="C101" s="5">
        <v>1</v>
      </c>
      <c r="D101" s="5">
        <v>0</v>
      </c>
      <c r="E101" s="5">
        <v>1</v>
      </c>
      <c r="F101" s="5">
        <v>8</v>
      </c>
      <c r="G101" s="5" t="b">
        <v>0</v>
      </c>
      <c r="H101" s="5">
        <v>3</v>
      </c>
      <c r="I101" s="5">
        <v>1</v>
      </c>
      <c r="J101" s="5">
        <v>0.2</v>
      </c>
    </row>
    <row r="102" spans="1:10">
      <c r="A102" s="5">
        <v>101</v>
      </c>
      <c r="B102" s="6">
        <v>40548</v>
      </c>
      <c r="C102" s="5">
        <v>1</v>
      </c>
      <c r="D102" s="5">
        <v>0</v>
      </c>
      <c r="E102" s="5">
        <v>1</v>
      </c>
      <c r="F102" s="5">
        <v>9</v>
      </c>
      <c r="G102" s="5" t="b">
        <v>0</v>
      </c>
      <c r="H102" s="5">
        <v>3</v>
      </c>
      <c r="I102" s="5">
        <v>1</v>
      </c>
      <c r="J102" s="5">
        <v>0.22</v>
      </c>
    </row>
    <row r="103" spans="1:10">
      <c r="A103" s="5">
        <v>102</v>
      </c>
      <c r="B103" s="6">
        <v>40548</v>
      </c>
      <c r="C103" s="5">
        <v>1</v>
      </c>
      <c r="D103" s="5">
        <v>0</v>
      </c>
      <c r="E103" s="5">
        <v>1</v>
      </c>
      <c r="F103" s="5">
        <v>10</v>
      </c>
      <c r="G103" s="5" t="b">
        <v>0</v>
      </c>
      <c r="H103" s="5">
        <v>3</v>
      </c>
      <c r="I103" s="5">
        <v>1</v>
      </c>
      <c r="J103" s="5">
        <v>0.22</v>
      </c>
    </row>
    <row r="104" spans="1:10">
      <c r="A104" s="5">
        <v>103</v>
      </c>
      <c r="B104" s="6">
        <v>40548</v>
      </c>
      <c r="C104" s="5">
        <v>1</v>
      </c>
      <c r="D104" s="5">
        <v>0</v>
      </c>
      <c r="E104" s="5">
        <v>1</v>
      </c>
      <c r="F104" s="5">
        <v>11</v>
      </c>
      <c r="G104" s="5" t="b">
        <v>0</v>
      </c>
      <c r="H104" s="5">
        <v>3</v>
      </c>
      <c r="I104" s="5">
        <v>1</v>
      </c>
      <c r="J104" s="5">
        <v>0.26</v>
      </c>
    </row>
    <row r="105" spans="1:10">
      <c r="A105" s="5">
        <v>104</v>
      </c>
      <c r="B105" s="6">
        <v>40548</v>
      </c>
      <c r="C105" s="5">
        <v>1</v>
      </c>
      <c r="D105" s="5">
        <v>0</v>
      </c>
      <c r="E105" s="5">
        <v>1</v>
      </c>
      <c r="F105" s="5">
        <v>12</v>
      </c>
      <c r="G105" s="5" t="b">
        <v>0</v>
      </c>
      <c r="H105" s="5">
        <v>3</v>
      </c>
      <c r="I105" s="5">
        <v>1</v>
      </c>
      <c r="J105" s="5">
        <v>0.26</v>
      </c>
    </row>
    <row r="106" spans="1:10">
      <c r="A106" s="5">
        <v>105</v>
      </c>
      <c r="B106" s="6">
        <v>40548</v>
      </c>
      <c r="C106" s="5">
        <v>1</v>
      </c>
      <c r="D106" s="5">
        <v>0</v>
      </c>
      <c r="E106" s="5">
        <v>1</v>
      </c>
      <c r="F106" s="5">
        <v>13</v>
      </c>
      <c r="G106" s="5" t="b">
        <v>0</v>
      </c>
      <c r="H106" s="5">
        <v>3</v>
      </c>
      <c r="I106" s="5">
        <v>1</v>
      </c>
      <c r="J106" s="5">
        <v>0.28000000000000003</v>
      </c>
    </row>
    <row r="107" spans="1:10">
      <c r="A107" s="5">
        <v>106</v>
      </c>
      <c r="B107" s="6">
        <v>40548</v>
      </c>
      <c r="C107" s="5">
        <v>1</v>
      </c>
      <c r="D107" s="5">
        <v>0</v>
      </c>
      <c r="E107" s="5">
        <v>1</v>
      </c>
      <c r="F107" s="5">
        <v>14</v>
      </c>
      <c r="G107" s="5" t="b">
        <v>0</v>
      </c>
      <c r="H107" s="5">
        <v>3</v>
      </c>
      <c r="I107" s="5">
        <v>1</v>
      </c>
      <c r="J107" s="5">
        <v>0.3</v>
      </c>
    </row>
    <row r="108" spans="1:10">
      <c r="A108" s="5">
        <v>107</v>
      </c>
      <c r="B108" s="6">
        <v>40548</v>
      </c>
      <c r="C108" s="5">
        <v>1</v>
      </c>
      <c r="D108" s="5">
        <v>0</v>
      </c>
      <c r="E108" s="5">
        <v>1</v>
      </c>
      <c r="F108" s="5">
        <v>15</v>
      </c>
      <c r="G108" s="5" t="b">
        <v>0</v>
      </c>
      <c r="H108" s="5">
        <v>3</v>
      </c>
      <c r="I108" s="5">
        <v>1</v>
      </c>
      <c r="J108" s="5">
        <v>0.3</v>
      </c>
    </row>
    <row r="109" spans="1:10">
      <c r="A109" s="5">
        <v>108</v>
      </c>
      <c r="B109" s="6">
        <v>40548</v>
      </c>
      <c r="C109" s="5">
        <v>1</v>
      </c>
      <c r="D109" s="5">
        <v>0</v>
      </c>
      <c r="E109" s="5">
        <v>1</v>
      </c>
      <c r="F109" s="5">
        <v>16</v>
      </c>
      <c r="G109" s="5" t="b">
        <v>0</v>
      </c>
      <c r="H109" s="5">
        <v>3</v>
      </c>
      <c r="I109" s="5">
        <v>1</v>
      </c>
      <c r="J109" s="5">
        <v>0.3</v>
      </c>
    </row>
    <row r="110" spans="1:10">
      <c r="A110" s="5">
        <v>109</v>
      </c>
      <c r="B110" s="6">
        <v>40548</v>
      </c>
      <c r="C110" s="5">
        <v>1</v>
      </c>
      <c r="D110" s="5">
        <v>0</v>
      </c>
      <c r="E110" s="5">
        <v>1</v>
      </c>
      <c r="F110" s="5">
        <v>17</v>
      </c>
      <c r="G110" s="5" t="b">
        <v>0</v>
      </c>
      <c r="H110" s="5">
        <v>3</v>
      </c>
      <c r="I110" s="5">
        <v>1</v>
      </c>
      <c r="J110" s="5">
        <v>0.24</v>
      </c>
    </row>
    <row r="111" spans="1:10">
      <c r="A111" s="5">
        <v>110</v>
      </c>
      <c r="B111" s="6">
        <v>40548</v>
      </c>
      <c r="C111" s="5">
        <v>1</v>
      </c>
      <c r="D111" s="5">
        <v>0</v>
      </c>
      <c r="E111" s="5">
        <v>1</v>
      </c>
      <c r="F111" s="5">
        <v>18</v>
      </c>
      <c r="G111" s="5" t="b">
        <v>0</v>
      </c>
      <c r="H111" s="5">
        <v>3</v>
      </c>
      <c r="I111" s="5">
        <v>1</v>
      </c>
      <c r="J111" s="5">
        <v>0.24</v>
      </c>
    </row>
    <row r="112" spans="1:10">
      <c r="A112" s="5">
        <v>111</v>
      </c>
      <c r="B112" s="6">
        <v>40548</v>
      </c>
      <c r="C112" s="5">
        <v>1</v>
      </c>
      <c r="D112" s="5">
        <v>0</v>
      </c>
      <c r="E112" s="5">
        <v>1</v>
      </c>
      <c r="F112" s="5">
        <v>19</v>
      </c>
      <c r="G112" s="5" t="b">
        <v>0</v>
      </c>
      <c r="H112" s="5">
        <v>3</v>
      </c>
      <c r="I112" s="5">
        <v>1</v>
      </c>
      <c r="J112" s="5">
        <v>0.24</v>
      </c>
    </row>
    <row r="113" spans="1:10">
      <c r="A113" s="5">
        <v>112</v>
      </c>
      <c r="B113" s="6">
        <v>40548</v>
      </c>
      <c r="C113" s="5">
        <v>1</v>
      </c>
      <c r="D113" s="5">
        <v>0</v>
      </c>
      <c r="E113" s="5">
        <v>1</v>
      </c>
      <c r="F113" s="5">
        <v>20</v>
      </c>
      <c r="G113" s="5" t="b">
        <v>0</v>
      </c>
      <c r="H113" s="5">
        <v>3</v>
      </c>
      <c r="I113" s="5">
        <v>1</v>
      </c>
      <c r="J113" s="5">
        <v>0.22</v>
      </c>
    </row>
    <row r="114" spans="1:10">
      <c r="A114" s="5">
        <v>113</v>
      </c>
      <c r="B114" s="6">
        <v>40548</v>
      </c>
      <c r="C114" s="5">
        <v>1</v>
      </c>
      <c r="D114" s="5">
        <v>0</v>
      </c>
      <c r="E114" s="5">
        <v>1</v>
      </c>
      <c r="F114" s="5">
        <v>21</v>
      </c>
      <c r="G114" s="5" t="b">
        <v>0</v>
      </c>
      <c r="H114" s="5">
        <v>3</v>
      </c>
      <c r="I114" s="5">
        <v>1</v>
      </c>
      <c r="J114" s="5">
        <v>0.2</v>
      </c>
    </row>
    <row r="115" spans="1:10">
      <c r="A115" s="5">
        <v>114</v>
      </c>
      <c r="B115" s="6">
        <v>40548</v>
      </c>
      <c r="C115" s="5">
        <v>1</v>
      </c>
      <c r="D115" s="5">
        <v>0</v>
      </c>
      <c r="E115" s="5">
        <v>1</v>
      </c>
      <c r="F115" s="5">
        <v>22</v>
      </c>
      <c r="G115" s="5" t="b">
        <v>0</v>
      </c>
      <c r="H115" s="5">
        <v>3</v>
      </c>
      <c r="I115" s="5">
        <v>1</v>
      </c>
      <c r="J115" s="5">
        <v>0.18</v>
      </c>
    </row>
    <row r="116" spans="1:10">
      <c r="A116" s="5">
        <v>115</v>
      </c>
      <c r="B116" s="6">
        <v>40548</v>
      </c>
      <c r="C116" s="5">
        <v>1</v>
      </c>
      <c r="D116" s="5">
        <v>0</v>
      </c>
      <c r="E116" s="5">
        <v>1</v>
      </c>
      <c r="F116" s="5">
        <v>23</v>
      </c>
      <c r="G116" s="5" t="b">
        <v>0</v>
      </c>
      <c r="H116" s="5">
        <v>3</v>
      </c>
      <c r="I116" s="5">
        <v>1</v>
      </c>
      <c r="J116" s="5">
        <v>0.2</v>
      </c>
    </row>
    <row r="117" spans="1:10">
      <c r="A117" s="5">
        <v>116</v>
      </c>
      <c r="B117" s="6">
        <v>40549</v>
      </c>
      <c r="C117" s="5">
        <v>1</v>
      </c>
      <c r="D117" s="5">
        <v>0</v>
      </c>
      <c r="E117" s="5">
        <v>1</v>
      </c>
      <c r="F117" s="5">
        <v>0</v>
      </c>
      <c r="G117" s="5" t="b">
        <v>0</v>
      </c>
      <c r="H117" s="5">
        <v>4</v>
      </c>
      <c r="I117" s="5">
        <v>1</v>
      </c>
      <c r="J117" s="5">
        <v>0.18</v>
      </c>
    </row>
    <row r="118" spans="1:10">
      <c r="A118" s="5">
        <v>117</v>
      </c>
      <c r="B118" s="6">
        <v>40549</v>
      </c>
      <c r="C118" s="5">
        <v>1</v>
      </c>
      <c r="D118" s="5">
        <v>0</v>
      </c>
      <c r="E118" s="5">
        <v>1</v>
      </c>
      <c r="F118" s="5">
        <v>1</v>
      </c>
      <c r="G118" s="5" t="b">
        <v>0</v>
      </c>
      <c r="H118" s="5">
        <v>4</v>
      </c>
      <c r="I118" s="5">
        <v>1</v>
      </c>
      <c r="J118" s="5">
        <v>0.16</v>
      </c>
    </row>
    <row r="119" spans="1:10">
      <c r="A119" s="5">
        <v>118</v>
      </c>
      <c r="B119" s="6">
        <v>40549</v>
      </c>
      <c r="C119" s="5">
        <v>1</v>
      </c>
      <c r="D119" s="5">
        <v>0</v>
      </c>
      <c r="E119" s="5">
        <v>1</v>
      </c>
      <c r="F119" s="5">
        <v>2</v>
      </c>
      <c r="G119" s="5" t="b">
        <v>0</v>
      </c>
      <c r="H119" s="5">
        <v>4</v>
      </c>
      <c r="I119" s="5">
        <v>1</v>
      </c>
      <c r="J119" s="5">
        <v>0.16</v>
      </c>
    </row>
    <row r="120" spans="1:10">
      <c r="A120" s="5">
        <v>119</v>
      </c>
      <c r="B120" s="6">
        <v>40549</v>
      </c>
      <c r="C120" s="5">
        <v>1</v>
      </c>
      <c r="D120" s="5">
        <v>0</v>
      </c>
      <c r="E120" s="5">
        <v>1</v>
      </c>
      <c r="F120" s="5">
        <v>4</v>
      </c>
      <c r="G120" s="5" t="b">
        <v>0</v>
      </c>
      <c r="H120" s="5">
        <v>4</v>
      </c>
      <c r="I120" s="5">
        <v>2</v>
      </c>
      <c r="J120" s="5">
        <v>0.16</v>
      </c>
    </row>
    <row r="121" spans="1:10">
      <c r="A121" s="5">
        <v>120</v>
      </c>
      <c r="B121" s="6">
        <v>40549</v>
      </c>
      <c r="C121" s="5">
        <v>1</v>
      </c>
      <c r="D121" s="5">
        <v>0</v>
      </c>
      <c r="E121" s="5">
        <v>1</v>
      </c>
      <c r="F121" s="5">
        <v>5</v>
      </c>
      <c r="G121" s="5" t="b">
        <v>0</v>
      </c>
      <c r="H121" s="5">
        <v>4</v>
      </c>
      <c r="I121" s="5">
        <v>2</v>
      </c>
      <c r="J121" s="5">
        <v>0.14000000000000001</v>
      </c>
    </row>
    <row r="122" spans="1:10">
      <c r="A122" s="5">
        <v>121</v>
      </c>
      <c r="B122" s="6">
        <v>40549</v>
      </c>
      <c r="C122" s="5">
        <v>1</v>
      </c>
      <c r="D122" s="5">
        <v>0</v>
      </c>
      <c r="E122" s="5">
        <v>1</v>
      </c>
      <c r="F122" s="5">
        <v>6</v>
      </c>
      <c r="G122" s="5" t="b">
        <v>0</v>
      </c>
      <c r="H122" s="5">
        <v>4</v>
      </c>
      <c r="I122" s="5">
        <v>2</v>
      </c>
      <c r="J122" s="5">
        <v>0.14000000000000001</v>
      </c>
    </row>
    <row r="123" spans="1:10">
      <c r="A123" s="5">
        <v>122</v>
      </c>
      <c r="B123" s="6">
        <v>40549</v>
      </c>
      <c r="C123" s="5">
        <v>1</v>
      </c>
      <c r="D123" s="5">
        <v>0</v>
      </c>
      <c r="E123" s="5">
        <v>1</v>
      </c>
      <c r="F123" s="5">
        <v>7</v>
      </c>
      <c r="G123" s="5" t="b">
        <v>0</v>
      </c>
      <c r="H123" s="5">
        <v>4</v>
      </c>
      <c r="I123" s="5">
        <v>2</v>
      </c>
      <c r="J123" s="5">
        <v>0.16</v>
      </c>
    </row>
    <row r="124" spans="1:10">
      <c r="A124" s="5">
        <v>123</v>
      </c>
      <c r="B124" s="6">
        <v>40549</v>
      </c>
      <c r="C124" s="5">
        <v>1</v>
      </c>
      <c r="D124" s="5">
        <v>0</v>
      </c>
      <c r="E124" s="5">
        <v>1</v>
      </c>
      <c r="F124" s="5">
        <v>8</v>
      </c>
      <c r="G124" s="5" t="b">
        <v>0</v>
      </c>
      <c r="H124" s="5">
        <v>4</v>
      </c>
      <c r="I124" s="5">
        <v>1</v>
      </c>
      <c r="J124" s="5">
        <v>0.16</v>
      </c>
    </row>
    <row r="125" spans="1:10">
      <c r="A125" s="5">
        <v>124</v>
      </c>
      <c r="B125" s="6">
        <v>40549</v>
      </c>
      <c r="C125" s="5">
        <v>1</v>
      </c>
      <c r="D125" s="5">
        <v>0</v>
      </c>
      <c r="E125" s="5">
        <v>1</v>
      </c>
      <c r="F125" s="5">
        <v>9</v>
      </c>
      <c r="G125" s="5" t="b">
        <v>0</v>
      </c>
      <c r="H125" s="5">
        <v>4</v>
      </c>
      <c r="I125" s="5">
        <v>2</v>
      </c>
      <c r="J125" s="5">
        <v>0.18</v>
      </c>
    </row>
    <row r="126" spans="1:10">
      <c r="A126" s="5">
        <v>125</v>
      </c>
      <c r="B126" s="6">
        <v>40549</v>
      </c>
      <c r="C126" s="5">
        <v>1</v>
      </c>
      <c r="D126" s="5">
        <v>0</v>
      </c>
      <c r="E126" s="5">
        <v>1</v>
      </c>
      <c r="F126" s="5">
        <v>10</v>
      </c>
      <c r="G126" s="5" t="b">
        <v>0</v>
      </c>
      <c r="H126" s="5">
        <v>4</v>
      </c>
      <c r="I126" s="5">
        <v>1</v>
      </c>
      <c r="J126" s="5">
        <v>0.2</v>
      </c>
    </row>
    <row r="127" spans="1:10">
      <c r="A127" s="5">
        <v>126</v>
      </c>
      <c r="B127" s="6">
        <v>40549</v>
      </c>
      <c r="C127" s="5">
        <v>1</v>
      </c>
      <c r="D127" s="5">
        <v>0</v>
      </c>
      <c r="E127" s="5">
        <v>1</v>
      </c>
      <c r="F127" s="5">
        <v>11</v>
      </c>
      <c r="G127" s="5" t="b">
        <v>0</v>
      </c>
      <c r="H127" s="5">
        <v>4</v>
      </c>
      <c r="I127" s="5">
        <v>1</v>
      </c>
      <c r="J127" s="5">
        <v>0.22</v>
      </c>
    </row>
    <row r="128" spans="1:10">
      <c r="A128" s="5">
        <v>127</v>
      </c>
      <c r="B128" s="6">
        <v>40549</v>
      </c>
      <c r="C128" s="5">
        <v>1</v>
      </c>
      <c r="D128" s="5">
        <v>0</v>
      </c>
      <c r="E128" s="5">
        <v>1</v>
      </c>
      <c r="F128" s="5">
        <v>12</v>
      </c>
      <c r="G128" s="5" t="b">
        <v>0</v>
      </c>
      <c r="H128" s="5">
        <v>4</v>
      </c>
      <c r="I128" s="5">
        <v>1</v>
      </c>
      <c r="J128" s="5">
        <v>0.26</v>
      </c>
    </row>
    <row r="129" spans="1:10">
      <c r="A129" s="5">
        <v>128</v>
      </c>
      <c r="B129" s="6">
        <v>40549</v>
      </c>
      <c r="C129" s="5">
        <v>1</v>
      </c>
      <c r="D129" s="5">
        <v>0</v>
      </c>
      <c r="E129" s="5">
        <v>1</v>
      </c>
      <c r="F129" s="5">
        <v>13</v>
      </c>
      <c r="G129" s="5" t="b">
        <v>0</v>
      </c>
      <c r="H129" s="5">
        <v>4</v>
      </c>
      <c r="I129" s="5">
        <v>1</v>
      </c>
      <c r="J129" s="5">
        <v>0.26</v>
      </c>
    </row>
    <row r="130" spans="1:10">
      <c r="A130" s="5">
        <v>129</v>
      </c>
      <c r="B130" s="6">
        <v>40549</v>
      </c>
      <c r="C130" s="5">
        <v>1</v>
      </c>
      <c r="D130" s="5">
        <v>0</v>
      </c>
      <c r="E130" s="5">
        <v>1</v>
      </c>
      <c r="F130" s="5">
        <v>14</v>
      </c>
      <c r="G130" s="5" t="b">
        <v>0</v>
      </c>
      <c r="H130" s="5">
        <v>4</v>
      </c>
      <c r="I130" s="5">
        <v>1</v>
      </c>
      <c r="J130" s="5">
        <v>0.28000000000000003</v>
      </c>
    </row>
    <row r="131" spans="1:10">
      <c r="A131" s="5">
        <v>130</v>
      </c>
      <c r="B131" s="6">
        <v>40549</v>
      </c>
      <c r="C131" s="5">
        <v>1</v>
      </c>
      <c r="D131" s="5">
        <v>0</v>
      </c>
      <c r="E131" s="5">
        <v>1</v>
      </c>
      <c r="F131" s="5">
        <v>15</v>
      </c>
      <c r="G131" s="5" t="b">
        <v>0</v>
      </c>
      <c r="H131" s="5">
        <v>4</v>
      </c>
      <c r="I131" s="5">
        <v>1</v>
      </c>
      <c r="J131" s="5">
        <v>0.28000000000000003</v>
      </c>
    </row>
    <row r="132" spans="1:10">
      <c r="A132" s="5">
        <v>131</v>
      </c>
      <c r="B132" s="6">
        <v>40549</v>
      </c>
      <c r="C132" s="5">
        <v>1</v>
      </c>
      <c r="D132" s="5">
        <v>0</v>
      </c>
      <c r="E132" s="5">
        <v>1</v>
      </c>
      <c r="F132" s="5">
        <v>16</v>
      </c>
      <c r="G132" s="5" t="b">
        <v>0</v>
      </c>
      <c r="H132" s="5">
        <v>4</v>
      </c>
      <c r="I132" s="5">
        <v>1</v>
      </c>
      <c r="J132" s="5">
        <v>0.26</v>
      </c>
    </row>
    <row r="133" spans="1:10">
      <c r="A133" s="5">
        <v>132</v>
      </c>
      <c r="B133" s="6">
        <v>40549</v>
      </c>
      <c r="C133" s="5">
        <v>1</v>
      </c>
      <c r="D133" s="5">
        <v>0</v>
      </c>
      <c r="E133" s="5">
        <v>1</v>
      </c>
      <c r="F133" s="5">
        <v>17</v>
      </c>
      <c r="G133" s="5" t="b">
        <v>0</v>
      </c>
      <c r="H133" s="5">
        <v>4</v>
      </c>
      <c r="I133" s="5">
        <v>1</v>
      </c>
      <c r="J133" s="5">
        <v>0.22</v>
      </c>
    </row>
    <row r="134" spans="1:10">
      <c r="A134" s="5">
        <v>133</v>
      </c>
      <c r="B134" s="6">
        <v>40549</v>
      </c>
      <c r="C134" s="5">
        <v>1</v>
      </c>
      <c r="D134" s="5">
        <v>0</v>
      </c>
      <c r="E134" s="5">
        <v>1</v>
      </c>
      <c r="F134" s="5">
        <v>18</v>
      </c>
      <c r="G134" s="5" t="b">
        <v>0</v>
      </c>
      <c r="H134" s="5">
        <v>4</v>
      </c>
      <c r="I134" s="5">
        <v>1</v>
      </c>
      <c r="J134" s="5">
        <v>0.22</v>
      </c>
    </row>
    <row r="135" spans="1:10">
      <c r="A135" s="5">
        <v>134</v>
      </c>
      <c r="B135" s="6">
        <v>40549</v>
      </c>
      <c r="C135" s="5">
        <v>1</v>
      </c>
      <c r="D135" s="5">
        <v>0</v>
      </c>
      <c r="E135" s="5">
        <v>1</v>
      </c>
      <c r="F135" s="5">
        <v>19</v>
      </c>
      <c r="G135" s="5" t="b">
        <v>0</v>
      </c>
      <c r="H135" s="5">
        <v>4</v>
      </c>
      <c r="I135" s="5">
        <v>1</v>
      </c>
      <c r="J135" s="5">
        <v>0.22</v>
      </c>
    </row>
    <row r="136" spans="1:10">
      <c r="A136" s="5">
        <v>135</v>
      </c>
      <c r="B136" s="6">
        <v>40549</v>
      </c>
      <c r="C136" s="5">
        <v>1</v>
      </c>
      <c r="D136" s="5">
        <v>0</v>
      </c>
      <c r="E136" s="5">
        <v>1</v>
      </c>
      <c r="F136" s="5">
        <v>20</v>
      </c>
      <c r="G136" s="5" t="b">
        <v>0</v>
      </c>
      <c r="H136" s="5">
        <v>4</v>
      </c>
      <c r="I136" s="5">
        <v>1</v>
      </c>
      <c r="J136" s="5">
        <v>0.2</v>
      </c>
    </row>
    <row r="137" spans="1:10">
      <c r="A137" s="5">
        <v>136</v>
      </c>
      <c r="B137" s="6">
        <v>40549</v>
      </c>
      <c r="C137" s="5">
        <v>1</v>
      </c>
      <c r="D137" s="5">
        <v>0</v>
      </c>
      <c r="E137" s="5">
        <v>1</v>
      </c>
      <c r="F137" s="5">
        <v>21</v>
      </c>
      <c r="G137" s="5" t="b">
        <v>0</v>
      </c>
      <c r="H137" s="5">
        <v>4</v>
      </c>
      <c r="I137" s="5">
        <v>2</v>
      </c>
      <c r="J137" s="5">
        <v>0.22</v>
      </c>
    </row>
    <row r="138" spans="1:10">
      <c r="A138" s="5">
        <v>137</v>
      </c>
      <c r="B138" s="6">
        <v>40549</v>
      </c>
      <c r="C138" s="5">
        <v>1</v>
      </c>
      <c r="D138" s="5">
        <v>0</v>
      </c>
      <c r="E138" s="5">
        <v>1</v>
      </c>
      <c r="F138" s="5">
        <v>22</v>
      </c>
      <c r="G138" s="5" t="b">
        <v>0</v>
      </c>
      <c r="H138" s="5">
        <v>4</v>
      </c>
      <c r="I138" s="5">
        <v>2</v>
      </c>
      <c r="J138" s="5">
        <v>0.22</v>
      </c>
    </row>
    <row r="139" spans="1:10">
      <c r="A139" s="5">
        <v>138</v>
      </c>
      <c r="B139" s="6">
        <v>40549</v>
      </c>
      <c r="C139" s="5">
        <v>1</v>
      </c>
      <c r="D139" s="5">
        <v>0</v>
      </c>
      <c r="E139" s="5">
        <v>1</v>
      </c>
      <c r="F139" s="5">
        <v>23</v>
      </c>
      <c r="G139" s="5" t="b">
        <v>0</v>
      </c>
      <c r="H139" s="5">
        <v>4</v>
      </c>
      <c r="I139" s="5">
        <v>2</v>
      </c>
      <c r="J139" s="5">
        <v>0.2</v>
      </c>
    </row>
    <row r="140" spans="1:10">
      <c r="A140" s="5">
        <v>139</v>
      </c>
      <c r="B140" s="6">
        <v>40550</v>
      </c>
      <c r="C140" s="5">
        <v>1</v>
      </c>
      <c r="D140" s="5">
        <v>0</v>
      </c>
      <c r="E140" s="5">
        <v>1</v>
      </c>
      <c r="F140" s="5">
        <v>0</v>
      </c>
      <c r="G140" s="5" t="b">
        <v>0</v>
      </c>
      <c r="H140" s="5">
        <v>5</v>
      </c>
      <c r="I140" s="5">
        <v>2</v>
      </c>
      <c r="J140" s="5">
        <v>0.2</v>
      </c>
    </row>
    <row r="141" spans="1:10">
      <c r="A141" s="5">
        <v>140</v>
      </c>
      <c r="B141" s="6">
        <v>40550</v>
      </c>
      <c r="C141" s="5">
        <v>1</v>
      </c>
      <c r="D141" s="5">
        <v>0</v>
      </c>
      <c r="E141" s="5">
        <v>1</v>
      </c>
      <c r="F141" s="5">
        <v>1</v>
      </c>
      <c r="G141" s="5" t="b">
        <v>0</v>
      </c>
      <c r="H141" s="5">
        <v>5</v>
      </c>
      <c r="I141" s="5">
        <v>2</v>
      </c>
      <c r="J141" s="5">
        <v>0.2</v>
      </c>
    </row>
    <row r="142" spans="1:10">
      <c r="A142" s="5">
        <v>141</v>
      </c>
      <c r="B142" s="6">
        <v>40550</v>
      </c>
      <c r="C142" s="5">
        <v>1</v>
      </c>
      <c r="D142" s="5">
        <v>0</v>
      </c>
      <c r="E142" s="5">
        <v>1</v>
      </c>
      <c r="F142" s="5">
        <v>2</v>
      </c>
      <c r="G142" s="5" t="b">
        <v>0</v>
      </c>
      <c r="H142" s="5">
        <v>5</v>
      </c>
      <c r="I142" s="5">
        <v>2</v>
      </c>
      <c r="J142" s="5">
        <v>0.2</v>
      </c>
    </row>
    <row r="143" spans="1:10">
      <c r="A143" s="5">
        <v>142</v>
      </c>
      <c r="B143" s="6">
        <v>40550</v>
      </c>
      <c r="C143" s="5">
        <v>1</v>
      </c>
      <c r="D143" s="5">
        <v>0</v>
      </c>
      <c r="E143" s="5">
        <v>1</v>
      </c>
      <c r="F143" s="5">
        <v>4</v>
      </c>
      <c r="G143" s="5" t="b">
        <v>0</v>
      </c>
      <c r="H143" s="5">
        <v>5</v>
      </c>
      <c r="I143" s="5">
        <v>2</v>
      </c>
      <c r="J143" s="5">
        <v>0.2</v>
      </c>
    </row>
    <row r="144" spans="1:10">
      <c r="A144" s="5">
        <v>143</v>
      </c>
      <c r="B144" s="6">
        <v>40550</v>
      </c>
      <c r="C144" s="5">
        <v>1</v>
      </c>
      <c r="D144" s="5">
        <v>0</v>
      </c>
      <c r="E144" s="5">
        <v>1</v>
      </c>
      <c r="F144" s="5">
        <v>5</v>
      </c>
      <c r="G144" s="5" t="b">
        <v>0</v>
      </c>
      <c r="H144" s="5">
        <v>5</v>
      </c>
      <c r="I144" s="5">
        <v>3</v>
      </c>
      <c r="J144" s="5">
        <v>0.22</v>
      </c>
    </row>
    <row r="145" spans="1:10">
      <c r="A145" s="5">
        <v>144</v>
      </c>
      <c r="B145" s="6">
        <v>40550</v>
      </c>
      <c r="C145" s="5">
        <v>1</v>
      </c>
      <c r="D145" s="5">
        <v>0</v>
      </c>
      <c r="E145" s="5">
        <v>1</v>
      </c>
      <c r="F145" s="5">
        <v>6</v>
      </c>
      <c r="G145" s="5" t="b">
        <v>0</v>
      </c>
      <c r="H145" s="5">
        <v>5</v>
      </c>
      <c r="I145" s="5">
        <v>2</v>
      </c>
      <c r="J145" s="5">
        <v>0.2</v>
      </c>
    </row>
    <row r="146" spans="1:10">
      <c r="A146" s="5">
        <v>145</v>
      </c>
      <c r="B146" s="6">
        <v>40550</v>
      </c>
      <c r="C146" s="5">
        <v>1</v>
      </c>
      <c r="D146" s="5">
        <v>0</v>
      </c>
      <c r="E146" s="5">
        <v>1</v>
      </c>
      <c r="F146" s="5">
        <v>7</v>
      </c>
      <c r="G146" s="5" t="b">
        <v>0</v>
      </c>
      <c r="H146" s="5">
        <v>5</v>
      </c>
      <c r="I146" s="5">
        <v>1</v>
      </c>
      <c r="J146" s="5">
        <v>0.2</v>
      </c>
    </row>
    <row r="147" spans="1:10">
      <c r="A147" s="5">
        <v>146</v>
      </c>
      <c r="B147" s="6">
        <v>40550</v>
      </c>
      <c r="C147" s="5">
        <v>1</v>
      </c>
      <c r="D147" s="5">
        <v>0</v>
      </c>
      <c r="E147" s="5">
        <v>1</v>
      </c>
      <c r="F147" s="5">
        <v>8</v>
      </c>
      <c r="G147" s="5" t="b">
        <v>0</v>
      </c>
      <c r="H147" s="5">
        <v>5</v>
      </c>
      <c r="I147" s="5">
        <v>1</v>
      </c>
      <c r="J147" s="5">
        <v>0.2</v>
      </c>
    </row>
    <row r="148" spans="1:10">
      <c r="A148" s="5">
        <v>147</v>
      </c>
      <c r="B148" s="6">
        <v>40550</v>
      </c>
      <c r="C148" s="5">
        <v>1</v>
      </c>
      <c r="D148" s="5">
        <v>0</v>
      </c>
      <c r="E148" s="5">
        <v>1</v>
      </c>
      <c r="F148" s="5">
        <v>9</v>
      </c>
      <c r="G148" s="5" t="b">
        <v>0</v>
      </c>
      <c r="H148" s="5">
        <v>5</v>
      </c>
      <c r="I148" s="5">
        <v>1</v>
      </c>
      <c r="J148" s="5">
        <v>0.2</v>
      </c>
    </row>
    <row r="149" spans="1:10">
      <c r="A149" s="5">
        <v>148</v>
      </c>
      <c r="B149" s="6">
        <v>40550</v>
      </c>
      <c r="C149" s="5">
        <v>1</v>
      </c>
      <c r="D149" s="5">
        <v>0</v>
      </c>
      <c r="E149" s="5">
        <v>1</v>
      </c>
      <c r="F149" s="5">
        <v>10</v>
      </c>
      <c r="G149" s="5" t="b">
        <v>0</v>
      </c>
      <c r="H149" s="5">
        <v>5</v>
      </c>
      <c r="I149" s="5">
        <v>1</v>
      </c>
      <c r="J149" s="5">
        <v>0.22</v>
      </c>
    </row>
    <row r="150" spans="1:10">
      <c r="A150" s="5">
        <v>149</v>
      </c>
      <c r="B150" s="6">
        <v>40550</v>
      </c>
      <c r="C150" s="5">
        <v>1</v>
      </c>
      <c r="D150" s="5">
        <v>0</v>
      </c>
      <c r="E150" s="5">
        <v>1</v>
      </c>
      <c r="F150" s="5">
        <v>11</v>
      </c>
      <c r="G150" s="5" t="b">
        <v>0</v>
      </c>
      <c r="H150" s="5">
        <v>5</v>
      </c>
      <c r="I150" s="5">
        <v>2</v>
      </c>
      <c r="J150" s="5">
        <v>0.2</v>
      </c>
    </row>
    <row r="151" spans="1:10">
      <c r="A151" s="5">
        <v>150</v>
      </c>
      <c r="B151" s="6">
        <v>40550</v>
      </c>
      <c r="C151" s="5">
        <v>1</v>
      </c>
      <c r="D151" s="5">
        <v>0</v>
      </c>
      <c r="E151" s="5">
        <v>1</v>
      </c>
      <c r="F151" s="5">
        <v>12</v>
      </c>
      <c r="G151" s="5" t="b">
        <v>0</v>
      </c>
      <c r="H151" s="5">
        <v>5</v>
      </c>
      <c r="I151" s="5">
        <v>2</v>
      </c>
      <c r="J151" s="5">
        <v>0.2</v>
      </c>
    </row>
    <row r="152" spans="1:10">
      <c r="A152" s="5">
        <v>151</v>
      </c>
      <c r="B152" s="6">
        <v>40550</v>
      </c>
      <c r="C152" s="5">
        <v>1</v>
      </c>
      <c r="D152" s="5">
        <v>0</v>
      </c>
      <c r="E152" s="5">
        <v>1</v>
      </c>
      <c r="F152" s="5">
        <v>13</v>
      </c>
      <c r="G152" s="5" t="b">
        <v>0</v>
      </c>
      <c r="H152" s="5">
        <v>5</v>
      </c>
      <c r="I152" s="5">
        <v>2</v>
      </c>
      <c r="J152" s="5">
        <v>0.2</v>
      </c>
    </row>
    <row r="153" spans="1:10">
      <c r="A153" s="5">
        <v>152</v>
      </c>
      <c r="B153" s="6">
        <v>40550</v>
      </c>
      <c r="C153" s="5">
        <v>1</v>
      </c>
      <c r="D153" s="5">
        <v>0</v>
      </c>
      <c r="E153" s="5">
        <v>1</v>
      </c>
      <c r="F153" s="5">
        <v>14</v>
      </c>
      <c r="G153" s="5" t="b">
        <v>0</v>
      </c>
      <c r="H153" s="5">
        <v>5</v>
      </c>
      <c r="I153" s="5">
        <v>2</v>
      </c>
      <c r="J153" s="5">
        <v>0.2</v>
      </c>
    </row>
    <row r="154" spans="1:10">
      <c r="A154" s="5">
        <v>153</v>
      </c>
      <c r="B154" s="6">
        <v>40550</v>
      </c>
      <c r="C154" s="5">
        <v>1</v>
      </c>
      <c r="D154" s="5">
        <v>0</v>
      </c>
      <c r="E154" s="5">
        <v>1</v>
      </c>
      <c r="F154" s="5">
        <v>15</v>
      </c>
      <c r="G154" s="5" t="b">
        <v>0</v>
      </c>
      <c r="H154" s="5">
        <v>5</v>
      </c>
      <c r="I154" s="5">
        <v>2</v>
      </c>
      <c r="J154" s="5">
        <v>0.2</v>
      </c>
    </row>
    <row r="155" spans="1:10">
      <c r="A155" s="5">
        <v>154</v>
      </c>
      <c r="B155" s="6">
        <v>40550</v>
      </c>
      <c r="C155" s="5">
        <v>1</v>
      </c>
      <c r="D155" s="5">
        <v>0</v>
      </c>
      <c r="E155" s="5">
        <v>1</v>
      </c>
      <c r="F155" s="5">
        <v>16</v>
      </c>
      <c r="G155" s="5" t="b">
        <v>0</v>
      </c>
      <c r="H155" s="5">
        <v>5</v>
      </c>
      <c r="I155" s="5">
        <v>2</v>
      </c>
      <c r="J155" s="5">
        <v>0.2</v>
      </c>
    </row>
    <row r="156" spans="1:10">
      <c r="A156" s="5">
        <v>155</v>
      </c>
      <c r="B156" s="6">
        <v>40550</v>
      </c>
      <c r="C156" s="5">
        <v>1</v>
      </c>
      <c r="D156" s="5">
        <v>0</v>
      </c>
      <c r="E156" s="5">
        <v>1</v>
      </c>
      <c r="F156" s="5">
        <v>17</v>
      </c>
      <c r="G156" s="5" t="b">
        <v>0</v>
      </c>
      <c r="H156" s="5">
        <v>5</v>
      </c>
      <c r="I156" s="5">
        <v>2</v>
      </c>
      <c r="J156" s="5">
        <v>0.2</v>
      </c>
    </row>
    <row r="157" spans="1:10">
      <c r="A157" s="5">
        <v>156</v>
      </c>
      <c r="B157" s="6">
        <v>40550</v>
      </c>
      <c r="C157" s="5">
        <v>1</v>
      </c>
      <c r="D157" s="5">
        <v>0</v>
      </c>
      <c r="E157" s="5">
        <v>1</v>
      </c>
      <c r="F157" s="5">
        <v>18</v>
      </c>
      <c r="G157" s="5" t="b">
        <v>0</v>
      </c>
      <c r="H157" s="5">
        <v>5</v>
      </c>
      <c r="I157" s="5">
        <v>1</v>
      </c>
      <c r="J157" s="5">
        <v>0.2</v>
      </c>
    </row>
    <row r="158" spans="1:10">
      <c r="A158" s="5">
        <v>157</v>
      </c>
      <c r="B158" s="6">
        <v>40550</v>
      </c>
      <c r="C158" s="5">
        <v>1</v>
      </c>
      <c r="D158" s="5">
        <v>0</v>
      </c>
      <c r="E158" s="5">
        <v>1</v>
      </c>
      <c r="F158" s="5">
        <v>19</v>
      </c>
      <c r="G158" s="5" t="b">
        <v>0</v>
      </c>
      <c r="H158" s="5">
        <v>5</v>
      </c>
      <c r="I158" s="5">
        <v>1</v>
      </c>
      <c r="J158" s="5">
        <v>0.16</v>
      </c>
    </row>
    <row r="159" spans="1:10">
      <c r="A159" s="5">
        <v>158</v>
      </c>
      <c r="B159" s="6">
        <v>40550</v>
      </c>
      <c r="C159" s="5">
        <v>1</v>
      </c>
      <c r="D159" s="5">
        <v>0</v>
      </c>
      <c r="E159" s="5">
        <v>1</v>
      </c>
      <c r="F159" s="5">
        <v>20</v>
      </c>
      <c r="G159" s="5" t="b">
        <v>0</v>
      </c>
      <c r="H159" s="5">
        <v>5</v>
      </c>
      <c r="I159" s="5">
        <v>1</v>
      </c>
      <c r="J159" s="5">
        <v>0.18</v>
      </c>
    </row>
    <row r="160" spans="1:10">
      <c r="A160" s="5">
        <v>159</v>
      </c>
      <c r="B160" s="6">
        <v>40550</v>
      </c>
      <c r="C160" s="5">
        <v>1</v>
      </c>
      <c r="D160" s="5">
        <v>0</v>
      </c>
      <c r="E160" s="5">
        <v>1</v>
      </c>
      <c r="F160" s="5">
        <v>21</v>
      </c>
      <c r="G160" s="5" t="b">
        <v>0</v>
      </c>
      <c r="H160" s="5">
        <v>5</v>
      </c>
      <c r="I160" s="5">
        <v>1</v>
      </c>
      <c r="J160" s="5">
        <v>0.18</v>
      </c>
    </row>
    <row r="161" spans="1:10">
      <c r="A161" s="5">
        <v>160</v>
      </c>
      <c r="B161" s="6">
        <v>40550</v>
      </c>
      <c r="C161" s="5">
        <v>1</v>
      </c>
      <c r="D161" s="5">
        <v>0</v>
      </c>
      <c r="E161" s="5">
        <v>1</v>
      </c>
      <c r="F161" s="5">
        <v>22</v>
      </c>
      <c r="G161" s="5" t="b">
        <v>0</v>
      </c>
      <c r="H161" s="5">
        <v>5</v>
      </c>
      <c r="I161" s="5">
        <v>2</v>
      </c>
      <c r="J161" s="5">
        <v>0.18</v>
      </c>
    </row>
    <row r="162" spans="1:10">
      <c r="A162" s="5">
        <v>161</v>
      </c>
      <c r="B162" s="6">
        <v>40550</v>
      </c>
      <c r="C162" s="5">
        <v>1</v>
      </c>
      <c r="D162" s="5">
        <v>0</v>
      </c>
      <c r="E162" s="5">
        <v>1</v>
      </c>
      <c r="F162" s="5">
        <v>23</v>
      </c>
      <c r="G162" s="5" t="b">
        <v>0</v>
      </c>
      <c r="H162" s="5">
        <v>5</v>
      </c>
      <c r="I162" s="5">
        <v>2</v>
      </c>
      <c r="J162" s="5">
        <v>0.18</v>
      </c>
    </row>
    <row r="163" spans="1:10">
      <c r="A163" s="5">
        <v>162</v>
      </c>
      <c r="B163" s="6">
        <v>40551</v>
      </c>
      <c r="C163" s="5">
        <v>1</v>
      </c>
      <c r="D163" s="5">
        <v>0</v>
      </c>
      <c r="E163" s="5">
        <v>1</v>
      </c>
      <c r="F163" s="5">
        <v>0</v>
      </c>
      <c r="G163" s="5" t="b">
        <v>0</v>
      </c>
      <c r="H163" s="5">
        <v>6</v>
      </c>
      <c r="I163" s="5">
        <v>2</v>
      </c>
      <c r="J163" s="5">
        <v>0.18</v>
      </c>
    </row>
    <row r="164" spans="1:10">
      <c r="A164" s="5">
        <v>163</v>
      </c>
      <c r="B164" s="6">
        <v>40551</v>
      </c>
      <c r="C164" s="5">
        <v>1</v>
      </c>
      <c r="D164" s="5">
        <v>0</v>
      </c>
      <c r="E164" s="5">
        <v>1</v>
      </c>
      <c r="F164" s="5">
        <v>1</v>
      </c>
      <c r="G164" s="5" t="b">
        <v>0</v>
      </c>
      <c r="H164" s="5">
        <v>6</v>
      </c>
      <c r="I164" s="5">
        <v>2</v>
      </c>
      <c r="J164" s="5">
        <v>0.18</v>
      </c>
    </row>
    <row r="165" spans="1:10">
      <c r="A165" s="5">
        <v>164</v>
      </c>
      <c r="B165" s="6">
        <v>40551</v>
      </c>
      <c r="C165" s="5">
        <v>1</v>
      </c>
      <c r="D165" s="5">
        <v>0</v>
      </c>
      <c r="E165" s="5">
        <v>1</v>
      </c>
      <c r="F165" s="5">
        <v>2</v>
      </c>
      <c r="G165" s="5" t="b">
        <v>0</v>
      </c>
      <c r="H165" s="5">
        <v>6</v>
      </c>
      <c r="I165" s="5">
        <v>2</v>
      </c>
      <c r="J165" s="5">
        <v>0.18</v>
      </c>
    </row>
    <row r="166" spans="1:10">
      <c r="A166" s="5">
        <v>165</v>
      </c>
      <c r="B166" s="6">
        <v>40551</v>
      </c>
      <c r="C166" s="5">
        <v>1</v>
      </c>
      <c r="D166" s="5">
        <v>0</v>
      </c>
      <c r="E166" s="5">
        <v>1</v>
      </c>
      <c r="F166" s="5">
        <v>3</v>
      </c>
      <c r="G166" s="5" t="b">
        <v>0</v>
      </c>
      <c r="H166" s="5">
        <v>6</v>
      </c>
      <c r="I166" s="5">
        <v>3</v>
      </c>
      <c r="J166" s="5">
        <v>0.18</v>
      </c>
    </row>
    <row r="167" spans="1:10">
      <c r="A167" s="5">
        <v>166</v>
      </c>
      <c r="B167" s="6">
        <v>40551</v>
      </c>
      <c r="C167" s="5">
        <v>1</v>
      </c>
      <c r="D167" s="5">
        <v>0</v>
      </c>
      <c r="E167" s="5">
        <v>1</v>
      </c>
      <c r="F167" s="5">
        <v>4</v>
      </c>
      <c r="G167" s="5" t="b">
        <v>0</v>
      </c>
      <c r="H167" s="5">
        <v>6</v>
      </c>
      <c r="I167" s="5">
        <v>3</v>
      </c>
      <c r="J167" s="5">
        <v>0.18</v>
      </c>
    </row>
    <row r="168" spans="1:10">
      <c r="A168" s="5">
        <v>167</v>
      </c>
      <c r="B168" s="6">
        <v>40551</v>
      </c>
      <c r="C168" s="5">
        <v>1</v>
      </c>
      <c r="D168" s="5">
        <v>0</v>
      </c>
      <c r="E168" s="5">
        <v>1</v>
      </c>
      <c r="F168" s="5">
        <v>5</v>
      </c>
      <c r="G168" s="5" t="b">
        <v>0</v>
      </c>
      <c r="H168" s="5">
        <v>6</v>
      </c>
      <c r="I168" s="5">
        <v>2</v>
      </c>
      <c r="J168" s="5">
        <v>0.16</v>
      </c>
    </row>
    <row r="169" spans="1:10">
      <c r="A169" s="5">
        <v>168</v>
      </c>
      <c r="B169" s="6">
        <v>40551</v>
      </c>
      <c r="C169" s="5">
        <v>1</v>
      </c>
      <c r="D169" s="5">
        <v>0</v>
      </c>
      <c r="E169" s="5">
        <v>1</v>
      </c>
      <c r="F169" s="5">
        <v>6</v>
      </c>
      <c r="G169" s="5" t="b">
        <v>0</v>
      </c>
      <c r="H169" s="5">
        <v>6</v>
      </c>
      <c r="I169" s="5">
        <v>2</v>
      </c>
      <c r="J169" s="5">
        <v>0.16</v>
      </c>
    </row>
    <row r="170" spans="1:10">
      <c r="A170" s="5">
        <v>169</v>
      </c>
      <c r="B170" s="6">
        <v>40551</v>
      </c>
      <c r="C170" s="5">
        <v>1</v>
      </c>
      <c r="D170" s="5">
        <v>0</v>
      </c>
      <c r="E170" s="5">
        <v>1</v>
      </c>
      <c r="F170" s="5">
        <v>7</v>
      </c>
      <c r="G170" s="5" t="b">
        <v>0</v>
      </c>
      <c r="H170" s="5">
        <v>6</v>
      </c>
      <c r="I170" s="5">
        <v>2</v>
      </c>
      <c r="J170" s="5">
        <v>0.16</v>
      </c>
    </row>
    <row r="171" spans="1:10">
      <c r="A171" s="5">
        <v>170</v>
      </c>
      <c r="B171" s="6">
        <v>40551</v>
      </c>
      <c r="C171" s="5">
        <v>1</v>
      </c>
      <c r="D171" s="5">
        <v>0</v>
      </c>
      <c r="E171" s="5">
        <v>1</v>
      </c>
      <c r="F171" s="5">
        <v>8</v>
      </c>
      <c r="G171" s="5" t="b">
        <v>0</v>
      </c>
      <c r="H171" s="5">
        <v>6</v>
      </c>
      <c r="I171" s="5">
        <v>3</v>
      </c>
      <c r="J171" s="5">
        <v>0.16</v>
      </c>
    </row>
    <row r="172" spans="1:10">
      <c r="A172" s="5">
        <v>171</v>
      </c>
      <c r="B172" s="6">
        <v>40551</v>
      </c>
      <c r="C172" s="5">
        <v>1</v>
      </c>
      <c r="D172" s="5">
        <v>0</v>
      </c>
      <c r="E172" s="5">
        <v>1</v>
      </c>
      <c r="F172" s="5">
        <v>9</v>
      </c>
      <c r="G172" s="5" t="b">
        <v>0</v>
      </c>
      <c r="H172" s="5">
        <v>6</v>
      </c>
      <c r="I172" s="5">
        <v>3</v>
      </c>
      <c r="J172" s="5">
        <v>0.16</v>
      </c>
    </row>
    <row r="173" spans="1:10">
      <c r="A173" s="5">
        <v>172</v>
      </c>
      <c r="B173" s="6">
        <v>40551</v>
      </c>
      <c r="C173" s="5">
        <v>1</v>
      </c>
      <c r="D173" s="5">
        <v>0</v>
      </c>
      <c r="E173" s="5">
        <v>1</v>
      </c>
      <c r="F173" s="5">
        <v>10</v>
      </c>
      <c r="G173" s="5" t="b">
        <v>0</v>
      </c>
      <c r="H173" s="5">
        <v>6</v>
      </c>
      <c r="I173" s="5">
        <v>2</v>
      </c>
      <c r="J173" s="5">
        <v>0.18</v>
      </c>
    </row>
    <row r="174" spans="1:10">
      <c r="A174" s="5">
        <v>173</v>
      </c>
      <c r="B174" s="6">
        <v>40551</v>
      </c>
      <c r="C174" s="5">
        <v>1</v>
      </c>
      <c r="D174" s="5">
        <v>0</v>
      </c>
      <c r="E174" s="5">
        <v>1</v>
      </c>
      <c r="F174" s="5">
        <v>11</v>
      </c>
      <c r="G174" s="5" t="b">
        <v>0</v>
      </c>
      <c r="H174" s="5">
        <v>6</v>
      </c>
      <c r="I174" s="5">
        <v>2</v>
      </c>
      <c r="J174" s="5">
        <v>0.2</v>
      </c>
    </row>
    <row r="175" spans="1:10">
      <c r="A175" s="5">
        <v>174</v>
      </c>
      <c r="B175" s="6">
        <v>40551</v>
      </c>
      <c r="C175" s="5">
        <v>1</v>
      </c>
      <c r="D175" s="5">
        <v>0</v>
      </c>
      <c r="E175" s="5">
        <v>1</v>
      </c>
      <c r="F175" s="5">
        <v>12</v>
      </c>
      <c r="G175" s="5" t="b">
        <v>0</v>
      </c>
      <c r="H175" s="5">
        <v>6</v>
      </c>
      <c r="I175" s="5">
        <v>2</v>
      </c>
      <c r="J175" s="5">
        <v>0.2</v>
      </c>
    </row>
    <row r="176" spans="1:10">
      <c r="A176" s="5">
        <v>175</v>
      </c>
      <c r="B176" s="6">
        <v>40551</v>
      </c>
      <c r="C176" s="5">
        <v>1</v>
      </c>
      <c r="D176" s="5">
        <v>0</v>
      </c>
      <c r="E176" s="5">
        <v>1</v>
      </c>
      <c r="F176" s="5">
        <v>13</v>
      </c>
      <c r="G176" s="5" t="b">
        <v>0</v>
      </c>
      <c r="H176" s="5">
        <v>6</v>
      </c>
      <c r="I176" s="5">
        <v>1</v>
      </c>
      <c r="J176" s="5">
        <v>0.2</v>
      </c>
    </row>
    <row r="177" spans="1:10">
      <c r="A177" s="5">
        <v>176</v>
      </c>
      <c r="B177" s="6">
        <v>40551</v>
      </c>
      <c r="C177" s="5">
        <v>1</v>
      </c>
      <c r="D177" s="5">
        <v>0</v>
      </c>
      <c r="E177" s="5">
        <v>1</v>
      </c>
      <c r="F177" s="5">
        <v>14</v>
      </c>
      <c r="G177" s="5" t="b">
        <v>0</v>
      </c>
      <c r="H177" s="5">
        <v>6</v>
      </c>
      <c r="I177" s="5">
        <v>1</v>
      </c>
      <c r="J177" s="5">
        <v>0.2</v>
      </c>
    </row>
    <row r="178" spans="1:10">
      <c r="A178" s="5">
        <v>177</v>
      </c>
      <c r="B178" s="6">
        <v>40551</v>
      </c>
      <c r="C178" s="5">
        <v>1</v>
      </c>
      <c r="D178" s="5">
        <v>0</v>
      </c>
      <c r="E178" s="5">
        <v>1</v>
      </c>
      <c r="F178" s="5">
        <v>15</v>
      </c>
      <c r="G178" s="5" t="b">
        <v>0</v>
      </c>
      <c r="H178" s="5">
        <v>6</v>
      </c>
      <c r="I178" s="5">
        <v>1</v>
      </c>
      <c r="J178" s="5">
        <v>0.2</v>
      </c>
    </row>
    <row r="179" spans="1:10">
      <c r="A179" s="5">
        <v>178</v>
      </c>
      <c r="B179" s="6">
        <v>40551</v>
      </c>
      <c r="C179" s="5">
        <v>1</v>
      </c>
      <c r="D179" s="5">
        <v>0</v>
      </c>
      <c r="E179" s="5">
        <v>1</v>
      </c>
      <c r="F179" s="5">
        <v>16</v>
      </c>
      <c r="G179" s="5" t="b">
        <v>0</v>
      </c>
      <c r="H179" s="5">
        <v>6</v>
      </c>
      <c r="I179" s="5">
        <v>1</v>
      </c>
      <c r="J179" s="5">
        <v>0.18</v>
      </c>
    </row>
    <row r="180" spans="1:10">
      <c r="A180" s="5">
        <v>179</v>
      </c>
      <c r="B180" s="6">
        <v>40551</v>
      </c>
      <c r="C180" s="5">
        <v>1</v>
      </c>
      <c r="D180" s="5">
        <v>0</v>
      </c>
      <c r="E180" s="5">
        <v>1</v>
      </c>
      <c r="F180" s="5">
        <v>17</v>
      </c>
      <c r="G180" s="5" t="b">
        <v>0</v>
      </c>
      <c r="H180" s="5">
        <v>6</v>
      </c>
      <c r="I180" s="5">
        <v>1</v>
      </c>
      <c r="J180" s="5">
        <v>0.16</v>
      </c>
    </row>
    <row r="181" spans="1:10">
      <c r="A181" s="5">
        <v>180</v>
      </c>
      <c r="B181" s="6">
        <v>40551</v>
      </c>
      <c r="C181" s="5">
        <v>1</v>
      </c>
      <c r="D181" s="5">
        <v>0</v>
      </c>
      <c r="E181" s="5">
        <v>1</v>
      </c>
      <c r="F181" s="5">
        <v>18</v>
      </c>
      <c r="G181" s="5" t="b">
        <v>0</v>
      </c>
      <c r="H181" s="5">
        <v>6</v>
      </c>
      <c r="I181" s="5">
        <v>1</v>
      </c>
      <c r="J181" s="5">
        <v>0.14000000000000001</v>
      </c>
    </row>
    <row r="182" spans="1:10">
      <c r="A182" s="5">
        <v>181</v>
      </c>
      <c r="B182" s="6">
        <v>40551</v>
      </c>
      <c r="C182" s="5">
        <v>1</v>
      </c>
      <c r="D182" s="5">
        <v>0</v>
      </c>
      <c r="E182" s="5">
        <v>1</v>
      </c>
      <c r="F182" s="5">
        <v>19</v>
      </c>
      <c r="G182" s="5" t="b">
        <v>0</v>
      </c>
      <c r="H182" s="5">
        <v>6</v>
      </c>
      <c r="I182" s="5">
        <v>1</v>
      </c>
      <c r="J182" s="5">
        <v>0.14000000000000001</v>
      </c>
    </row>
    <row r="183" spans="1:10">
      <c r="A183" s="5">
        <v>182</v>
      </c>
      <c r="B183" s="6">
        <v>40551</v>
      </c>
      <c r="C183" s="5">
        <v>1</v>
      </c>
      <c r="D183" s="5">
        <v>0</v>
      </c>
      <c r="E183" s="5">
        <v>1</v>
      </c>
      <c r="F183" s="5">
        <v>20</v>
      </c>
      <c r="G183" s="5" t="b">
        <v>0</v>
      </c>
      <c r="H183" s="5">
        <v>6</v>
      </c>
      <c r="I183" s="5">
        <v>1</v>
      </c>
      <c r="J183" s="5">
        <v>0.12</v>
      </c>
    </row>
    <row r="184" spans="1:10">
      <c r="A184" s="5">
        <v>183</v>
      </c>
      <c r="B184" s="6">
        <v>40551</v>
      </c>
      <c r="C184" s="5">
        <v>1</v>
      </c>
      <c r="D184" s="5">
        <v>0</v>
      </c>
      <c r="E184" s="5">
        <v>1</v>
      </c>
      <c r="F184" s="5">
        <v>21</v>
      </c>
      <c r="G184" s="5" t="b">
        <v>0</v>
      </c>
      <c r="H184" s="5">
        <v>6</v>
      </c>
      <c r="I184" s="5">
        <v>1</v>
      </c>
      <c r="J184" s="5">
        <v>0.12</v>
      </c>
    </row>
    <row r="185" spans="1:10">
      <c r="A185" s="5">
        <v>184</v>
      </c>
      <c r="B185" s="6">
        <v>40551</v>
      </c>
      <c r="C185" s="5">
        <v>1</v>
      </c>
      <c r="D185" s="5">
        <v>0</v>
      </c>
      <c r="E185" s="5">
        <v>1</v>
      </c>
      <c r="F185" s="5">
        <v>22</v>
      </c>
      <c r="G185" s="5" t="b">
        <v>0</v>
      </c>
      <c r="H185" s="5">
        <v>6</v>
      </c>
      <c r="I185" s="5">
        <v>1</v>
      </c>
      <c r="J185" s="5">
        <v>0.12</v>
      </c>
    </row>
    <row r="186" spans="1:10">
      <c r="A186" s="5">
        <v>185</v>
      </c>
      <c r="B186" s="6">
        <v>40551</v>
      </c>
      <c r="C186" s="5">
        <v>1</v>
      </c>
      <c r="D186" s="5">
        <v>0</v>
      </c>
      <c r="E186" s="5">
        <v>1</v>
      </c>
      <c r="F186" s="5">
        <v>23</v>
      </c>
      <c r="G186" s="5" t="b">
        <v>0</v>
      </c>
      <c r="H186" s="5">
        <v>6</v>
      </c>
      <c r="I186" s="5">
        <v>1</v>
      </c>
      <c r="J186" s="5">
        <v>0.1</v>
      </c>
    </row>
    <row r="187" spans="1:10">
      <c r="A187" s="5">
        <v>186</v>
      </c>
      <c r="B187" s="6">
        <v>40552</v>
      </c>
      <c r="C187" s="5">
        <v>1</v>
      </c>
      <c r="D187" s="5">
        <v>0</v>
      </c>
      <c r="E187" s="5">
        <v>1</v>
      </c>
      <c r="F187" s="5">
        <v>0</v>
      </c>
      <c r="G187" s="5" t="b">
        <v>0</v>
      </c>
      <c r="H187" s="5">
        <v>0</v>
      </c>
      <c r="I187" s="5">
        <v>1</v>
      </c>
      <c r="J187" s="5">
        <v>0.1</v>
      </c>
    </row>
    <row r="188" spans="1:10">
      <c r="A188" s="5">
        <v>187</v>
      </c>
      <c r="B188" s="6">
        <v>40552</v>
      </c>
      <c r="C188" s="5">
        <v>1</v>
      </c>
      <c r="D188" s="5">
        <v>0</v>
      </c>
      <c r="E188" s="5">
        <v>1</v>
      </c>
      <c r="F188" s="5">
        <v>1</v>
      </c>
      <c r="G188" s="5" t="b">
        <v>0</v>
      </c>
      <c r="H188" s="5">
        <v>0</v>
      </c>
      <c r="I188" s="5">
        <v>1</v>
      </c>
      <c r="J188" s="5">
        <v>0.1</v>
      </c>
    </row>
    <row r="189" spans="1:10">
      <c r="A189" s="5">
        <v>188</v>
      </c>
      <c r="B189" s="6">
        <v>40552</v>
      </c>
      <c r="C189" s="5">
        <v>1</v>
      </c>
      <c r="D189" s="5">
        <v>0</v>
      </c>
      <c r="E189" s="5">
        <v>1</v>
      </c>
      <c r="F189" s="5">
        <v>2</v>
      </c>
      <c r="G189" s="5" t="b">
        <v>0</v>
      </c>
      <c r="H189" s="5">
        <v>0</v>
      </c>
      <c r="I189" s="5">
        <v>1</v>
      </c>
      <c r="J189" s="5">
        <v>0.1</v>
      </c>
    </row>
    <row r="190" spans="1:10">
      <c r="A190" s="5">
        <v>189</v>
      </c>
      <c r="B190" s="6">
        <v>40552</v>
      </c>
      <c r="C190" s="5">
        <v>1</v>
      </c>
      <c r="D190" s="5">
        <v>0</v>
      </c>
      <c r="E190" s="5">
        <v>1</v>
      </c>
      <c r="F190" s="5">
        <v>3</v>
      </c>
      <c r="G190" s="5" t="b">
        <v>0</v>
      </c>
      <c r="H190" s="5">
        <v>0</v>
      </c>
      <c r="I190" s="5">
        <v>1</v>
      </c>
      <c r="J190" s="5">
        <v>0.1</v>
      </c>
    </row>
    <row r="191" spans="1:10">
      <c r="A191" s="5">
        <v>190</v>
      </c>
      <c r="B191" s="6">
        <v>40552</v>
      </c>
      <c r="C191" s="5">
        <v>1</v>
      </c>
      <c r="D191" s="5">
        <v>0</v>
      </c>
      <c r="E191" s="5">
        <v>1</v>
      </c>
      <c r="F191" s="5">
        <v>4</v>
      </c>
      <c r="G191" s="5" t="b">
        <v>0</v>
      </c>
      <c r="H191" s="5">
        <v>0</v>
      </c>
      <c r="I191" s="5">
        <v>1</v>
      </c>
      <c r="J191" s="5">
        <v>0.08</v>
      </c>
    </row>
    <row r="192" spans="1:10">
      <c r="A192" s="5">
        <v>191</v>
      </c>
      <c r="B192" s="6">
        <v>40552</v>
      </c>
      <c r="C192" s="5">
        <v>1</v>
      </c>
      <c r="D192" s="5">
        <v>0</v>
      </c>
      <c r="E192" s="5">
        <v>1</v>
      </c>
      <c r="F192" s="5">
        <v>5</v>
      </c>
      <c r="G192" s="5" t="b">
        <v>0</v>
      </c>
      <c r="H192" s="5">
        <v>0</v>
      </c>
      <c r="I192" s="5">
        <v>1</v>
      </c>
      <c r="J192" s="5">
        <v>0.08</v>
      </c>
    </row>
    <row r="193" spans="1:10">
      <c r="A193" s="5">
        <v>192</v>
      </c>
      <c r="B193" s="6">
        <v>40552</v>
      </c>
      <c r="C193" s="5">
        <v>1</v>
      </c>
      <c r="D193" s="5">
        <v>0</v>
      </c>
      <c r="E193" s="5">
        <v>1</v>
      </c>
      <c r="F193" s="5">
        <v>6</v>
      </c>
      <c r="G193" s="5" t="b">
        <v>0</v>
      </c>
      <c r="H193" s="5">
        <v>0</v>
      </c>
      <c r="I193" s="5">
        <v>1</v>
      </c>
      <c r="J193" s="5">
        <v>0.1</v>
      </c>
    </row>
    <row r="194" spans="1:10">
      <c r="A194" s="5">
        <v>193</v>
      </c>
      <c r="B194" s="6">
        <v>40552</v>
      </c>
      <c r="C194" s="5">
        <v>1</v>
      </c>
      <c r="D194" s="5">
        <v>0</v>
      </c>
      <c r="E194" s="5">
        <v>1</v>
      </c>
      <c r="F194" s="5">
        <v>7</v>
      </c>
      <c r="G194" s="5" t="b">
        <v>0</v>
      </c>
      <c r="H194" s="5">
        <v>0</v>
      </c>
      <c r="I194" s="5">
        <v>1</v>
      </c>
      <c r="J194" s="5">
        <v>0.08</v>
      </c>
    </row>
    <row r="195" spans="1:10">
      <c r="A195" s="5">
        <v>194</v>
      </c>
      <c r="B195" s="6">
        <v>40552</v>
      </c>
      <c r="C195" s="5">
        <v>1</v>
      </c>
      <c r="D195" s="5">
        <v>0</v>
      </c>
      <c r="E195" s="5">
        <v>1</v>
      </c>
      <c r="F195" s="5">
        <v>8</v>
      </c>
      <c r="G195" s="5" t="b">
        <v>0</v>
      </c>
      <c r="H195" s="5">
        <v>0</v>
      </c>
      <c r="I195" s="5">
        <v>1</v>
      </c>
      <c r="J195" s="5">
        <v>0.1</v>
      </c>
    </row>
    <row r="196" spans="1:10">
      <c r="A196" s="5">
        <v>195</v>
      </c>
      <c r="B196" s="6">
        <v>40552</v>
      </c>
      <c r="C196" s="5">
        <v>1</v>
      </c>
      <c r="D196" s="5">
        <v>0</v>
      </c>
      <c r="E196" s="5">
        <v>1</v>
      </c>
      <c r="F196" s="5">
        <v>9</v>
      </c>
      <c r="G196" s="5" t="b">
        <v>0</v>
      </c>
      <c r="H196" s="5">
        <v>0</v>
      </c>
      <c r="I196" s="5">
        <v>1</v>
      </c>
      <c r="J196" s="5">
        <v>0.12</v>
      </c>
    </row>
    <row r="197" spans="1:10">
      <c r="A197" s="5">
        <v>196</v>
      </c>
      <c r="B197" s="6">
        <v>40552</v>
      </c>
      <c r="C197" s="5">
        <v>1</v>
      </c>
      <c r="D197" s="5">
        <v>0</v>
      </c>
      <c r="E197" s="5">
        <v>1</v>
      </c>
      <c r="F197" s="5">
        <v>10</v>
      </c>
      <c r="G197" s="5" t="b">
        <v>0</v>
      </c>
      <c r="H197" s="5">
        <v>0</v>
      </c>
      <c r="I197" s="5">
        <v>1</v>
      </c>
      <c r="J197" s="5">
        <v>0.14000000000000001</v>
      </c>
    </row>
    <row r="198" spans="1:10">
      <c r="A198" s="5">
        <v>197</v>
      </c>
      <c r="B198" s="6">
        <v>40552</v>
      </c>
      <c r="C198" s="5">
        <v>1</v>
      </c>
      <c r="D198" s="5">
        <v>0</v>
      </c>
      <c r="E198" s="5">
        <v>1</v>
      </c>
      <c r="F198" s="5">
        <v>11</v>
      </c>
      <c r="G198" s="5" t="b">
        <v>0</v>
      </c>
      <c r="H198" s="5">
        <v>0</v>
      </c>
      <c r="I198" s="5">
        <v>1</v>
      </c>
      <c r="J198" s="5">
        <v>0.16</v>
      </c>
    </row>
    <row r="199" spans="1:10">
      <c r="A199" s="5">
        <v>198</v>
      </c>
      <c r="B199" s="6">
        <v>40552</v>
      </c>
      <c r="C199" s="5">
        <v>1</v>
      </c>
      <c r="D199" s="5">
        <v>0</v>
      </c>
      <c r="E199" s="5">
        <v>1</v>
      </c>
      <c r="F199" s="5">
        <v>12</v>
      </c>
      <c r="G199" s="5" t="b">
        <v>0</v>
      </c>
      <c r="H199" s="5">
        <v>0</v>
      </c>
      <c r="I199" s="5">
        <v>1</v>
      </c>
      <c r="J199" s="5">
        <v>0.18</v>
      </c>
    </row>
    <row r="200" spans="1:10">
      <c r="A200" s="5">
        <v>199</v>
      </c>
      <c r="B200" s="6">
        <v>40552</v>
      </c>
      <c r="C200" s="5">
        <v>1</v>
      </c>
      <c r="D200" s="5">
        <v>0</v>
      </c>
      <c r="E200" s="5">
        <v>1</v>
      </c>
      <c r="F200" s="5">
        <v>13</v>
      </c>
      <c r="G200" s="5" t="b">
        <v>0</v>
      </c>
      <c r="H200" s="5">
        <v>0</v>
      </c>
      <c r="I200" s="5">
        <v>1</v>
      </c>
      <c r="J200" s="5">
        <v>0.2</v>
      </c>
    </row>
    <row r="201" spans="1:10">
      <c r="A201" s="5">
        <v>200</v>
      </c>
      <c r="B201" s="6">
        <v>40552</v>
      </c>
      <c r="C201" s="5">
        <v>1</v>
      </c>
      <c r="D201" s="5">
        <v>0</v>
      </c>
      <c r="E201" s="5">
        <v>1</v>
      </c>
      <c r="F201" s="5">
        <v>14</v>
      </c>
      <c r="G201" s="5" t="b">
        <v>0</v>
      </c>
      <c r="H201" s="5">
        <v>0</v>
      </c>
      <c r="I201" s="5">
        <v>1</v>
      </c>
      <c r="J201" s="5">
        <v>0.22</v>
      </c>
    </row>
    <row r="202" spans="1:10">
      <c r="A202" s="5">
        <v>201</v>
      </c>
      <c r="B202" s="6">
        <v>40552</v>
      </c>
      <c r="C202" s="5">
        <v>1</v>
      </c>
      <c r="D202" s="5">
        <v>0</v>
      </c>
      <c r="E202" s="5">
        <v>1</v>
      </c>
      <c r="F202" s="5">
        <v>15</v>
      </c>
      <c r="G202" s="5" t="b">
        <v>0</v>
      </c>
      <c r="H202" s="5">
        <v>0</v>
      </c>
      <c r="I202" s="5">
        <v>1</v>
      </c>
      <c r="J202" s="5">
        <v>0.22</v>
      </c>
    </row>
    <row r="203" spans="1:10">
      <c r="A203" s="5">
        <v>202</v>
      </c>
      <c r="B203" s="6">
        <v>40552</v>
      </c>
      <c r="C203" s="5">
        <v>1</v>
      </c>
      <c r="D203" s="5">
        <v>0</v>
      </c>
      <c r="E203" s="5">
        <v>1</v>
      </c>
      <c r="F203" s="5">
        <v>16</v>
      </c>
      <c r="G203" s="5" t="b">
        <v>0</v>
      </c>
      <c r="H203" s="5">
        <v>0</v>
      </c>
      <c r="I203" s="5">
        <v>1</v>
      </c>
      <c r="J203" s="5">
        <v>0.2</v>
      </c>
    </row>
    <row r="204" spans="1:10">
      <c r="A204" s="5">
        <v>203</v>
      </c>
      <c r="B204" s="6">
        <v>40552</v>
      </c>
      <c r="C204" s="5">
        <v>1</v>
      </c>
      <c r="D204" s="5">
        <v>0</v>
      </c>
      <c r="E204" s="5">
        <v>1</v>
      </c>
      <c r="F204" s="5">
        <v>17</v>
      </c>
      <c r="G204" s="5" t="b">
        <v>0</v>
      </c>
      <c r="H204" s="5">
        <v>0</v>
      </c>
      <c r="I204" s="5">
        <v>1</v>
      </c>
      <c r="J204" s="5">
        <v>0.18</v>
      </c>
    </row>
    <row r="205" spans="1:10">
      <c r="A205" s="5">
        <v>204</v>
      </c>
      <c r="B205" s="6">
        <v>40552</v>
      </c>
      <c r="C205" s="5">
        <v>1</v>
      </c>
      <c r="D205" s="5">
        <v>0</v>
      </c>
      <c r="E205" s="5">
        <v>1</v>
      </c>
      <c r="F205" s="5">
        <v>18</v>
      </c>
      <c r="G205" s="5" t="b">
        <v>0</v>
      </c>
      <c r="H205" s="5">
        <v>0</v>
      </c>
      <c r="I205" s="5">
        <v>1</v>
      </c>
      <c r="J205" s="5">
        <v>0.16</v>
      </c>
    </row>
    <row r="206" spans="1:10">
      <c r="A206" s="5">
        <v>205</v>
      </c>
      <c r="B206" s="6">
        <v>40552</v>
      </c>
      <c r="C206" s="5">
        <v>1</v>
      </c>
      <c r="D206" s="5">
        <v>0</v>
      </c>
      <c r="E206" s="5">
        <v>1</v>
      </c>
      <c r="F206" s="5">
        <v>19</v>
      </c>
      <c r="G206" s="5" t="b">
        <v>0</v>
      </c>
      <c r="H206" s="5">
        <v>0</v>
      </c>
      <c r="I206" s="5">
        <v>1</v>
      </c>
      <c r="J206" s="5">
        <v>0.16</v>
      </c>
    </row>
    <row r="207" spans="1:10">
      <c r="A207" s="5">
        <v>206</v>
      </c>
      <c r="B207" s="6">
        <v>40552</v>
      </c>
      <c r="C207" s="5">
        <v>1</v>
      </c>
      <c r="D207" s="5">
        <v>0</v>
      </c>
      <c r="E207" s="5">
        <v>1</v>
      </c>
      <c r="F207" s="5">
        <v>20</v>
      </c>
      <c r="G207" s="5" t="b">
        <v>0</v>
      </c>
      <c r="H207" s="5">
        <v>0</v>
      </c>
      <c r="I207" s="5">
        <v>1</v>
      </c>
      <c r="J207" s="5">
        <v>0.14000000000000001</v>
      </c>
    </row>
    <row r="208" spans="1:10">
      <c r="A208" s="5">
        <v>207</v>
      </c>
      <c r="B208" s="6">
        <v>40552</v>
      </c>
      <c r="C208" s="5">
        <v>1</v>
      </c>
      <c r="D208" s="5">
        <v>0</v>
      </c>
      <c r="E208" s="5">
        <v>1</v>
      </c>
      <c r="F208" s="5">
        <v>21</v>
      </c>
      <c r="G208" s="5" t="b">
        <v>0</v>
      </c>
      <c r="H208" s="5">
        <v>0</v>
      </c>
      <c r="I208" s="5">
        <v>1</v>
      </c>
      <c r="J208" s="5">
        <v>0.14000000000000001</v>
      </c>
    </row>
    <row r="209" spans="1:10">
      <c r="A209" s="5">
        <v>208</v>
      </c>
      <c r="B209" s="6">
        <v>40552</v>
      </c>
      <c r="C209" s="5">
        <v>1</v>
      </c>
      <c r="D209" s="5">
        <v>0</v>
      </c>
      <c r="E209" s="5">
        <v>1</v>
      </c>
      <c r="F209" s="5">
        <v>22</v>
      </c>
      <c r="G209" s="5" t="b">
        <v>0</v>
      </c>
      <c r="H209" s="5">
        <v>0</v>
      </c>
      <c r="I209" s="5">
        <v>1</v>
      </c>
      <c r="J209" s="5">
        <v>0.14000000000000001</v>
      </c>
    </row>
    <row r="210" spans="1:10">
      <c r="A210" s="5">
        <v>209</v>
      </c>
      <c r="B210" s="6">
        <v>40552</v>
      </c>
      <c r="C210" s="5">
        <v>1</v>
      </c>
      <c r="D210" s="5">
        <v>0</v>
      </c>
      <c r="E210" s="5">
        <v>1</v>
      </c>
      <c r="F210" s="5">
        <v>23</v>
      </c>
      <c r="G210" s="5" t="b">
        <v>0</v>
      </c>
      <c r="H210" s="5">
        <v>0</v>
      </c>
      <c r="I210" s="5">
        <v>1</v>
      </c>
      <c r="J210" s="5">
        <v>0.12</v>
      </c>
    </row>
    <row r="211" spans="1:10">
      <c r="A211" s="5">
        <v>210</v>
      </c>
      <c r="B211" s="6">
        <v>40553</v>
      </c>
      <c r="C211" s="5">
        <v>1</v>
      </c>
      <c r="D211" s="5">
        <v>0</v>
      </c>
      <c r="E211" s="5">
        <v>1</v>
      </c>
      <c r="F211" s="5">
        <v>0</v>
      </c>
      <c r="G211" s="5" t="b">
        <v>0</v>
      </c>
      <c r="H211" s="5">
        <v>1</v>
      </c>
      <c r="I211" s="5">
        <v>1</v>
      </c>
      <c r="J211" s="5">
        <v>0.12</v>
      </c>
    </row>
    <row r="212" spans="1:10">
      <c r="A212" s="5">
        <v>211</v>
      </c>
      <c r="B212" s="6">
        <v>40553</v>
      </c>
      <c r="C212" s="5">
        <v>1</v>
      </c>
      <c r="D212" s="5">
        <v>0</v>
      </c>
      <c r="E212" s="5">
        <v>1</v>
      </c>
      <c r="F212" s="5">
        <v>1</v>
      </c>
      <c r="G212" s="5" t="b">
        <v>0</v>
      </c>
      <c r="H212" s="5">
        <v>1</v>
      </c>
      <c r="I212" s="5">
        <v>1</v>
      </c>
      <c r="J212" s="5">
        <v>0.12</v>
      </c>
    </row>
    <row r="213" spans="1:10">
      <c r="A213" s="5">
        <v>212</v>
      </c>
      <c r="B213" s="6">
        <v>40553</v>
      </c>
      <c r="C213" s="5">
        <v>1</v>
      </c>
      <c r="D213" s="5">
        <v>0</v>
      </c>
      <c r="E213" s="5">
        <v>1</v>
      </c>
      <c r="F213" s="5">
        <v>2</v>
      </c>
      <c r="G213" s="5" t="b">
        <v>0</v>
      </c>
      <c r="H213" s="5">
        <v>1</v>
      </c>
      <c r="I213" s="5">
        <v>1</v>
      </c>
      <c r="J213" s="5">
        <v>0.12</v>
      </c>
    </row>
    <row r="214" spans="1:10">
      <c r="A214" s="5">
        <v>213</v>
      </c>
      <c r="B214" s="6">
        <v>40553</v>
      </c>
      <c r="C214" s="5">
        <v>1</v>
      </c>
      <c r="D214" s="5">
        <v>0</v>
      </c>
      <c r="E214" s="5">
        <v>1</v>
      </c>
      <c r="F214" s="5">
        <v>3</v>
      </c>
      <c r="G214" s="5" t="b">
        <v>0</v>
      </c>
      <c r="H214" s="5">
        <v>1</v>
      </c>
      <c r="I214" s="5">
        <v>1</v>
      </c>
      <c r="J214" s="5">
        <v>0.12</v>
      </c>
    </row>
    <row r="215" spans="1:10">
      <c r="A215" s="5">
        <v>214</v>
      </c>
      <c r="B215" s="6">
        <v>40553</v>
      </c>
      <c r="C215" s="5">
        <v>1</v>
      </c>
      <c r="D215" s="5">
        <v>0</v>
      </c>
      <c r="E215" s="5">
        <v>1</v>
      </c>
      <c r="F215" s="5">
        <v>4</v>
      </c>
      <c r="G215" s="5" t="b">
        <v>0</v>
      </c>
      <c r="H215" s="5">
        <v>1</v>
      </c>
      <c r="I215" s="5">
        <v>1</v>
      </c>
      <c r="J215" s="5">
        <v>0.1</v>
      </c>
    </row>
    <row r="216" spans="1:10">
      <c r="A216" s="5">
        <v>215</v>
      </c>
      <c r="B216" s="6">
        <v>40553</v>
      </c>
      <c r="C216" s="5">
        <v>1</v>
      </c>
      <c r="D216" s="5">
        <v>0</v>
      </c>
      <c r="E216" s="5">
        <v>1</v>
      </c>
      <c r="F216" s="5">
        <v>5</v>
      </c>
      <c r="G216" s="5" t="b">
        <v>0</v>
      </c>
      <c r="H216" s="5">
        <v>1</v>
      </c>
      <c r="I216" s="5">
        <v>1</v>
      </c>
      <c r="J216" s="5">
        <v>0.1</v>
      </c>
    </row>
    <row r="217" spans="1:10">
      <c r="A217" s="5">
        <v>216</v>
      </c>
      <c r="B217" s="6">
        <v>40553</v>
      </c>
      <c r="C217" s="5">
        <v>1</v>
      </c>
      <c r="D217" s="5">
        <v>0</v>
      </c>
      <c r="E217" s="5">
        <v>1</v>
      </c>
      <c r="F217" s="5">
        <v>6</v>
      </c>
      <c r="G217" s="5" t="b">
        <v>0</v>
      </c>
      <c r="H217" s="5">
        <v>1</v>
      </c>
      <c r="I217" s="5">
        <v>1</v>
      </c>
      <c r="J217" s="5">
        <v>0.12</v>
      </c>
    </row>
    <row r="218" spans="1:10">
      <c r="A218" s="5">
        <v>217</v>
      </c>
      <c r="B218" s="6">
        <v>40553</v>
      </c>
      <c r="C218" s="5">
        <v>1</v>
      </c>
      <c r="D218" s="5">
        <v>0</v>
      </c>
      <c r="E218" s="5">
        <v>1</v>
      </c>
      <c r="F218" s="5">
        <v>7</v>
      </c>
      <c r="G218" s="5" t="b">
        <v>0</v>
      </c>
      <c r="H218" s="5">
        <v>1</v>
      </c>
      <c r="I218" s="5">
        <v>1</v>
      </c>
      <c r="J218" s="5">
        <v>0.12</v>
      </c>
    </row>
    <row r="219" spans="1:10">
      <c r="A219" s="5">
        <v>218</v>
      </c>
      <c r="B219" s="6">
        <v>40553</v>
      </c>
      <c r="C219" s="5">
        <v>1</v>
      </c>
      <c r="D219" s="5">
        <v>0</v>
      </c>
      <c r="E219" s="5">
        <v>1</v>
      </c>
      <c r="F219" s="5">
        <v>8</v>
      </c>
      <c r="G219" s="5" t="b">
        <v>0</v>
      </c>
      <c r="H219" s="5">
        <v>1</v>
      </c>
      <c r="I219" s="5">
        <v>2</v>
      </c>
      <c r="J219" s="5">
        <v>0.12</v>
      </c>
    </row>
    <row r="220" spans="1:10">
      <c r="A220" s="5">
        <v>219</v>
      </c>
      <c r="B220" s="6">
        <v>40553</v>
      </c>
      <c r="C220" s="5">
        <v>1</v>
      </c>
      <c r="D220" s="5">
        <v>0</v>
      </c>
      <c r="E220" s="5">
        <v>1</v>
      </c>
      <c r="F220" s="5">
        <v>9</v>
      </c>
      <c r="G220" s="5" t="b">
        <v>0</v>
      </c>
      <c r="H220" s="5">
        <v>1</v>
      </c>
      <c r="I220" s="5">
        <v>2</v>
      </c>
      <c r="J220" s="5">
        <v>0.14000000000000001</v>
      </c>
    </row>
    <row r="221" spans="1:10">
      <c r="A221" s="5">
        <v>220</v>
      </c>
      <c r="B221" s="6">
        <v>40553</v>
      </c>
      <c r="C221" s="5">
        <v>1</v>
      </c>
      <c r="D221" s="5">
        <v>0</v>
      </c>
      <c r="E221" s="5">
        <v>1</v>
      </c>
      <c r="F221" s="5">
        <v>10</v>
      </c>
      <c r="G221" s="5" t="b">
        <v>0</v>
      </c>
      <c r="H221" s="5">
        <v>1</v>
      </c>
      <c r="I221" s="5">
        <v>2</v>
      </c>
      <c r="J221" s="5">
        <v>0.14000000000000001</v>
      </c>
    </row>
    <row r="222" spans="1:10">
      <c r="A222" s="5">
        <v>221</v>
      </c>
      <c r="B222" s="6">
        <v>40553</v>
      </c>
      <c r="C222" s="5">
        <v>1</v>
      </c>
      <c r="D222" s="5">
        <v>0</v>
      </c>
      <c r="E222" s="5">
        <v>1</v>
      </c>
      <c r="F222" s="5">
        <v>11</v>
      </c>
      <c r="G222" s="5" t="b">
        <v>0</v>
      </c>
      <c r="H222" s="5">
        <v>1</v>
      </c>
      <c r="I222" s="5">
        <v>2</v>
      </c>
      <c r="J222" s="5">
        <v>0.16</v>
      </c>
    </row>
    <row r="223" spans="1:10">
      <c r="A223" s="5">
        <v>222</v>
      </c>
      <c r="B223" s="6">
        <v>40553</v>
      </c>
      <c r="C223" s="5">
        <v>1</v>
      </c>
      <c r="D223" s="5">
        <v>0</v>
      </c>
      <c r="E223" s="5">
        <v>1</v>
      </c>
      <c r="F223" s="5">
        <v>12</v>
      </c>
      <c r="G223" s="5" t="b">
        <v>0</v>
      </c>
      <c r="H223" s="5">
        <v>1</v>
      </c>
      <c r="I223" s="5">
        <v>2</v>
      </c>
      <c r="J223" s="5">
        <v>0.2</v>
      </c>
    </row>
    <row r="224" spans="1:10">
      <c r="A224" s="5">
        <v>223</v>
      </c>
      <c r="B224" s="6">
        <v>40553</v>
      </c>
      <c r="C224" s="5">
        <v>1</v>
      </c>
      <c r="D224" s="5">
        <v>0</v>
      </c>
      <c r="E224" s="5">
        <v>1</v>
      </c>
      <c r="F224" s="5">
        <v>13</v>
      </c>
      <c r="G224" s="5" t="b">
        <v>0</v>
      </c>
      <c r="H224" s="5">
        <v>1</v>
      </c>
      <c r="I224" s="5">
        <v>2</v>
      </c>
      <c r="J224" s="5">
        <v>0.2</v>
      </c>
    </row>
    <row r="225" spans="1:10">
      <c r="A225" s="5">
        <v>224</v>
      </c>
      <c r="B225" s="6">
        <v>40553</v>
      </c>
      <c r="C225" s="5">
        <v>1</v>
      </c>
      <c r="D225" s="5">
        <v>0</v>
      </c>
      <c r="E225" s="5">
        <v>1</v>
      </c>
      <c r="F225" s="5">
        <v>14</v>
      </c>
      <c r="G225" s="5" t="b">
        <v>0</v>
      </c>
      <c r="H225" s="5">
        <v>1</v>
      </c>
      <c r="I225" s="5">
        <v>2</v>
      </c>
      <c r="J225" s="5">
        <v>0.2</v>
      </c>
    </row>
    <row r="226" spans="1:10">
      <c r="A226" s="5">
        <v>225</v>
      </c>
      <c r="B226" s="6">
        <v>40553</v>
      </c>
      <c r="C226" s="5">
        <v>1</v>
      </c>
      <c r="D226" s="5">
        <v>0</v>
      </c>
      <c r="E226" s="5">
        <v>1</v>
      </c>
      <c r="F226" s="5">
        <v>15</v>
      </c>
      <c r="G226" s="5" t="b">
        <v>0</v>
      </c>
      <c r="H226" s="5">
        <v>1</v>
      </c>
      <c r="I226" s="5">
        <v>2</v>
      </c>
      <c r="J226" s="5">
        <v>0.2</v>
      </c>
    </row>
    <row r="227" spans="1:10">
      <c r="A227" s="5">
        <v>226</v>
      </c>
      <c r="B227" s="6">
        <v>40553</v>
      </c>
      <c r="C227" s="5">
        <v>1</v>
      </c>
      <c r="D227" s="5">
        <v>0</v>
      </c>
      <c r="E227" s="5">
        <v>1</v>
      </c>
      <c r="F227" s="5">
        <v>16</v>
      </c>
      <c r="G227" s="5" t="b">
        <v>0</v>
      </c>
      <c r="H227" s="5">
        <v>1</v>
      </c>
      <c r="I227" s="5">
        <v>1</v>
      </c>
      <c r="J227" s="5">
        <v>0.2</v>
      </c>
    </row>
    <row r="228" spans="1:10">
      <c r="A228" s="5">
        <v>227</v>
      </c>
      <c r="B228" s="6">
        <v>40553</v>
      </c>
      <c r="C228" s="5">
        <v>1</v>
      </c>
      <c r="D228" s="5">
        <v>0</v>
      </c>
      <c r="E228" s="5">
        <v>1</v>
      </c>
      <c r="F228" s="5">
        <v>17</v>
      </c>
      <c r="G228" s="5" t="b">
        <v>0</v>
      </c>
      <c r="H228" s="5">
        <v>1</v>
      </c>
      <c r="I228" s="5">
        <v>1</v>
      </c>
      <c r="J228" s="5">
        <v>0.2</v>
      </c>
    </row>
    <row r="229" spans="1:10">
      <c r="A229" s="5">
        <v>228</v>
      </c>
      <c r="B229" s="6">
        <v>40553</v>
      </c>
      <c r="C229" s="5">
        <v>1</v>
      </c>
      <c r="D229" s="5">
        <v>0</v>
      </c>
      <c r="E229" s="5">
        <v>1</v>
      </c>
      <c r="F229" s="5">
        <v>18</v>
      </c>
      <c r="G229" s="5" t="b">
        <v>0</v>
      </c>
      <c r="H229" s="5">
        <v>1</v>
      </c>
      <c r="I229" s="5">
        <v>1</v>
      </c>
      <c r="J229" s="5">
        <v>0.2</v>
      </c>
    </row>
    <row r="230" spans="1:10">
      <c r="A230" s="5">
        <v>229</v>
      </c>
      <c r="B230" s="6">
        <v>40553</v>
      </c>
      <c r="C230" s="5">
        <v>1</v>
      </c>
      <c r="D230" s="5">
        <v>0</v>
      </c>
      <c r="E230" s="5">
        <v>1</v>
      </c>
      <c r="F230" s="5">
        <v>19</v>
      </c>
      <c r="G230" s="5" t="b">
        <v>0</v>
      </c>
      <c r="H230" s="5">
        <v>1</v>
      </c>
      <c r="I230" s="5">
        <v>1</v>
      </c>
      <c r="J230" s="5">
        <v>0.16</v>
      </c>
    </row>
    <row r="231" spans="1:10">
      <c r="A231" s="5">
        <v>230</v>
      </c>
      <c r="B231" s="6">
        <v>40553</v>
      </c>
      <c r="C231" s="5">
        <v>1</v>
      </c>
      <c r="D231" s="5">
        <v>0</v>
      </c>
      <c r="E231" s="5">
        <v>1</v>
      </c>
      <c r="F231" s="5">
        <v>20</v>
      </c>
      <c r="G231" s="5" t="b">
        <v>0</v>
      </c>
      <c r="H231" s="5">
        <v>1</v>
      </c>
      <c r="I231" s="5">
        <v>1</v>
      </c>
      <c r="J231" s="5">
        <v>0.16</v>
      </c>
    </row>
    <row r="232" spans="1:10">
      <c r="A232" s="5">
        <v>231</v>
      </c>
      <c r="B232" s="6">
        <v>40553</v>
      </c>
      <c r="C232" s="5">
        <v>1</v>
      </c>
      <c r="D232" s="5">
        <v>0</v>
      </c>
      <c r="E232" s="5">
        <v>1</v>
      </c>
      <c r="F232" s="5">
        <v>21</v>
      </c>
      <c r="G232" s="5" t="b">
        <v>0</v>
      </c>
      <c r="H232" s="5">
        <v>1</v>
      </c>
      <c r="I232" s="5">
        <v>1</v>
      </c>
      <c r="J232" s="5">
        <v>0.14000000000000001</v>
      </c>
    </row>
    <row r="233" spans="1:10">
      <c r="A233" s="5">
        <v>232</v>
      </c>
      <c r="B233" s="6">
        <v>40553</v>
      </c>
      <c r="C233" s="5">
        <v>1</v>
      </c>
      <c r="D233" s="5">
        <v>0</v>
      </c>
      <c r="E233" s="5">
        <v>1</v>
      </c>
      <c r="F233" s="5">
        <v>22</v>
      </c>
      <c r="G233" s="5" t="b">
        <v>0</v>
      </c>
      <c r="H233" s="5">
        <v>1</v>
      </c>
      <c r="I233" s="5">
        <v>1</v>
      </c>
      <c r="J233" s="5">
        <v>0.14000000000000001</v>
      </c>
    </row>
    <row r="234" spans="1:10">
      <c r="A234" s="5">
        <v>233</v>
      </c>
      <c r="B234" s="6">
        <v>40553</v>
      </c>
      <c r="C234" s="5">
        <v>1</v>
      </c>
      <c r="D234" s="5">
        <v>0</v>
      </c>
      <c r="E234" s="5">
        <v>1</v>
      </c>
      <c r="F234" s="5">
        <v>23</v>
      </c>
      <c r="G234" s="5" t="b">
        <v>0</v>
      </c>
      <c r="H234" s="5">
        <v>1</v>
      </c>
      <c r="I234" s="5">
        <v>1</v>
      </c>
      <c r="J234" s="5">
        <v>0.14000000000000001</v>
      </c>
    </row>
    <row r="235" spans="1:10">
      <c r="A235" s="5">
        <v>234</v>
      </c>
      <c r="B235" s="6">
        <v>40554</v>
      </c>
      <c r="C235" s="5">
        <v>1</v>
      </c>
      <c r="D235" s="5">
        <v>0</v>
      </c>
      <c r="E235" s="5">
        <v>1</v>
      </c>
      <c r="F235" s="5">
        <v>0</v>
      </c>
      <c r="G235" s="5" t="b">
        <v>0</v>
      </c>
      <c r="H235" s="5">
        <v>2</v>
      </c>
      <c r="I235" s="5">
        <v>1</v>
      </c>
      <c r="J235" s="5">
        <v>0.14000000000000001</v>
      </c>
    </row>
    <row r="236" spans="1:10">
      <c r="A236" s="5">
        <v>235</v>
      </c>
      <c r="B236" s="6">
        <v>40554</v>
      </c>
      <c r="C236" s="5">
        <v>1</v>
      </c>
      <c r="D236" s="5">
        <v>0</v>
      </c>
      <c r="E236" s="5">
        <v>1</v>
      </c>
      <c r="F236" s="5">
        <v>1</v>
      </c>
      <c r="G236" s="5" t="b">
        <v>0</v>
      </c>
      <c r="H236" s="5">
        <v>2</v>
      </c>
      <c r="I236" s="5">
        <v>1</v>
      </c>
      <c r="J236" s="5">
        <v>0.14000000000000001</v>
      </c>
    </row>
    <row r="237" spans="1:10">
      <c r="A237" s="5">
        <v>236</v>
      </c>
      <c r="B237" s="6">
        <v>40554</v>
      </c>
      <c r="C237" s="5">
        <v>1</v>
      </c>
      <c r="D237" s="5">
        <v>0</v>
      </c>
      <c r="E237" s="5">
        <v>1</v>
      </c>
      <c r="F237" s="5">
        <v>2</v>
      </c>
      <c r="G237" s="5" t="b">
        <v>0</v>
      </c>
      <c r="H237" s="5">
        <v>2</v>
      </c>
      <c r="I237" s="5">
        <v>2</v>
      </c>
      <c r="J237" s="5">
        <v>0.16</v>
      </c>
    </row>
    <row r="238" spans="1:10">
      <c r="A238" s="5">
        <v>237</v>
      </c>
      <c r="B238" s="6">
        <v>40554</v>
      </c>
      <c r="C238" s="5">
        <v>1</v>
      </c>
      <c r="D238" s="5">
        <v>0</v>
      </c>
      <c r="E238" s="5">
        <v>1</v>
      </c>
      <c r="F238" s="5">
        <v>5</v>
      </c>
      <c r="G238" s="5" t="b">
        <v>0</v>
      </c>
      <c r="H238" s="5">
        <v>2</v>
      </c>
      <c r="I238" s="5">
        <v>2</v>
      </c>
      <c r="J238" s="5">
        <v>0.16</v>
      </c>
    </row>
    <row r="239" spans="1:10">
      <c r="A239" s="5">
        <v>238</v>
      </c>
      <c r="B239" s="6">
        <v>40554</v>
      </c>
      <c r="C239" s="5">
        <v>1</v>
      </c>
      <c r="D239" s="5">
        <v>0</v>
      </c>
      <c r="E239" s="5">
        <v>1</v>
      </c>
      <c r="F239" s="5">
        <v>6</v>
      </c>
      <c r="G239" s="5" t="b">
        <v>0</v>
      </c>
      <c r="H239" s="5">
        <v>2</v>
      </c>
      <c r="I239" s="5">
        <v>2</v>
      </c>
      <c r="J239" s="5">
        <v>0.16</v>
      </c>
    </row>
    <row r="240" spans="1:10">
      <c r="A240" s="5">
        <v>239</v>
      </c>
      <c r="B240" s="6">
        <v>40554</v>
      </c>
      <c r="C240" s="5">
        <v>1</v>
      </c>
      <c r="D240" s="5">
        <v>0</v>
      </c>
      <c r="E240" s="5">
        <v>1</v>
      </c>
      <c r="F240" s="5">
        <v>7</v>
      </c>
      <c r="G240" s="5" t="b">
        <v>0</v>
      </c>
      <c r="H240" s="5">
        <v>2</v>
      </c>
      <c r="I240" s="5">
        <v>2</v>
      </c>
      <c r="J240" s="5">
        <v>0.16</v>
      </c>
    </row>
    <row r="241" spans="1:10">
      <c r="A241" s="5">
        <v>240</v>
      </c>
      <c r="B241" s="6">
        <v>40554</v>
      </c>
      <c r="C241" s="5">
        <v>1</v>
      </c>
      <c r="D241" s="5">
        <v>0</v>
      </c>
      <c r="E241" s="5">
        <v>1</v>
      </c>
      <c r="F241" s="5">
        <v>8</v>
      </c>
      <c r="G241" s="5" t="b">
        <v>0</v>
      </c>
      <c r="H241" s="5">
        <v>2</v>
      </c>
      <c r="I241" s="5">
        <v>2</v>
      </c>
      <c r="J241" s="5">
        <v>0.18</v>
      </c>
    </row>
    <row r="242" spans="1:10">
      <c r="A242" s="5">
        <v>241</v>
      </c>
      <c r="B242" s="6">
        <v>40554</v>
      </c>
      <c r="C242" s="5">
        <v>1</v>
      </c>
      <c r="D242" s="5">
        <v>0</v>
      </c>
      <c r="E242" s="5">
        <v>1</v>
      </c>
      <c r="F242" s="5">
        <v>9</v>
      </c>
      <c r="G242" s="5" t="b">
        <v>0</v>
      </c>
      <c r="H242" s="5">
        <v>2</v>
      </c>
      <c r="I242" s="5">
        <v>2</v>
      </c>
      <c r="J242" s="5">
        <v>0.18</v>
      </c>
    </row>
    <row r="243" spans="1:10">
      <c r="A243" s="5">
        <v>242</v>
      </c>
      <c r="B243" s="6">
        <v>40554</v>
      </c>
      <c r="C243" s="5">
        <v>1</v>
      </c>
      <c r="D243" s="5">
        <v>0</v>
      </c>
      <c r="E243" s="5">
        <v>1</v>
      </c>
      <c r="F243" s="5">
        <v>10</v>
      </c>
      <c r="G243" s="5" t="b">
        <v>0</v>
      </c>
      <c r="H243" s="5">
        <v>2</v>
      </c>
      <c r="I243" s="5">
        <v>2</v>
      </c>
      <c r="J243" s="5">
        <v>0.2</v>
      </c>
    </row>
    <row r="244" spans="1:10">
      <c r="A244" s="5">
        <v>243</v>
      </c>
      <c r="B244" s="6">
        <v>40554</v>
      </c>
      <c r="C244" s="5">
        <v>1</v>
      </c>
      <c r="D244" s="5">
        <v>0</v>
      </c>
      <c r="E244" s="5">
        <v>1</v>
      </c>
      <c r="F244" s="5">
        <v>11</v>
      </c>
      <c r="G244" s="5" t="b">
        <v>0</v>
      </c>
      <c r="H244" s="5">
        <v>2</v>
      </c>
      <c r="I244" s="5">
        <v>2</v>
      </c>
      <c r="J244" s="5">
        <v>0.2</v>
      </c>
    </row>
    <row r="245" spans="1:10">
      <c r="A245" s="5">
        <v>244</v>
      </c>
      <c r="B245" s="6">
        <v>40554</v>
      </c>
      <c r="C245" s="5">
        <v>1</v>
      </c>
      <c r="D245" s="5">
        <v>0</v>
      </c>
      <c r="E245" s="5">
        <v>1</v>
      </c>
      <c r="F245" s="5">
        <v>12</v>
      </c>
      <c r="G245" s="5" t="b">
        <v>0</v>
      </c>
      <c r="H245" s="5">
        <v>2</v>
      </c>
      <c r="I245" s="5">
        <v>2</v>
      </c>
      <c r="J245" s="5">
        <v>0.2</v>
      </c>
    </row>
    <row r="246" spans="1:10">
      <c r="A246" s="5">
        <v>245</v>
      </c>
      <c r="B246" s="6">
        <v>40554</v>
      </c>
      <c r="C246" s="5">
        <v>1</v>
      </c>
      <c r="D246" s="5">
        <v>0</v>
      </c>
      <c r="E246" s="5">
        <v>1</v>
      </c>
      <c r="F246" s="5">
        <v>13</v>
      </c>
      <c r="G246" s="5" t="b">
        <v>0</v>
      </c>
      <c r="H246" s="5">
        <v>2</v>
      </c>
      <c r="I246" s="5">
        <v>2</v>
      </c>
      <c r="J246" s="5">
        <v>0.2</v>
      </c>
    </row>
    <row r="247" spans="1:10">
      <c r="A247" s="5">
        <v>246</v>
      </c>
      <c r="B247" s="6">
        <v>40554</v>
      </c>
      <c r="C247" s="5">
        <v>1</v>
      </c>
      <c r="D247" s="5">
        <v>0</v>
      </c>
      <c r="E247" s="5">
        <v>1</v>
      </c>
      <c r="F247" s="5">
        <v>14</v>
      </c>
      <c r="G247" s="5" t="b">
        <v>0</v>
      </c>
      <c r="H247" s="5">
        <v>2</v>
      </c>
      <c r="I247" s="5">
        <v>2</v>
      </c>
      <c r="J247" s="5">
        <v>0.2</v>
      </c>
    </row>
    <row r="248" spans="1:10">
      <c r="A248" s="5">
        <v>247</v>
      </c>
      <c r="B248" s="6">
        <v>40554</v>
      </c>
      <c r="C248" s="5">
        <v>1</v>
      </c>
      <c r="D248" s="5">
        <v>0</v>
      </c>
      <c r="E248" s="5">
        <v>1</v>
      </c>
      <c r="F248" s="5">
        <v>15</v>
      </c>
      <c r="G248" s="5" t="b">
        <v>0</v>
      </c>
      <c r="H248" s="5">
        <v>2</v>
      </c>
      <c r="I248" s="5">
        <v>2</v>
      </c>
      <c r="J248" s="5">
        <v>0.16</v>
      </c>
    </row>
    <row r="249" spans="1:10">
      <c r="A249" s="5">
        <v>248</v>
      </c>
      <c r="B249" s="6">
        <v>40554</v>
      </c>
      <c r="C249" s="5">
        <v>1</v>
      </c>
      <c r="D249" s="5">
        <v>0</v>
      </c>
      <c r="E249" s="5">
        <v>1</v>
      </c>
      <c r="F249" s="5">
        <v>16</v>
      </c>
      <c r="G249" s="5" t="b">
        <v>0</v>
      </c>
      <c r="H249" s="5">
        <v>2</v>
      </c>
      <c r="I249" s="5">
        <v>2</v>
      </c>
      <c r="J249" s="5">
        <v>0.16</v>
      </c>
    </row>
    <row r="250" spans="1:10">
      <c r="A250" s="5">
        <v>249</v>
      </c>
      <c r="B250" s="6">
        <v>40554</v>
      </c>
      <c r="C250" s="5">
        <v>1</v>
      </c>
      <c r="D250" s="5">
        <v>0</v>
      </c>
      <c r="E250" s="5">
        <v>1</v>
      </c>
      <c r="F250" s="5">
        <v>17</v>
      </c>
      <c r="G250" s="5" t="b">
        <v>0</v>
      </c>
      <c r="H250" s="5">
        <v>2</v>
      </c>
      <c r="I250" s="5">
        <v>2</v>
      </c>
      <c r="J250" s="5">
        <v>0.16</v>
      </c>
    </row>
    <row r="251" spans="1:10">
      <c r="A251" s="5">
        <v>250</v>
      </c>
      <c r="B251" s="6">
        <v>40554</v>
      </c>
      <c r="C251" s="5">
        <v>1</v>
      </c>
      <c r="D251" s="5">
        <v>0</v>
      </c>
      <c r="E251" s="5">
        <v>1</v>
      </c>
      <c r="F251" s="5">
        <v>18</v>
      </c>
      <c r="G251" s="5" t="b">
        <v>0</v>
      </c>
      <c r="H251" s="5">
        <v>2</v>
      </c>
      <c r="I251" s="5">
        <v>3</v>
      </c>
      <c r="J251" s="5">
        <v>0.16</v>
      </c>
    </row>
    <row r="252" spans="1:10">
      <c r="A252" s="5">
        <v>251</v>
      </c>
      <c r="B252" s="6">
        <v>40554</v>
      </c>
      <c r="C252" s="5">
        <v>1</v>
      </c>
      <c r="D252" s="5">
        <v>0</v>
      </c>
      <c r="E252" s="5">
        <v>1</v>
      </c>
      <c r="F252" s="5">
        <v>19</v>
      </c>
      <c r="G252" s="5" t="b">
        <v>0</v>
      </c>
      <c r="H252" s="5">
        <v>2</v>
      </c>
      <c r="I252" s="5">
        <v>3</v>
      </c>
      <c r="J252" s="5">
        <v>0.16</v>
      </c>
    </row>
    <row r="253" spans="1:10">
      <c r="A253" s="5">
        <v>252</v>
      </c>
      <c r="B253" s="6">
        <v>40554</v>
      </c>
      <c r="C253" s="5">
        <v>1</v>
      </c>
      <c r="D253" s="5">
        <v>0</v>
      </c>
      <c r="E253" s="5">
        <v>1</v>
      </c>
      <c r="F253" s="5">
        <v>20</v>
      </c>
      <c r="G253" s="5" t="b">
        <v>0</v>
      </c>
      <c r="H253" s="5">
        <v>2</v>
      </c>
      <c r="I253" s="5">
        <v>3</v>
      </c>
      <c r="J253" s="5">
        <v>0.16</v>
      </c>
    </row>
    <row r="254" spans="1:10">
      <c r="A254" s="5">
        <v>253</v>
      </c>
      <c r="B254" s="6">
        <v>40554</v>
      </c>
      <c r="C254" s="5">
        <v>1</v>
      </c>
      <c r="D254" s="5">
        <v>0</v>
      </c>
      <c r="E254" s="5">
        <v>1</v>
      </c>
      <c r="F254" s="5">
        <v>21</v>
      </c>
      <c r="G254" s="5" t="b">
        <v>0</v>
      </c>
      <c r="H254" s="5">
        <v>2</v>
      </c>
      <c r="I254" s="5">
        <v>3</v>
      </c>
      <c r="J254" s="5">
        <v>0.16</v>
      </c>
    </row>
    <row r="255" spans="1:10">
      <c r="A255" s="5">
        <v>254</v>
      </c>
      <c r="B255" s="6">
        <v>40554</v>
      </c>
      <c r="C255" s="5">
        <v>1</v>
      </c>
      <c r="D255" s="5">
        <v>0</v>
      </c>
      <c r="E255" s="5">
        <v>1</v>
      </c>
      <c r="F255" s="5">
        <v>22</v>
      </c>
      <c r="G255" s="5" t="b">
        <v>0</v>
      </c>
      <c r="H255" s="5">
        <v>2</v>
      </c>
      <c r="I255" s="5">
        <v>3</v>
      </c>
      <c r="J255" s="5">
        <v>0.16</v>
      </c>
    </row>
    <row r="256" spans="1:10">
      <c r="A256" s="5">
        <v>255</v>
      </c>
      <c r="B256" s="6">
        <v>40554</v>
      </c>
      <c r="C256" s="5">
        <v>1</v>
      </c>
      <c r="D256" s="5">
        <v>0</v>
      </c>
      <c r="E256" s="5">
        <v>1</v>
      </c>
      <c r="F256" s="5">
        <v>23</v>
      </c>
      <c r="G256" s="5" t="b">
        <v>0</v>
      </c>
      <c r="H256" s="5">
        <v>2</v>
      </c>
      <c r="I256" s="5">
        <v>3</v>
      </c>
      <c r="J256" s="5">
        <v>0.16</v>
      </c>
    </row>
    <row r="257" spans="1:10">
      <c r="A257" s="5">
        <v>256</v>
      </c>
      <c r="B257" s="6">
        <v>40555</v>
      </c>
      <c r="C257" s="5">
        <v>1</v>
      </c>
      <c r="D257" s="5">
        <v>0</v>
      </c>
      <c r="E257" s="5">
        <v>1</v>
      </c>
      <c r="F257" s="5">
        <v>0</v>
      </c>
      <c r="G257" s="5" t="b">
        <v>0</v>
      </c>
      <c r="H257" s="5">
        <v>3</v>
      </c>
      <c r="I257" s="5">
        <v>2</v>
      </c>
      <c r="J257" s="5">
        <v>0.16</v>
      </c>
    </row>
    <row r="258" spans="1:10">
      <c r="A258" s="5">
        <v>257</v>
      </c>
      <c r="B258" s="6">
        <v>40555</v>
      </c>
      <c r="C258" s="5">
        <v>1</v>
      </c>
      <c r="D258" s="5">
        <v>0</v>
      </c>
      <c r="E258" s="5">
        <v>1</v>
      </c>
      <c r="F258" s="5">
        <v>1</v>
      </c>
      <c r="G258" s="5" t="b">
        <v>0</v>
      </c>
      <c r="H258" s="5">
        <v>3</v>
      </c>
      <c r="I258" s="5">
        <v>2</v>
      </c>
      <c r="J258" s="5">
        <v>0.16</v>
      </c>
    </row>
    <row r="259" spans="1:10">
      <c r="A259" s="5">
        <v>258</v>
      </c>
      <c r="B259" s="6">
        <v>40555</v>
      </c>
      <c r="C259" s="5">
        <v>1</v>
      </c>
      <c r="D259" s="5">
        <v>0</v>
      </c>
      <c r="E259" s="5">
        <v>1</v>
      </c>
      <c r="F259" s="5">
        <v>2</v>
      </c>
      <c r="G259" s="5" t="b">
        <v>0</v>
      </c>
      <c r="H259" s="5">
        <v>3</v>
      </c>
      <c r="I259" s="5">
        <v>1</v>
      </c>
      <c r="J259" s="5">
        <v>0.14000000000000001</v>
      </c>
    </row>
    <row r="260" spans="1:10">
      <c r="A260" s="5">
        <v>259</v>
      </c>
      <c r="B260" s="6">
        <v>40555</v>
      </c>
      <c r="C260" s="5">
        <v>1</v>
      </c>
      <c r="D260" s="5">
        <v>0</v>
      </c>
      <c r="E260" s="5">
        <v>1</v>
      </c>
      <c r="F260" s="5">
        <v>5</v>
      </c>
      <c r="G260" s="5" t="b">
        <v>0</v>
      </c>
      <c r="H260" s="5">
        <v>3</v>
      </c>
      <c r="I260" s="5">
        <v>1</v>
      </c>
      <c r="J260" s="5">
        <v>0.14000000000000001</v>
      </c>
    </row>
    <row r="261" spans="1:10">
      <c r="A261" s="5">
        <v>260</v>
      </c>
      <c r="B261" s="6">
        <v>40555</v>
      </c>
      <c r="C261" s="5">
        <v>1</v>
      </c>
      <c r="D261" s="5">
        <v>0</v>
      </c>
      <c r="E261" s="5">
        <v>1</v>
      </c>
      <c r="F261" s="5">
        <v>6</v>
      </c>
      <c r="G261" s="5" t="b">
        <v>0</v>
      </c>
      <c r="H261" s="5">
        <v>3</v>
      </c>
      <c r="I261" s="5">
        <v>1</v>
      </c>
      <c r="J261" s="5">
        <v>0.12</v>
      </c>
    </row>
    <row r="262" spans="1:10">
      <c r="A262" s="5">
        <v>261</v>
      </c>
      <c r="B262" s="6">
        <v>40555</v>
      </c>
      <c r="C262" s="5">
        <v>1</v>
      </c>
      <c r="D262" s="5">
        <v>0</v>
      </c>
      <c r="E262" s="5">
        <v>1</v>
      </c>
      <c r="F262" s="5">
        <v>7</v>
      </c>
      <c r="G262" s="5" t="b">
        <v>0</v>
      </c>
      <c r="H262" s="5">
        <v>3</v>
      </c>
      <c r="I262" s="5">
        <v>1</v>
      </c>
      <c r="J262" s="5">
        <v>0.14000000000000001</v>
      </c>
    </row>
    <row r="263" spans="1:10">
      <c r="A263" s="5">
        <v>262</v>
      </c>
      <c r="B263" s="6">
        <v>40555</v>
      </c>
      <c r="C263" s="5">
        <v>1</v>
      </c>
      <c r="D263" s="5">
        <v>0</v>
      </c>
      <c r="E263" s="5">
        <v>1</v>
      </c>
      <c r="F263" s="5">
        <v>8</v>
      </c>
      <c r="G263" s="5" t="b">
        <v>0</v>
      </c>
      <c r="H263" s="5">
        <v>3</v>
      </c>
      <c r="I263" s="5">
        <v>1</v>
      </c>
      <c r="J263" s="5">
        <v>0.16</v>
      </c>
    </row>
    <row r="264" spans="1:10">
      <c r="A264" s="5">
        <v>263</v>
      </c>
      <c r="B264" s="6">
        <v>40555</v>
      </c>
      <c r="C264" s="5">
        <v>1</v>
      </c>
      <c r="D264" s="5">
        <v>0</v>
      </c>
      <c r="E264" s="5">
        <v>1</v>
      </c>
      <c r="F264" s="5">
        <v>9</v>
      </c>
      <c r="G264" s="5" t="b">
        <v>0</v>
      </c>
      <c r="H264" s="5">
        <v>3</v>
      </c>
      <c r="I264" s="5">
        <v>1</v>
      </c>
      <c r="J264" s="5">
        <v>0.16</v>
      </c>
    </row>
    <row r="265" spans="1:10">
      <c r="A265" s="5">
        <v>264</v>
      </c>
      <c r="B265" s="6">
        <v>40555</v>
      </c>
      <c r="C265" s="5">
        <v>1</v>
      </c>
      <c r="D265" s="5">
        <v>0</v>
      </c>
      <c r="E265" s="5">
        <v>1</v>
      </c>
      <c r="F265" s="5">
        <v>10</v>
      </c>
      <c r="G265" s="5" t="b">
        <v>0</v>
      </c>
      <c r="H265" s="5">
        <v>3</v>
      </c>
      <c r="I265" s="5">
        <v>1</v>
      </c>
      <c r="J265" s="5">
        <v>0.18</v>
      </c>
    </row>
    <row r="266" spans="1:10">
      <c r="A266" s="5">
        <v>265</v>
      </c>
      <c r="B266" s="6">
        <v>40555</v>
      </c>
      <c r="C266" s="5">
        <v>1</v>
      </c>
      <c r="D266" s="5">
        <v>0</v>
      </c>
      <c r="E266" s="5">
        <v>1</v>
      </c>
      <c r="F266" s="5">
        <v>11</v>
      </c>
      <c r="G266" s="5" t="b">
        <v>0</v>
      </c>
      <c r="H266" s="5">
        <v>3</v>
      </c>
      <c r="I266" s="5">
        <v>1</v>
      </c>
      <c r="J266" s="5">
        <v>0.2</v>
      </c>
    </row>
    <row r="267" spans="1:10">
      <c r="A267" s="5">
        <v>266</v>
      </c>
      <c r="B267" s="6">
        <v>40555</v>
      </c>
      <c r="C267" s="5">
        <v>1</v>
      </c>
      <c r="D267" s="5">
        <v>0</v>
      </c>
      <c r="E267" s="5">
        <v>1</v>
      </c>
      <c r="F267" s="5">
        <v>12</v>
      </c>
      <c r="G267" s="5" t="b">
        <v>0</v>
      </c>
      <c r="H267" s="5">
        <v>3</v>
      </c>
      <c r="I267" s="5">
        <v>1</v>
      </c>
      <c r="J267" s="5">
        <v>0.2</v>
      </c>
    </row>
    <row r="268" spans="1:10">
      <c r="A268" s="5">
        <v>267</v>
      </c>
      <c r="B268" s="6">
        <v>40555</v>
      </c>
      <c r="C268" s="5">
        <v>1</v>
      </c>
      <c r="D268" s="5">
        <v>0</v>
      </c>
      <c r="E268" s="5">
        <v>1</v>
      </c>
      <c r="F268" s="5">
        <v>13</v>
      </c>
      <c r="G268" s="5" t="b">
        <v>0</v>
      </c>
      <c r="H268" s="5">
        <v>3</v>
      </c>
      <c r="I268" s="5">
        <v>1</v>
      </c>
      <c r="J268" s="5">
        <v>0.22</v>
      </c>
    </row>
    <row r="269" spans="1:10">
      <c r="A269" s="5">
        <v>268</v>
      </c>
      <c r="B269" s="6">
        <v>40555</v>
      </c>
      <c r="C269" s="5">
        <v>1</v>
      </c>
      <c r="D269" s="5">
        <v>0</v>
      </c>
      <c r="E269" s="5">
        <v>1</v>
      </c>
      <c r="F269" s="5">
        <v>14</v>
      </c>
      <c r="G269" s="5" t="b">
        <v>0</v>
      </c>
      <c r="H269" s="5">
        <v>3</v>
      </c>
      <c r="I269" s="5">
        <v>1</v>
      </c>
      <c r="J269" s="5">
        <v>0.2</v>
      </c>
    </row>
    <row r="270" spans="1:10">
      <c r="A270" s="5">
        <v>269</v>
      </c>
      <c r="B270" s="6">
        <v>40555</v>
      </c>
      <c r="C270" s="5">
        <v>1</v>
      </c>
      <c r="D270" s="5">
        <v>0</v>
      </c>
      <c r="E270" s="5">
        <v>1</v>
      </c>
      <c r="F270" s="5">
        <v>15</v>
      </c>
      <c r="G270" s="5" t="b">
        <v>0</v>
      </c>
      <c r="H270" s="5">
        <v>3</v>
      </c>
      <c r="I270" s="5">
        <v>1</v>
      </c>
      <c r="J270" s="5">
        <v>0.2</v>
      </c>
    </row>
    <row r="271" spans="1:10">
      <c r="A271" s="5">
        <v>270</v>
      </c>
      <c r="B271" s="6">
        <v>40555</v>
      </c>
      <c r="C271" s="5">
        <v>1</v>
      </c>
      <c r="D271" s="5">
        <v>0</v>
      </c>
      <c r="E271" s="5">
        <v>1</v>
      </c>
      <c r="F271" s="5">
        <v>16</v>
      </c>
      <c r="G271" s="5" t="b">
        <v>0</v>
      </c>
      <c r="H271" s="5">
        <v>3</v>
      </c>
      <c r="I271" s="5">
        <v>1</v>
      </c>
      <c r="J271" s="5">
        <v>0.22</v>
      </c>
    </row>
    <row r="272" spans="1:10">
      <c r="A272" s="5">
        <v>271</v>
      </c>
      <c r="B272" s="6">
        <v>40555</v>
      </c>
      <c r="C272" s="5">
        <v>1</v>
      </c>
      <c r="D272" s="5">
        <v>0</v>
      </c>
      <c r="E272" s="5">
        <v>1</v>
      </c>
      <c r="F272" s="5">
        <v>17</v>
      </c>
      <c r="G272" s="5" t="b">
        <v>0</v>
      </c>
      <c r="H272" s="5">
        <v>3</v>
      </c>
      <c r="I272" s="5">
        <v>1</v>
      </c>
      <c r="J272" s="5">
        <v>0.2</v>
      </c>
    </row>
    <row r="273" spans="1:10">
      <c r="A273" s="5">
        <v>272</v>
      </c>
      <c r="B273" s="6">
        <v>40555</v>
      </c>
      <c r="C273" s="5">
        <v>1</v>
      </c>
      <c r="D273" s="5">
        <v>0</v>
      </c>
      <c r="E273" s="5">
        <v>1</v>
      </c>
      <c r="F273" s="5">
        <v>18</v>
      </c>
      <c r="G273" s="5" t="b">
        <v>0</v>
      </c>
      <c r="H273" s="5">
        <v>3</v>
      </c>
      <c r="I273" s="5">
        <v>1</v>
      </c>
      <c r="J273" s="5">
        <v>0.2</v>
      </c>
    </row>
    <row r="274" spans="1:10">
      <c r="A274" s="5">
        <v>273</v>
      </c>
      <c r="B274" s="6">
        <v>40555</v>
      </c>
      <c r="C274" s="5">
        <v>1</v>
      </c>
      <c r="D274" s="5">
        <v>0</v>
      </c>
      <c r="E274" s="5">
        <v>1</v>
      </c>
      <c r="F274" s="5">
        <v>19</v>
      </c>
      <c r="G274" s="5" t="b">
        <v>0</v>
      </c>
      <c r="H274" s="5">
        <v>3</v>
      </c>
      <c r="I274" s="5">
        <v>1</v>
      </c>
      <c r="J274" s="5">
        <v>0.18</v>
      </c>
    </row>
    <row r="275" spans="1:10">
      <c r="A275" s="5">
        <v>274</v>
      </c>
      <c r="B275" s="6">
        <v>40555</v>
      </c>
      <c r="C275" s="5">
        <v>1</v>
      </c>
      <c r="D275" s="5">
        <v>0</v>
      </c>
      <c r="E275" s="5">
        <v>1</v>
      </c>
      <c r="F275" s="5">
        <v>20</v>
      </c>
      <c r="G275" s="5" t="b">
        <v>0</v>
      </c>
      <c r="H275" s="5">
        <v>3</v>
      </c>
      <c r="I275" s="5">
        <v>1</v>
      </c>
      <c r="J275" s="5">
        <v>0.16</v>
      </c>
    </row>
    <row r="276" spans="1:10">
      <c r="A276" s="5">
        <v>275</v>
      </c>
      <c r="B276" s="6">
        <v>40555</v>
      </c>
      <c r="C276" s="5">
        <v>1</v>
      </c>
      <c r="D276" s="5">
        <v>0</v>
      </c>
      <c r="E276" s="5">
        <v>1</v>
      </c>
      <c r="F276" s="5">
        <v>21</v>
      </c>
      <c r="G276" s="5" t="b">
        <v>0</v>
      </c>
      <c r="H276" s="5">
        <v>3</v>
      </c>
      <c r="I276" s="5">
        <v>1</v>
      </c>
      <c r="J276" s="5">
        <v>0.16</v>
      </c>
    </row>
    <row r="277" spans="1:10">
      <c r="A277" s="5">
        <v>276</v>
      </c>
      <c r="B277" s="6">
        <v>40555</v>
      </c>
      <c r="C277" s="5">
        <v>1</v>
      </c>
      <c r="D277" s="5">
        <v>0</v>
      </c>
      <c r="E277" s="5">
        <v>1</v>
      </c>
      <c r="F277" s="5">
        <v>22</v>
      </c>
      <c r="G277" s="5" t="b">
        <v>0</v>
      </c>
      <c r="H277" s="5">
        <v>3</v>
      </c>
      <c r="I277" s="5">
        <v>1</v>
      </c>
      <c r="J277" s="5">
        <v>0.16</v>
      </c>
    </row>
    <row r="278" spans="1:10">
      <c r="A278" s="5">
        <v>277</v>
      </c>
      <c r="B278" s="6">
        <v>40555</v>
      </c>
      <c r="C278" s="5">
        <v>1</v>
      </c>
      <c r="D278" s="5">
        <v>0</v>
      </c>
      <c r="E278" s="5">
        <v>1</v>
      </c>
      <c r="F278" s="5">
        <v>23</v>
      </c>
      <c r="G278" s="5" t="b">
        <v>0</v>
      </c>
      <c r="H278" s="5">
        <v>3</v>
      </c>
      <c r="I278" s="5">
        <v>1</v>
      </c>
      <c r="J278" s="5">
        <v>0.14000000000000001</v>
      </c>
    </row>
    <row r="279" spans="1:10">
      <c r="A279" s="5">
        <v>278</v>
      </c>
      <c r="B279" s="6">
        <v>40556</v>
      </c>
      <c r="C279" s="5">
        <v>1</v>
      </c>
      <c r="D279" s="5">
        <v>0</v>
      </c>
      <c r="E279" s="5">
        <v>1</v>
      </c>
      <c r="F279" s="5">
        <v>0</v>
      </c>
      <c r="G279" s="5" t="b">
        <v>0</v>
      </c>
      <c r="H279" s="5">
        <v>4</v>
      </c>
      <c r="I279" s="5">
        <v>1</v>
      </c>
      <c r="J279" s="5">
        <v>0.14000000000000001</v>
      </c>
    </row>
    <row r="280" spans="1:10">
      <c r="A280" s="5">
        <v>279</v>
      </c>
      <c r="B280" s="6">
        <v>40556</v>
      </c>
      <c r="C280" s="5">
        <v>1</v>
      </c>
      <c r="D280" s="5">
        <v>0</v>
      </c>
      <c r="E280" s="5">
        <v>1</v>
      </c>
      <c r="F280" s="5">
        <v>1</v>
      </c>
      <c r="G280" s="5" t="b">
        <v>0</v>
      </c>
      <c r="H280" s="5">
        <v>4</v>
      </c>
      <c r="I280" s="5">
        <v>1</v>
      </c>
      <c r="J280" s="5">
        <v>0.14000000000000001</v>
      </c>
    </row>
    <row r="281" spans="1:10">
      <c r="A281" s="5">
        <v>280</v>
      </c>
      <c r="B281" s="6">
        <v>40556</v>
      </c>
      <c r="C281" s="5">
        <v>1</v>
      </c>
      <c r="D281" s="5">
        <v>0</v>
      </c>
      <c r="E281" s="5">
        <v>1</v>
      </c>
      <c r="F281" s="5">
        <v>2</v>
      </c>
      <c r="G281" s="5" t="b">
        <v>0</v>
      </c>
      <c r="H281" s="5">
        <v>4</v>
      </c>
      <c r="I281" s="5">
        <v>1</v>
      </c>
      <c r="J281" s="5">
        <v>0.14000000000000001</v>
      </c>
    </row>
    <row r="282" spans="1:10">
      <c r="A282" s="5">
        <v>281</v>
      </c>
      <c r="B282" s="6">
        <v>40556</v>
      </c>
      <c r="C282" s="5">
        <v>1</v>
      </c>
      <c r="D282" s="5">
        <v>0</v>
      </c>
      <c r="E282" s="5">
        <v>1</v>
      </c>
      <c r="F282" s="5">
        <v>3</v>
      </c>
      <c r="G282" s="5" t="b">
        <v>0</v>
      </c>
      <c r="H282" s="5">
        <v>4</v>
      </c>
      <c r="I282" s="5">
        <v>1</v>
      </c>
      <c r="J282" s="5">
        <v>0.14000000000000001</v>
      </c>
    </row>
    <row r="283" spans="1:10">
      <c r="A283" s="5">
        <v>282</v>
      </c>
      <c r="B283" s="6">
        <v>40556</v>
      </c>
      <c r="C283" s="5">
        <v>1</v>
      </c>
      <c r="D283" s="5">
        <v>0</v>
      </c>
      <c r="E283" s="5">
        <v>1</v>
      </c>
      <c r="F283" s="5">
        <v>4</v>
      </c>
      <c r="G283" s="5" t="b">
        <v>0</v>
      </c>
      <c r="H283" s="5">
        <v>4</v>
      </c>
      <c r="I283" s="5">
        <v>1</v>
      </c>
      <c r="J283" s="5">
        <v>0.14000000000000001</v>
      </c>
    </row>
    <row r="284" spans="1:10">
      <c r="A284" s="5">
        <v>283</v>
      </c>
      <c r="B284" s="6">
        <v>40556</v>
      </c>
      <c r="C284" s="5">
        <v>1</v>
      </c>
      <c r="D284" s="5">
        <v>0</v>
      </c>
      <c r="E284" s="5">
        <v>1</v>
      </c>
      <c r="F284" s="5">
        <v>5</v>
      </c>
      <c r="G284" s="5" t="b">
        <v>0</v>
      </c>
      <c r="H284" s="5">
        <v>4</v>
      </c>
      <c r="I284" s="5">
        <v>1</v>
      </c>
      <c r="J284" s="5">
        <v>0.14000000000000001</v>
      </c>
    </row>
    <row r="285" spans="1:10">
      <c r="A285" s="5">
        <v>284</v>
      </c>
      <c r="B285" s="6">
        <v>40556</v>
      </c>
      <c r="C285" s="5">
        <v>1</v>
      </c>
      <c r="D285" s="5">
        <v>0</v>
      </c>
      <c r="E285" s="5">
        <v>1</v>
      </c>
      <c r="F285" s="5">
        <v>6</v>
      </c>
      <c r="G285" s="5" t="b">
        <v>0</v>
      </c>
      <c r="H285" s="5">
        <v>4</v>
      </c>
      <c r="I285" s="5">
        <v>1</v>
      </c>
      <c r="J285" s="5">
        <v>0.12</v>
      </c>
    </row>
    <row r="286" spans="1:10">
      <c r="A286" s="5">
        <v>285</v>
      </c>
      <c r="B286" s="6">
        <v>40556</v>
      </c>
      <c r="C286" s="5">
        <v>1</v>
      </c>
      <c r="D286" s="5">
        <v>0</v>
      </c>
      <c r="E286" s="5">
        <v>1</v>
      </c>
      <c r="F286" s="5">
        <v>7</v>
      </c>
      <c r="G286" s="5" t="b">
        <v>0</v>
      </c>
      <c r="H286" s="5">
        <v>4</v>
      </c>
      <c r="I286" s="5">
        <v>1</v>
      </c>
      <c r="J286" s="5">
        <v>0.12</v>
      </c>
    </row>
    <row r="287" spans="1:10">
      <c r="A287" s="5">
        <v>286</v>
      </c>
      <c r="B287" s="6">
        <v>40556</v>
      </c>
      <c r="C287" s="5">
        <v>1</v>
      </c>
      <c r="D287" s="5">
        <v>0</v>
      </c>
      <c r="E287" s="5">
        <v>1</v>
      </c>
      <c r="F287" s="5">
        <v>8</v>
      </c>
      <c r="G287" s="5" t="b">
        <v>0</v>
      </c>
      <c r="H287" s="5">
        <v>4</v>
      </c>
      <c r="I287" s="5">
        <v>1</v>
      </c>
      <c r="J287" s="5">
        <v>0.14000000000000001</v>
      </c>
    </row>
    <row r="288" spans="1:10">
      <c r="A288" s="5">
        <v>287</v>
      </c>
      <c r="B288" s="6">
        <v>40556</v>
      </c>
      <c r="C288" s="5">
        <v>1</v>
      </c>
      <c r="D288" s="5">
        <v>0</v>
      </c>
      <c r="E288" s="5">
        <v>1</v>
      </c>
      <c r="F288" s="5">
        <v>9</v>
      </c>
      <c r="G288" s="5" t="b">
        <v>0</v>
      </c>
      <c r="H288" s="5">
        <v>4</v>
      </c>
      <c r="I288" s="5">
        <v>1</v>
      </c>
      <c r="J288" s="5">
        <v>0.14000000000000001</v>
      </c>
    </row>
    <row r="289" spans="1:10">
      <c r="A289" s="5">
        <v>288</v>
      </c>
      <c r="B289" s="6">
        <v>40556</v>
      </c>
      <c r="C289" s="5">
        <v>1</v>
      </c>
      <c r="D289" s="5">
        <v>0</v>
      </c>
      <c r="E289" s="5">
        <v>1</v>
      </c>
      <c r="F289" s="5">
        <v>10</v>
      </c>
      <c r="G289" s="5" t="b">
        <v>0</v>
      </c>
      <c r="H289" s="5">
        <v>4</v>
      </c>
      <c r="I289" s="5">
        <v>2</v>
      </c>
      <c r="J289" s="5">
        <v>0.16</v>
      </c>
    </row>
    <row r="290" spans="1:10">
      <c r="A290" s="5">
        <v>289</v>
      </c>
      <c r="B290" s="6">
        <v>40556</v>
      </c>
      <c r="C290" s="5">
        <v>1</v>
      </c>
      <c r="D290" s="5">
        <v>0</v>
      </c>
      <c r="E290" s="5">
        <v>1</v>
      </c>
      <c r="F290" s="5">
        <v>11</v>
      </c>
      <c r="G290" s="5" t="b">
        <v>0</v>
      </c>
      <c r="H290" s="5">
        <v>4</v>
      </c>
      <c r="I290" s="5">
        <v>2</v>
      </c>
      <c r="J290" s="5">
        <v>0.2</v>
      </c>
    </row>
    <row r="291" spans="1:10">
      <c r="A291" s="5">
        <v>290</v>
      </c>
      <c r="B291" s="6">
        <v>40556</v>
      </c>
      <c r="C291" s="5">
        <v>1</v>
      </c>
      <c r="D291" s="5">
        <v>0</v>
      </c>
      <c r="E291" s="5">
        <v>1</v>
      </c>
      <c r="F291" s="5">
        <v>12</v>
      </c>
      <c r="G291" s="5" t="b">
        <v>0</v>
      </c>
      <c r="H291" s="5">
        <v>4</v>
      </c>
      <c r="I291" s="5">
        <v>1</v>
      </c>
      <c r="J291" s="5">
        <v>0.2</v>
      </c>
    </row>
    <row r="292" spans="1:10">
      <c r="A292" s="5">
        <v>291</v>
      </c>
      <c r="B292" s="6">
        <v>40556</v>
      </c>
      <c r="C292" s="5">
        <v>1</v>
      </c>
      <c r="D292" s="5">
        <v>0</v>
      </c>
      <c r="E292" s="5">
        <v>1</v>
      </c>
      <c r="F292" s="5">
        <v>13</v>
      </c>
      <c r="G292" s="5" t="b">
        <v>0</v>
      </c>
      <c r="H292" s="5">
        <v>4</v>
      </c>
      <c r="I292" s="5">
        <v>1</v>
      </c>
      <c r="J292" s="5">
        <v>0.22</v>
      </c>
    </row>
    <row r="293" spans="1:10">
      <c r="A293" s="5">
        <v>292</v>
      </c>
      <c r="B293" s="6">
        <v>40556</v>
      </c>
      <c r="C293" s="5">
        <v>1</v>
      </c>
      <c r="D293" s="5">
        <v>0</v>
      </c>
      <c r="E293" s="5">
        <v>1</v>
      </c>
      <c r="F293" s="5">
        <v>14</v>
      </c>
      <c r="G293" s="5" t="b">
        <v>0</v>
      </c>
      <c r="H293" s="5">
        <v>4</v>
      </c>
      <c r="I293" s="5">
        <v>1</v>
      </c>
      <c r="J293" s="5">
        <v>0.22</v>
      </c>
    </row>
    <row r="294" spans="1:10">
      <c r="A294" s="5">
        <v>293</v>
      </c>
      <c r="B294" s="6">
        <v>40556</v>
      </c>
      <c r="C294" s="5">
        <v>1</v>
      </c>
      <c r="D294" s="5">
        <v>0</v>
      </c>
      <c r="E294" s="5">
        <v>1</v>
      </c>
      <c r="F294" s="5">
        <v>15</v>
      </c>
      <c r="G294" s="5" t="b">
        <v>0</v>
      </c>
      <c r="H294" s="5">
        <v>4</v>
      </c>
      <c r="I294" s="5">
        <v>1</v>
      </c>
      <c r="J294" s="5">
        <v>0.24</v>
      </c>
    </row>
    <row r="295" spans="1:10">
      <c r="A295" s="5">
        <v>294</v>
      </c>
      <c r="B295" s="6">
        <v>40556</v>
      </c>
      <c r="C295" s="5">
        <v>1</v>
      </c>
      <c r="D295" s="5">
        <v>0</v>
      </c>
      <c r="E295" s="5">
        <v>1</v>
      </c>
      <c r="F295" s="5">
        <v>16</v>
      </c>
      <c r="G295" s="5" t="b">
        <v>0</v>
      </c>
      <c r="H295" s="5">
        <v>4</v>
      </c>
      <c r="I295" s="5">
        <v>1</v>
      </c>
      <c r="J295" s="5">
        <v>0.24</v>
      </c>
    </row>
    <row r="296" spans="1:10">
      <c r="A296" s="5">
        <v>295</v>
      </c>
      <c r="B296" s="6">
        <v>40556</v>
      </c>
      <c r="C296" s="5">
        <v>1</v>
      </c>
      <c r="D296" s="5">
        <v>0</v>
      </c>
      <c r="E296" s="5">
        <v>1</v>
      </c>
      <c r="F296" s="5">
        <v>17</v>
      </c>
      <c r="G296" s="5" t="b">
        <v>0</v>
      </c>
      <c r="H296" s="5">
        <v>4</v>
      </c>
      <c r="I296" s="5">
        <v>1</v>
      </c>
      <c r="J296" s="5">
        <v>0.2</v>
      </c>
    </row>
    <row r="297" spans="1:10">
      <c r="A297" s="5">
        <v>296</v>
      </c>
      <c r="B297" s="6">
        <v>40556</v>
      </c>
      <c r="C297" s="5">
        <v>1</v>
      </c>
      <c r="D297" s="5">
        <v>0</v>
      </c>
      <c r="E297" s="5">
        <v>1</v>
      </c>
      <c r="F297" s="5">
        <v>18</v>
      </c>
      <c r="G297" s="5" t="b">
        <v>0</v>
      </c>
      <c r="H297" s="5">
        <v>4</v>
      </c>
      <c r="I297" s="5">
        <v>1</v>
      </c>
      <c r="J297" s="5">
        <v>0.2</v>
      </c>
    </row>
    <row r="298" spans="1:10">
      <c r="A298" s="5">
        <v>297</v>
      </c>
      <c r="B298" s="6">
        <v>40556</v>
      </c>
      <c r="C298" s="5">
        <v>1</v>
      </c>
      <c r="D298" s="5">
        <v>0</v>
      </c>
      <c r="E298" s="5">
        <v>1</v>
      </c>
      <c r="F298" s="5">
        <v>19</v>
      </c>
      <c r="G298" s="5" t="b">
        <v>0</v>
      </c>
      <c r="H298" s="5">
        <v>4</v>
      </c>
      <c r="I298" s="5">
        <v>1</v>
      </c>
      <c r="J298" s="5">
        <v>0.16</v>
      </c>
    </row>
    <row r="299" spans="1:10">
      <c r="A299" s="5">
        <v>298</v>
      </c>
      <c r="B299" s="6">
        <v>40556</v>
      </c>
      <c r="C299" s="5">
        <v>1</v>
      </c>
      <c r="D299" s="5">
        <v>0</v>
      </c>
      <c r="E299" s="5">
        <v>1</v>
      </c>
      <c r="F299" s="5">
        <v>20</v>
      </c>
      <c r="G299" s="5" t="b">
        <v>0</v>
      </c>
      <c r="H299" s="5">
        <v>4</v>
      </c>
      <c r="I299" s="5">
        <v>1</v>
      </c>
      <c r="J299" s="5">
        <v>0.16</v>
      </c>
    </row>
    <row r="300" spans="1:10">
      <c r="A300" s="5">
        <v>299</v>
      </c>
      <c r="B300" s="6">
        <v>40556</v>
      </c>
      <c r="C300" s="5">
        <v>1</v>
      </c>
      <c r="D300" s="5">
        <v>0</v>
      </c>
      <c r="E300" s="5">
        <v>1</v>
      </c>
      <c r="F300" s="5">
        <v>21</v>
      </c>
      <c r="G300" s="5" t="b">
        <v>0</v>
      </c>
      <c r="H300" s="5">
        <v>4</v>
      </c>
      <c r="I300" s="5">
        <v>1</v>
      </c>
      <c r="J300" s="5">
        <v>0.14000000000000001</v>
      </c>
    </row>
    <row r="301" spans="1:10">
      <c r="A301" s="5">
        <v>300</v>
      </c>
      <c r="B301" s="6">
        <v>40556</v>
      </c>
      <c r="C301" s="5">
        <v>1</v>
      </c>
      <c r="D301" s="5">
        <v>0</v>
      </c>
      <c r="E301" s="5">
        <v>1</v>
      </c>
      <c r="F301" s="5">
        <v>22</v>
      </c>
      <c r="G301" s="5" t="b">
        <v>0</v>
      </c>
      <c r="H301" s="5">
        <v>4</v>
      </c>
      <c r="I301" s="5">
        <v>1</v>
      </c>
      <c r="J301" s="5">
        <v>0.14000000000000001</v>
      </c>
    </row>
    <row r="302" spans="1:10">
      <c r="A302" s="5">
        <v>301</v>
      </c>
      <c r="B302" s="6">
        <v>40556</v>
      </c>
      <c r="C302" s="5">
        <v>1</v>
      </c>
      <c r="D302" s="5">
        <v>0</v>
      </c>
      <c r="E302" s="5">
        <v>1</v>
      </c>
      <c r="F302" s="5">
        <v>23</v>
      </c>
      <c r="G302" s="5" t="b">
        <v>0</v>
      </c>
      <c r="H302" s="5">
        <v>4</v>
      </c>
      <c r="I302" s="5">
        <v>1</v>
      </c>
      <c r="J302" s="5">
        <v>0.12</v>
      </c>
    </row>
    <row r="303" spans="1:10">
      <c r="A303" s="5">
        <v>302</v>
      </c>
      <c r="B303" s="6">
        <v>40557</v>
      </c>
      <c r="C303" s="5">
        <v>1</v>
      </c>
      <c r="D303" s="5">
        <v>0</v>
      </c>
      <c r="E303" s="5">
        <v>1</v>
      </c>
      <c r="F303" s="5">
        <v>0</v>
      </c>
      <c r="G303" s="5" t="b">
        <v>0</v>
      </c>
      <c r="H303" s="5">
        <v>5</v>
      </c>
      <c r="I303" s="5">
        <v>1</v>
      </c>
      <c r="J303" s="5">
        <v>0.12</v>
      </c>
    </row>
    <row r="304" spans="1:10">
      <c r="A304" s="5">
        <v>303</v>
      </c>
      <c r="B304" s="6">
        <v>40557</v>
      </c>
      <c r="C304" s="5">
        <v>1</v>
      </c>
      <c r="D304" s="5">
        <v>0</v>
      </c>
      <c r="E304" s="5">
        <v>1</v>
      </c>
      <c r="F304" s="5">
        <v>1</v>
      </c>
      <c r="G304" s="5" t="b">
        <v>0</v>
      </c>
      <c r="H304" s="5">
        <v>5</v>
      </c>
      <c r="I304" s="5">
        <v>1</v>
      </c>
      <c r="J304" s="5">
        <v>0.1</v>
      </c>
    </row>
    <row r="305" spans="1:10">
      <c r="A305" s="5">
        <v>304</v>
      </c>
      <c r="B305" s="6">
        <v>40557</v>
      </c>
      <c r="C305" s="5">
        <v>1</v>
      </c>
      <c r="D305" s="5">
        <v>0</v>
      </c>
      <c r="E305" s="5">
        <v>1</v>
      </c>
      <c r="F305" s="5">
        <v>2</v>
      </c>
      <c r="G305" s="5" t="b">
        <v>0</v>
      </c>
      <c r="H305" s="5">
        <v>5</v>
      </c>
      <c r="I305" s="5">
        <v>1</v>
      </c>
      <c r="J305" s="5">
        <v>0.1</v>
      </c>
    </row>
    <row r="306" spans="1:10">
      <c r="A306" s="5">
        <v>305</v>
      </c>
      <c r="B306" s="6">
        <v>40557</v>
      </c>
      <c r="C306" s="5">
        <v>1</v>
      </c>
      <c r="D306" s="5">
        <v>0</v>
      </c>
      <c r="E306" s="5">
        <v>1</v>
      </c>
      <c r="F306" s="5">
        <v>3</v>
      </c>
      <c r="G306" s="5" t="b">
        <v>0</v>
      </c>
      <c r="H306" s="5">
        <v>5</v>
      </c>
      <c r="I306" s="5">
        <v>1</v>
      </c>
      <c r="J306" s="5">
        <v>0.1</v>
      </c>
    </row>
    <row r="307" spans="1:10">
      <c r="A307" s="5">
        <v>306</v>
      </c>
      <c r="B307" s="6">
        <v>40557</v>
      </c>
      <c r="C307" s="5">
        <v>1</v>
      </c>
      <c r="D307" s="5">
        <v>0</v>
      </c>
      <c r="E307" s="5">
        <v>1</v>
      </c>
      <c r="F307" s="5">
        <v>5</v>
      </c>
      <c r="G307" s="5" t="b">
        <v>0</v>
      </c>
      <c r="H307" s="5">
        <v>5</v>
      </c>
      <c r="I307" s="5">
        <v>1</v>
      </c>
      <c r="J307" s="5">
        <v>0.1</v>
      </c>
    </row>
    <row r="308" spans="1:10">
      <c r="A308" s="5">
        <v>307</v>
      </c>
      <c r="B308" s="6">
        <v>40557</v>
      </c>
      <c r="C308" s="5">
        <v>1</v>
      </c>
      <c r="D308" s="5">
        <v>0</v>
      </c>
      <c r="E308" s="5">
        <v>1</v>
      </c>
      <c r="F308" s="5">
        <v>6</v>
      </c>
      <c r="G308" s="5" t="b">
        <v>0</v>
      </c>
      <c r="H308" s="5">
        <v>5</v>
      </c>
      <c r="I308" s="5">
        <v>1</v>
      </c>
      <c r="J308" s="5">
        <v>0.1</v>
      </c>
    </row>
    <row r="309" spans="1:10">
      <c r="A309" s="5">
        <v>308</v>
      </c>
      <c r="B309" s="6">
        <v>40557</v>
      </c>
      <c r="C309" s="5">
        <v>1</v>
      </c>
      <c r="D309" s="5">
        <v>0</v>
      </c>
      <c r="E309" s="5">
        <v>1</v>
      </c>
      <c r="F309" s="5">
        <v>7</v>
      </c>
      <c r="G309" s="5" t="b">
        <v>0</v>
      </c>
      <c r="H309" s="5">
        <v>5</v>
      </c>
      <c r="I309" s="5">
        <v>1</v>
      </c>
      <c r="J309" s="5">
        <v>0.1</v>
      </c>
    </row>
    <row r="310" spans="1:10">
      <c r="A310" s="5">
        <v>309</v>
      </c>
      <c r="B310" s="6">
        <v>40557</v>
      </c>
      <c r="C310" s="5">
        <v>1</v>
      </c>
      <c r="D310" s="5">
        <v>0</v>
      </c>
      <c r="E310" s="5">
        <v>1</v>
      </c>
      <c r="F310" s="5">
        <v>8</v>
      </c>
      <c r="G310" s="5" t="b">
        <v>0</v>
      </c>
      <c r="H310" s="5">
        <v>5</v>
      </c>
      <c r="I310" s="5">
        <v>1</v>
      </c>
      <c r="J310" s="5">
        <v>0.12</v>
      </c>
    </row>
    <row r="311" spans="1:10">
      <c r="A311" s="5">
        <v>310</v>
      </c>
      <c r="B311" s="6">
        <v>40557</v>
      </c>
      <c r="C311" s="5">
        <v>1</v>
      </c>
      <c r="D311" s="5">
        <v>0</v>
      </c>
      <c r="E311" s="5">
        <v>1</v>
      </c>
      <c r="F311" s="5">
        <v>9</v>
      </c>
      <c r="G311" s="5" t="b">
        <v>0</v>
      </c>
      <c r="H311" s="5">
        <v>5</v>
      </c>
      <c r="I311" s="5">
        <v>1</v>
      </c>
      <c r="J311" s="5">
        <v>0.14000000000000001</v>
      </c>
    </row>
    <row r="312" spans="1:10">
      <c r="A312" s="5">
        <v>311</v>
      </c>
      <c r="B312" s="6">
        <v>40557</v>
      </c>
      <c r="C312" s="5">
        <v>1</v>
      </c>
      <c r="D312" s="5">
        <v>0</v>
      </c>
      <c r="E312" s="5">
        <v>1</v>
      </c>
      <c r="F312" s="5">
        <v>10</v>
      </c>
      <c r="G312" s="5" t="b">
        <v>0</v>
      </c>
      <c r="H312" s="5">
        <v>5</v>
      </c>
      <c r="I312" s="5">
        <v>1</v>
      </c>
      <c r="J312" s="5">
        <v>0.18</v>
      </c>
    </row>
    <row r="313" spans="1:10">
      <c r="A313" s="5">
        <v>312</v>
      </c>
      <c r="B313" s="6">
        <v>40557</v>
      </c>
      <c r="C313" s="5">
        <v>1</v>
      </c>
      <c r="D313" s="5">
        <v>0</v>
      </c>
      <c r="E313" s="5">
        <v>1</v>
      </c>
      <c r="F313" s="5">
        <v>11</v>
      </c>
      <c r="G313" s="5" t="b">
        <v>0</v>
      </c>
      <c r="H313" s="5">
        <v>5</v>
      </c>
      <c r="I313" s="5">
        <v>1</v>
      </c>
      <c r="J313" s="5">
        <v>0.18</v>
      </c>
    </row>
    <row r="314" spans="1:10">
      <c r="A314" s="5">
        <v>313</v>
      </c>
      <c r="B314" s="6">
        <v>40557</v>
      </c>
      <c r="C314" s="5">
        <v>1</v>
      </c>
      <c r="D314" s="5">
        <v>0</v>
      </c>
      <c r="E314" s="5">
        <v>1</v>
      </c>
      <c r="F314" s="5">
        <v>12</v>
      </c>
      <c r="G314" s="5" t="b">
        <v>0</v>
      </c>
      <c r="H314" s="5">
        <v>5</v>
      </c>
      <c r="I314" s="5">
        <v>1</v>
      </c>
      <c r="J314" s="5">
        <v>0.2</v>
      </c>
    </row>
    <row r="315" spans="1:10">
      <c r="A315" s="5">
        <v>314</v>
      </c>
      <c r="B315" s="6">
        <v>40557</v>
      </c>
      <c r="C315" s="5">
        <v>1</v>
      </c>
      <c r="D315" s="5">
        <v>0</v>
      </c>
      <c r="E315" s="5">
        <v>1</v>
      </c>
      <c r="F315" s="5">
        <v>13</v>
      </c>
      <c r="G315" s="5" t="b">
        <v>0</v>
      </c>
      <c r="H315" s="5">
        <v>5</v>
      </c>
      <c r="I315" s="5">
        <v>1</v>
      </c>
      <c r="J315" s="5">
        <v>0.22</v>
      </c>
    </row>
    <row r="316" spans="1:10">
      <c r="A316" s="5">
        <v>315</v>
      </c>
      <c r="B316" s="6">
        <v>40557</v>
      </c>
      <c r="C316" s="5">
        <v>1</v>
      </c>
      <c r="D316" s="5">
        <v>0</v>
      </c>
      <c r="E316" s="5">
        <v>1</v>
      </c>
      <c r="F316" s="5">
        <v>14</v>
      </c>
      <c r="G316" s="5" t="b">
        <v>0</v>
      </c>
      <c r="H316" s="5">
        <v>5</v>
      </c>
      <c r="I316" s="5">
        <v>1</v>
      </c>
      <c r="J316" s="5">
        <v>0.22</v>
      </c>
    </row>
    <row r="317" spans="1:10">
      <c r="A317" s="5">
        <v>316</v>
      </c>
      <c r="B317" s="6">
        <v>40557</v>
      </c>
      <c r="C317" s="5">
        <v>1</v>
      </c>
      <c r="D317" s="5">
        <v>0</v>
      </c>
      <c r="E317" s="5">
        <v>1</v>
      </c>
      <c r="F317" s="5">
        <v>15</v>
      </c>
      <c r="G317" s="5" t="b">
        <v>0</v>
      </c>
      <c r="H317" s="5">
        <v>5</v>
      </c>
      <c r="I317" s="5">
        <v>1</v>
      </c>
      <c r="J317" s="5">
        <v>0.24</v>
      </c>
    </row>
    <row r="318" spans="1:10">
      <c r="A318" s="5">
        <v>317</v>
      </c>
      <c r="B318" s="6">
        <v>40557</v>
      </c>
      <c r="C318" s="5">
        <v>1</v>
      </c>
      <c r="D318" s="5">
        <v>0</v>
      </c>
      <c r="E318" s="5">
        <v>1</v>
      </c>
      <c r="F318" s="5">
        <v>16</v>
      </c>
      <c r="G318" s="5" t="b">
        <v>0</v>
      </c>
      <c r="H318" s="5">
        <v>5</v>
      </c>
      <c r="I318" s="5">
        <v>1</v>
      </c>
      <c r="J318" s="5">
        <v>0.22</v>
      </c>
    </row>
    <row r="319" spans="1:10">
      <c r="A319" s="5">
        <v>318</v>
      </c>
      <c r="B319" s="6">
        <v>40557</v>
      </c>
      <c r="C319" s="5">
        <v>1</v>
      </c>
      <c r="D319" s="5">
        <v>0</v>
      </c>
      <c r="E319" s="5">
        <v>1</v>
      </c>
      <c r="F319" s="5">
        <v>17</v>
      </c>
      <c r="G319" s="5" t="b">
        <v>0</v>
      </c>
      <c r="H319" s="5">
        <v>5</v>
      </c>
      <c r="I319" s="5">
        <v>1</v>
      </c>
      <c r="J319" s="5">
        <v>0.22</v>
      </c>
    </row>
    <row r="320" spans="1:10">
      <c r="A320" s="5">
        <v>319</v>
      </c>
      <c r="B320" s="6">
        <v>40557</v>
      </c>
      <c r="C320" s="5">
        <v>1</v>
      </c>
      <c r="D320" s="5">
        <v>0</v>
      </c>
      <c r="E320" s="5">
        <v>1</v>
      </c>
      <c r="F320" s="5">
        <v>18</v>
      </c>
      <c r="G320" s="5" t="b">
        <v>0</v>
      </c>
      <c r="H320" s="5">
        <v>5</v>
      </c>
      <c r="I320" s="5">
        <v>1</v>
      </c>
      <c r="J320" s="5">
        <v>0.2</v>
      </c>
    </row>
    <row r="321" spans="1:10">
      <c r="A321" s="5">
        <v>320</v>
      </c>
      <c r="B321" s="6">
        <v>40557</v>
      </c>
      <c r="C321" s="5">
        <v>1</v>
      </c>
      <c r="D321" s="5">
        <v>0</v>
      </c>
      <c r="E321" s="5">
        <v>1</v>
      </c>
      <c r="F321" s="5">
        <v>19</v>
      </c>
      <c r="G321" s="5" t="b">
        <v>0</v>
      </c>
      <c r="H321" s="5">
        <v>5</v>
      </c>
      <c r="I321" s="5">
        <v>1</v>
      </c>
      <c r="J321" s="5">
        <v>0.16</v>
      </c>
    </row>
    <row r="322" spans="1:10">
      <c r="A322" s="5">
        <v>321</v>
      </c>
      <c r="B322" s="6">
        <v>40557</v>
      </c>
      <c r="C322" s="5">
        <v>1</v>
      </c>
      <c r="D322" s="5">
        <v>0</v>
      </c>
      <c r="E322" s="5">
        <v>1</v>
      </c>
      <c r="F322" s="5">
        <v>20</v>
      </c>
      <c r="G322" s="5" t="b">
        <v>0</v>
      </c>
      <c r="H322" s="5">
        <v>5</v>
      </c>
      <c r="I322" s="5">
        <v>1</v>
      </c>
      <c r="J322" s="5">
        <v>0.18</v>
      </c>
    </row>
    <row r="323" spans="1:10">
      <c r="A323" s="5">
        <v>322</v>
      </c>
      <c r="B323" s="6">
        <v>40557</v>
      </c>
      <c r="C323" s="5">
        <v>1</v>
      </c>
      <c r="D323" s="5">
        <v>0</v>
      </c>
      <c r="E323" s="5">
        <v>1</v>
      </c>
      <c r="F323" s="5">
        <v>21</v>
      </c>
      <c r="G323" s="5" t="b">
        <v>0</v>
      </c>
      <c r="H323" s="5">
        <v>5</v>
      </c>
      <c r="I323" s="5">
        <v>1</v>
      </c>
      <c r="J323" s="5">
        <v>0.16</v>
      </c>
    </row>
    <row r="324" spans="1:10">
      <c r="A324" s="5">
        <v>323</v>
      </c>
      <c r="B324" s="6">
        <v>40557</v>
      </c>
      <c r="C324" s="5">
        <v>1</v>
      </c>
      <c r="D324" s="5">
        <v>0</v>
      </c>
      <c r="E324" s="5">
        <v>1</v>
      </c>
      <c r="F324" s="5">
        <v>22</v>
      </c>
      <c r="G324" s="5" t="b">
        <v>0</v>
      </c>
      <c r="H324" s="5">
        <v>5</v>
      </c>
      <c r="I324" s="5">
        <v>2</v>
      </c>
      <c r="J324" s="5">
        <v>0.16</v>
      </c>
    </row>
    <row r="325" spans="1:10">
      <c r="A325" s="5">
        <v>324</v>
      </c>
      <c r="B325" s="6">
        <v>40557</v>
      </c>
      <c r="C325" s="5">
        <v>1</v>
      </c>
      <c r="D325" s="5">
        <v>0</v>
      </c>
      <c r="E325" s="5">
        <v>1</v>
      </c>
      <c r="F325" s="5">
        <v>23</v>
      </c>
      <c r="G325" s="5" t="b">
        <v>0</v>
      </c>
      <c r="H325" s="5">
        <v>5</v>
      </c>
      <c r="I325" s="5">
        <v>2</v>
      </c>
      <c r="J325" s="5">
        <v>0.18</v>
      </c>
    </row>
    <row r="326" spans="1:10">
      <c r="A326" s="5">
        <v>325</v>
      </c>
      <c r="B326" s="6">
        <v>40558</v>
      </c>
      <c r="C326" s="5">
        <v>1</v>
      </c>
      <c r="D326" s="5">
        <v>0</v>
      </c>
      <c r="E326" s="5">
        <v>1</v>
      </c>
      <c r="F326" s="5">
        <v>0</v>
      </c>
      <c r="G326" s="5" t="b">
        <v>0</v>
      </c>
      <c r="H326" s="5">
        <v>6</v>
      </c>
      <c r="I326" s="5">
        <v>1</v>
      </c>
      <c r="J326" s="5">
        <v>0.18</v>
      </c>
    </row>
    <row r="327" spans="1:10">
      <c r="A327" s="5">
        <v>326</v>
      </c>
      <c r="B327" s="6">
        <v>40558</v>
      </c>
      <c r="C327" s="5">
        <v>1</v>
      </c>
      <c r="D327" s="5">
        <v>0</v>
      </c>
      <c r="E327" s="5">
        <v>1</v>
      </c>
      <c r="F327" s="5">
        <v>1</v>
      </c>
      <c r="G327" s="5" t="b">
        <v>0</v>
      </c>
      <c r="H327" s="5">
        <v>6</v>
      </c>
      <c r="I327" s="5">
        <v>2</v>
      </c>
      <c r="J327" s="5">
        <v>0.16</v>
      </c>
    </row>
    <row r="328" spans="1:10">
      <c r="A328" s="5">
        <v>327</v>
      </c>
      <c r="B328" s="6">
        <v>40558</v>
      </c>
      <c r="C328" s="5">
        <v>1</v>
      </c>
      <c r="D328" s="5">
        <v>0</v>
      </c>
      <c r="E328" s="5">
        <v>1</v>
      </c>
      <c r="F328" s="5">
        <v>2</v>
      </c>
      <c r="G328" s="5" t="b">
        <v>0</v>
      </c>
      <c r="H328" s="5">
        <v>6</v>
      </c>
      <c r="I328" s="5">
        <v>2</v>
      </c>
      <c r="J328" s="5">
        <v>0.16</v>
      </c>
    </row>
    <row r="329" spans="1:10">
      <c r="A329" s="5">
        <v>328</v>
      </c>
      <c r="B329" s="6">
        <v>40558</v>
      </c>
      <c r="C329" s="5">
        <v>1</v>
      </c>
      <c r="D329" s="5">
        <v>0</v>
      </c>
      <c r="E329" s="5">
        <v>1</v>
      </c>
      <c r="F329" s="5">
        <v>3</v>
      </c>
      <c r="G329" s="5" t="b">
        <v>0</v>
      </c>
      <c r="H329" s="5">
        <v>6</v>
      </c>
      <c r="I329" s="5">
        <v>2</v>
      </c>
      <c r="J329" s="5">
        <v>0.16</v>
      </c>
    </row>
    <row r="330" spans="1:10">
      <c r="A330" s="5">
        <v>329</v>
      </c>
      <c r="B330" s="6">
        <v>40558</v>
      </c>
      <c r="C330" s="5">
        <v>1</v>
      </c>
      <c r="D330" s="5">
        <v>0</v>
      </c>
      <c r="E330" s="5">
        <v>1</v>
      </c>
      <c r="F330" s="5">
        <v>4</v>
      </c>
      <c r="G330" s="5" t="b">
        <v>0</v>
      </c>
      <c r="H330" s="5">
        <v>6</v>
      </c>
      <c r="I330" s="5">
        <v>2</v>
      </c>
      <c r="J330" s="5">
        <v>0.16</v>
      </c>
    </row>
    <row r="331" spans="1:10">
      <c r="A331" s="5">
        <v>330</v>
      </c>
      <c r="B331" s="6">
        <v>40558</v>
      </c>
      <c r="C331" s="5">
        <v>1</v>
      </c>
      <c r="D331" s="5">
        <v>0</v>
      </c>
      <c r="E331" s="5">
        <v>1</v>
      </c>
      <c r="F331" s="5">
        <v>5</v>
      </c>
      <c r="G331" s="5" t="b">
        <v>0</v>
      </c>
      <c r="H331" s="5">
        <v>6</v>
      </c>
      <c r="I331" s="5">
        <v>1</v>
      </c>
      <c r="J331" s="5">
        <v>0.16</v>
      </c>
    </row>
    <row r="332" spans="1:10">
      <c r="A332" s="5">
        <v>331</v>
      </c>
      <c r="B332" s="6">
        <v>40558</v>
      </c>
      <c r="C332" s="5">
        <v>1</v>
      </c>
      <c r="D332" s="5">
        <v>0</v>
      </c>
      <c r="E332" s="5">
        <v>1</v>
      </c>
      <c r="F332" s="5">
        <v>6</v>
      </c>
      <c r="G332" s="5" t="b">
        <v>0</v>
      </c>
      <c r="H332" s="5">
        <v>6</v>
      </c>
      <c r="I332" s="5">
        <v>1</v>
      </c>
      <c r="J332" s="5">
        <v>0.14000000000000001</v>
      </c>
    </row>
    <row r="333" spans="1:10">
      <c r="A333" s="5">
        <v>332</v>
      </c>
      <c r="B333" s="6">
        <v>40558</v>
      </c>
      <c r="C333" s="5">
        <v>1</v>
      </c>
      <c r="D333" s="5">
        <v>0</v>
      </c>
      <c r="E333" s="5">
        <v>1</v>
      </c>
      <c r="F333" s="5">
        <v>7</v>
      </c>
      <c r="G333" s="5" t="b">
        <v>0</v>
      </c>
      <c r="H333" s="5">
        <v>6</v>
      </c>
      <c r="I333" s="5">
        <v>1</v>
      </c>
      <c r="J333" s="5">
        <v>0.14000000000000001</v>
      </c>
    </row>
    <row r="334" spans="1:10">
      <c r="A334" s="5">
        <v>333</v>
      </c>
      <c r="B334" s="6">
        <v>40558</v>
      </c>
      <c r="C334" s="5">
        <v>1</v>
      </c>
      <c r="D334" s="5">
        <v>0</v>
      </c>
      <c r="E334" s="5">
        <v>1</v>
      </c>
      <c r="F334" s="5">
        <v>8</v>
      </c>
      <c r="G334" s="5" t="b">
        <v>0</v>
      </c>
      <c r="H334" s="5">
        <v>6</v>
      </c>
      <c r="I334" s="5">
        <v>1</v>
      </c>
      <c r="J334" s="5">
        <v>0.14000000000000001</v>
      </c>
    </row>
    <row r="335" spans="1:10">
      <c r="A335" s="5">
        <v>334</v>
      </c>
      <c r="B335" s="6">
        <v>40558</v>
      </c>
      <c r="C335" s="5">
        <v>1</v>
      </c>
      <c r="D335" s="5">
        <v>0</v>
      </c>
      <c r="E335" s="5">
        <v>1</v>
      </c>
      <c r="F335" s="5">
        <v>9</v>
      </c>
      <c r="G335" s="5" t="b">
        <v>0</v>
      </c>
      <c r="H335" s="5">
        <v>6</v>
      </c>
      <c r="I335" s="5">
        <v>1</v>
      </c>
      <c r="J335" s="5">
        <v>0.16</v>
      </c>
    </row>
    <row r="336" spans="1:10">
      <c r="A336" s="5">
        <v>335</v>
      </c>
      <c r="B336" s="6">
        <v>40558</v>
      </c>
      <c r="C336" s="5">
        <v>1</v>
      </c>
      <c r="D336" s="5">
        <v>0</v>
      </c>
      <c r="E336" s="5">
        <v>1</v>
      </c>
      <c r="F336" s="5">
        <v>10</v>
      </c>
      <c r="G336" s="5" t="b">
        <v>0</v>
      </c>
      <c r="H336" s="5">
        <v>6</v>
      </c>
      <c r="I336" s="5">
        <v>1</v>
      </c>
      <c r="J336" s="5">
        <v>0.18</v>
      </c>
    </row>
    <row r="337" spans="1:10">
      <c r="A337" s="5">
        <v>336</v>
      </c>
      <c r="B337" s="6">
        <v>40558</v>
      </c>
      <c r="C337" s="5">
        <v>1</v>
      </c>
      <c r="D337" s="5">
        <v>0</v>
      </c>
      <c r="E337" s="5">
        <v>1</v>
      </c>
      <c r="F337" s="5">
        <v>11</v>
      </c>
      <c r="G337" s="5" t="b">
        <v>0</v>
      </c>
      <c r="H337" s="5">
        <v>6</v>
      </c>
      <c r="I337" s="5">
        <v>1</v>
      </c>
      <c r="J337" s="5">
        <v>0.2</v>
      </c>
    </row>
    <row r="338" spans="1:10">
      <c r="A338" s="5">
        <v>337</v>
      </c>
      <c r="B338" s="6">
        <v>40558</v>
      </c>
      <c r="C338" s="5">
        <v>1</v>
      </c>
      <c r="D338" s="5">
        <v>0</v>
      </c>
      <c r="E338" s="5">
        <v>1</v>
      </c>
      <c r="F338" s="5">
        <v>12</v>
      </c>
      <c r="G338" s="5" t="b">
        <v>0</v>
      </c>
      <c r="H338" s="5">
        <v>6</v>
      </c>
      <c r="I338" s="5">
        <v>1</v>
      </c>
      <c r="J338" s="5">
        <v>0.24</v>
      </c>
    </row>
    <row r="339" spans="1:10">
      <c r="A339" s="5">
        <v>338</v>
      </c>
      <c r="B339" s="6">
        <v>40558</v>
      </c>
      <c r="C339" s="5">
        <v>1</v>
      </c>
      <c r="D339" s="5">
        <v>0</v>
      </c>
      <c r="E339" s="5">
        <v>1</v>
      </c>
      <c r="F339" s="5">
        <v>13</v>
      </c>
      <c r="G339" s="5" t="b">
        <v>0</v>
      </c>
      <c r="H339" s="5">
        <v>6</v>
      </c>
      <c r="I339" s="5">
        <v>1</v>
      </c>
      <c r="J339" s="5">
        <v>0.28000000000000003</v>
      </c>
    </row>
    <row r="340" spans="1:10">
      <c r="A340" s="5">
        <v>339</v>
      </c>
      <c r="B340" s="6">
        <v>40558</v>
      </c>
      <c r="C340" s="5">
        <v>1</v>
      </c>
      <c r="D340" s="5">
        <v>0</v>
      </c>
      <c r="E340" s="5">
        <v>1</v>
      </c>
      <c r="F340" s="5">
        <v>14</v>
      </c>
      <c r="G340" s="5" t="b">
        <v>0</v>
      </c>
      <c r="H340" s="5">
        <v>6</v>
      </c>
      <c r="I340" s="5">
        <v>1</v>
      </c>
      <c r="J340" s="5">
        <v>0.3</v>
      </c>
    </row>
    <row r="341" spans="1:10">
      <c r="A341" s="5">
        <v>340</v>
      </c>
      <c r="B341" s="6">
        <v>40558</v>
      </c>
      <c r="C341" s="5">
        <v>1</v>
      </c>
      <c r="D341" s="5">
        <v>0</v>
      </c>
      <c r="E341" s="5">
        <v>1</v>
      </c>
      <c r="F341" s="5">
        <v>15</v>
      </c>
      <c r="G341" s="5" t="b">
        <v>0</v>
      </c>
      <c r="H341" s="5">
        <v>6</v>
      </c>
      <c r="I341" s="5">
        <v>2</v>
      </c>
      <c r="J341" s="5">
        <v>0.32</v>
      </c>
    </row>
    <row r="342" spans="1:10">
      <c r="A342" s="5">
        <v>341</v>
      </c>
      <c r="B342" s="6">
        <v>40558</v>
      </c>
      <c r="C342" s="5">
        <v>1</v>
      </c>
      <c r="D342" s="5">
        <v>0</v>
      </c>
      <c r="E342" s="5">
        <v>1</v>
      </c>
      <c r="F342" s="5">
        <v>16</v>
      </c>
      <c r="G342" s="5" t="b">
        <v>0</v>
      </c>
      <c r="H342" s="5">
        <v>6</v>
      </c>
      <c r="I342" s="5">
        <v>2</v>
      </c>
      <c r="J342" s="5">
        <v>0.34</v>
      </c>
    </row>
    <row r="343" spans="1:10">
      <c r="A343" s="5">
        <v>342</v>
      </c>
      <c r="B343" s="6">
        <v>40558</v>
      </c>
      <c r="C343" s="5">
        <v>1</v>
      </c>
      <c r="D343" s="5">
        <v>0</v>
      </c>
      <c r="E343" s="5">
        <v>1</v>
      </c>
      <c r="F343" s="5">
        <v>17</v>
      </c>
      <c r="G343" s="5" t="b">
        <v>0</v>
      </c>
      <c r="H343" s="5">
        <v>6</v>
      </c>
      <c r="I343" s="5">
        <v>2</v>
      </c>
      <c r="J343" s="5">
        <v>0.32</v>
      </c>
    </row>
    <row r="344" spans="1:10">
      <c r="A344" s="5">
        <v>343</v>
      </c>
      <c r="B344" s="6">
        <v>40558</v>
      </c>
      <c r="C344" s="5">
        <v>1</v>
      </c>
      <c r="D344" s="5">
        <v>0</v>
      </c>
      <c r="E344" s="5">
        <v>1</v>
      </c>
      <c r="F344" s="5">
        <v>18</v>
      </c>
      <c r="G344" s="5" t="b">
        <v>0</v>
      </c>
      <c r="H344" s="5">
        <v>6</v>
      </c>
      <c r="I344" s="5">
        <v>2</v>
      </c>
      <c r="J344" s="5">
        <v>0.3</v>
      </c>
    </row>
    <row r="345" spans="1:10">
      <c r="A345" s="5">
        <v>344</v>
      </c>
      <c r="B345" s="6">
        <v>40558</v>
      </c>
      <c r="C345" s="5">
        <v>1</v>
      </c>
      <c r="D345" s="5">
        <v>0</v>
      </c>
      <c r="E345" s="5">
        <v>1</v>
      </c>
      <c r="F345" s="5">
        <v>19</v>
      </c>
      <c r="G345" s="5" t="b">
        <v>0</v>
      </c>
      <c r="H345" s="5">
        <v>6</v>
      </c>
      <c r="I345" s="5">
        <v>2</v>
      </c>
      <c r="J345" s="5">
        <v>0.32</v>
      </c>
    </row>
    <row r="346" spans="1:10">
      <c r="A346" s="5">
        <v>345</v>
      </c>
      <c r="B346" s="6">
        <v>40558</v>
      </c>
      <c r="C346" s="5">
        <v>1</v>
      </c>
      <c r="D346" s="5">
        <v>0</v>
      </c>
      <c r="E346" s="5">
        <v>1</v>
      </c>
      <c r="F346" s="5">
        <v>20</v>
      </c>
      <c r="G346" s="5" t="b">
        <v>0</v>
      </c>
      <c r="H346" s="5">
        <v>6</v>
      </c>
      <c r="I346" s="5">
        <v>2</v>
      </c>
      <c r="J346" s="5">
        <v>0.32</v>
      </c>
    </row>
    <row r="347" spans="1:10">
      <c r="A347" s="5">
        <v>346</v>
      </c>
      <c r="B347" s="6">
        <v>40558</v>
      </c>
      <c r="C347" s="5">
        <v>1</v>
      </c>
      <c r="D347" s="5">
        <v>0</v>
      </c>
      <c r="E347" s="5">
        <v>1</v>
      </c>
      <c r="F347" s="5">
        <v>21</v>
      </c>
      <c r="G347" s="5" t="b">
        <v>0</v>
      </c>
      <c r="H347" s="5">
        <v>6</v>
      </c>
      <c r="I347" s="5">
        <v>2</v>
      </c>
      <c r="J347" s="5">
        <v>0.32</v>
      </c>
    </row>
    <row r="348" spans="1:10">
      <c r="A348" s="5">
        <v>347</v>
      </c>
      <c r="B348" s="6">
        <v>40558</v>
      </c>
      <c r="C348" s="5">
        <v>1</v>
      </c>
      <c r="D348" s="5">
        <v>0</v>
      </c>
      <c r="E348" s="5">
        <v>1</v>
      </c>
      <c r="F348" s="5">
        <v>22</v>
      </c>
      <c r="G348" s="5" t="b">
        <v>0</v>
      </c>
      <c r="H348" s="5">
        <v>6</v>
      </c>
      <c r="I348" s="5">
        <v>2</v>
      </c>
      <c r="J348" s="5">
        <v>0.3</v>
      </c>
    </row>
    <row r="349" spans="1:10">
      <c r="A349" s="5">
        <v>348</v>
      </c>
      <c r="B349" s="6">
        <v>40558</v>
      </c>
      <c r="C349" s="5">
        <v>1</v>
      </c>
      <c r="D349" s="5">
        <v>0</v>
      </c>
      <c r="E349" s="5">
        <v>1</v>
      </c>
      <c r="F349" s="5">
        <v>23</v>
      </c>
      <c r="G349" s="5" t="b">
        <v>0</v>
      </c>
      <c r="H349" s="5">
        <v>6</v>
      </c>
      <c r="I349" s="5">
        <v>1</v>
      </c>
      <c r="J349" s="5">
        <v>0.3</v>
      </c>
    </row>
    <row r="350" spans="1:10">
      <c r="A350" s="5">
        <v>349</v>
      </c>
      <c r="B350" s="6">
        <v>40559</v>
      </c>
      <c r="C350" s="5">
        <v>1</v>
      </c>
      <c r="D350" s="5">
        <v>0</v>
      </c>
      <c r="E350" s="5">
        <v>1</v>
      </c>
      <c r="F350" s="5">
        <v>0</v>
      </c>
      <c r="G350" s="5" t="b">
        <v>0</v>
      </c>
      <c r="H350" s="5">
        <v>0</v>
      </c>
      <c r="I350" s="5">
        <v>1</v>
      </c>
      <c r="J350" s="5">
        <v>0.26</v>
      </c>
    </row>
    <row r="351" spans="1:10">
      <c r="A351" s="5">
        <v>350</v>
      </c>
      <c r="B351" s="6">
        <v>40559</v>
      </c>
      <c r="C351" s="5">
        <v>1</v>
      </c>
      <c r="D351" s="5">
        <v>0</v>
      </c>
      <c r="E351" s="5">
        <v>1</v>
      </c>
      <c r="F351" s="5">
        <v>1</v>
      </c>
      <c r="G351" s="5" t="b">
        <v>0</v>
      </c>
      <c r="H351" s="5">
        <v>0</v>
      </c>
      <c r="I351" s="5">
        <v>1</v>
      </c>
      <c r="J351" s="5">
        <v>0.26</v>
      </c>
    </row>
    <row r="352" spans="1:10">
      <c r="A352" s="5">
        <v>351</v>
      </c>
      <c r="B352" s="6">
        <v>40559</v>
      </c>
      <c r="C352" s="5">
        <v>1</v>
      </c>
      <c r="D352" s="5">
        <v>0</v>
      </c>
      <c r="E352" s="5">
        <v>1</v>
      </c>
      <c r="F352" s="5">
        <v>2</v>
      </c>
      <c r="G352" s="5" t="b">
        <v>0</v>
      </c>
      <c r="H352" s="5">
        <v>0</v>
      </c>
      <c r="I352" s="5">
        <v>1</v>
      </c>
      <c r="J352" s="5">
        <v>0.26</v>
      </c>
    </row>
    <row r="353" spans="1:10">
      <c r="A353" s="5">
        <v>352</v>
      </c>
      <c r="B353" s="6">
        <v>40559</v>
      </c>
      <c r="C353" s="5">
        <v>1</v>
      </c>
      <c r="D353" s="5">
        <v>0</v>
      </c>
      <c r="E353" s="5">
        <v>1</v>
      </c>
      <c r="F353" s="5">
        <v>3</v>
      </c>
      <c r="G353" s="5" t="b">
        <v>0</v>
      </c>
      <c r="H353" s="5">
        <v>0</v>
      </c>
      <c r="I353" s="5">
        <v>1</v>
      </c>
      <c r="J353" s="5">
        <v>0.22</v>
      </c>
    </row>
    <row r="354" spans="1:10">
      <c r="A354" s="5">
        <v>353</v>
      </c>
      <c r="B354" s="6">
        <v>40559</v>
      </c>
      <c r="C354" s="5">
        <v>1</v>
      </c>
      <c r="D354" s="5">
        <v>0</v>
      </c>
      <c r="E354" s="5">
        <v>1</v>
      </c>
      <c r="F354" s="5">
        <v>4</v>
      </c>
      <c r="G354" s="5" t="b">
        <v>0</v>
      </c>
      <c r="H354" s="5">
        <v>0</v>
      </c>
      <c r="I354" s="5">
        <v>1</v>
      </c>
      <c r="J354" s="5">
        <v>0.26</v>
      </c>
    </row>
    <row r="355" spans="1:10">
      <c r="A355" s="5">
        <v>354</v>
      </c>
      <c r="B355" s="6">
        <v>40559</v>
      </c>
      <c r="C355" s="5">
        <v>1</v>
      </c>
      <c r="D355" s="5">
        <v>0</v>
      </c>
      <c r="E355" s="5">
        <v>1</v>
      </c>
      <c r="F355" s="5">
        <v>5</v>
      </c>
      <c r="G355" s="5" t="b">
        <v>0</v>
      </c>
      <c r="H355" s="5">
        <v>0</v>
      </c>
      <c r="I355" s="5">
        <v>2</v>
      </c>
      <c r="J355" s="5">
        <v>0.26</v>
      </c>
    </row>
    <row r="356" spans="1:10">
      <c r="A356" s="5">
        <v>355</v>
      </c>
      <c r="B356" s="6">
        <v>40559</v>
      </c>
      <c r="C356" s="5">
        <v>1</v>
      </c>
      <c r="D356" s="5">
        <v>0</v>
      </c>
      <c r="E356" s="5">
        <v>1</v>
      </c>
      <c r="F356" s="5">
        <v>6</v>
      </c>
      <c r="G356" s="5" t="b">
        <v>0</v>
      </c>
      <c r="H356" s="5">
        <v>0</v>
      </c>
      <c r="I356" s="5">
        <v>2</v>
      </c>
      <c r="J356" s="5">
        <v>0.26</v>
      </c>
    </row>
    <row r="357" spans="1:10">
      <c r="A357" s="5">
        <v>356</v>
      </c>
      <c r="B357" s="6">
        <v>40559</v>
      </c>
      <c r="C357" s="5">
        <v>1</v>
      </c>
      <c r="D357" s="5">
        <v>0</v>
      </c>
      <c r="E357" s="5">
        <v>1</v>
      </c>
      <c r="F357" s="5">
        <v>7</v>
      </c>
      <c r="G357" s="5" t="b">
        <v>0</v>
      </c>
      <c r="H357" s="5">
        <v>0</v>
      </c>
      <c r="I357" s="5">
        <v>2</v>
      </c>
      <c r="J357" s="5">
        <v>0.24</v>
      </c>
    </row>
    <row r="358" spans="1:10">
      <c r="A358" s="5">
        <v>357</v>
      </c>
      <c r="B358" s="6">
        <v>40559</v>
      </c>
      <c r="C358" s="5">
        <v>1</v>
      </c>
      <c r="D358" s="5">
        <v>0</v>
      </c>
      <c r="E358" s="5">
        <v>1</v>
      </c>
      <c r="F358" s="5">
        <v>8</v>
      </c>
      <c r="G358" s="5" t="b">
        <v>0</v>
      </c>
      <c r="H358" s="5">
        <v>0</v>
      </c>
      <c r="I358" s="5">
        <v>1</v>
      </c>
      <c r="J358" s="5">
        <v>0.22</v>
      </c>
    </row>
    <row r="359" spans="1:10">
      <c r="A359" s="5">
        <v>358</v>
      </c>
      <c r="B359" s="6">
        <v>40559</v>
      </c>
      <c r="C359" s="5">
        <v>1</v>
      </c>
      <c r="D359" s="5">
        <v>0</v>
      </c>
      <c r="E359" s="5">
        <v>1</v>
      </c>
      <c r="F359" s="5">
        <v>9</v>
      </c>
      <c r="G359" s="5" t="b">
        <v>0</v>
      </c>
      <c r="H359" s="5">
        <v>0</v>
      </c>
      <c r="I359" s="5">
        <v>1</v>
      </c>
      <c r="J359" s="5">
        <v>0.22</v>
      </c>
    </row>
    <row r="360" spans="1:10">
      <c r="A360" s="5">
        <v>359</v>
      </c>
      <c r="B360" s="6">
        <v>40559</v>
      </c>
      <c r="C360" s="5">
        <v>1</v>
      </c>
      <c r="D360" s="5">
        <v>0</v>
      </c>
      <c r="E360" s="5">
        <v>1</v>
      </c>
      <c r="F360" s="5">
        <v>10</v>
      </c>
      <c r="G360" s="5" t="b">
        <v>0</v>
      </c>
      <c r="H360" s="5">
        <v>0</v>
      </c>
      <c r="I360" s="5">
        <v>1</v>
      </c>
      <c r="J360" s="5">
        <v>0.22</v>
      </c>
    </row>
    <row r="361" spans="1:10">
      <c r="A361" s="5">
        <v>360</v>
      </c>
      <c r="B361" s="6">
        <v>40559</v>
      </c>
      <c r="C361" s="5">
        <v>1</v>
      </c>
      <c r="D361" s="5">
        <v>0</v>
      </c>
      <c r="E361" s="5">
        <v>1</v>
      </c>
      <c r="F361" s="5">
        <v>11</v>
      </c>
      <c r="G361" s="5" t="b">
        <v>0</v>
      </c>
      <c r="H361" s="5">
        <v>0</v>
      </c>
      <c r="I361" s="5">
        <v>1</v>
      </c>
      <c r="J361" s="5">
        <v>0.24</v>
      </c>
    </row>
    <row r="362" spans="1:10">
      <c r="A362" s="5">
        <v>361</v>
      </c>
      <c r="B362" s="6">
        <v>40559</v>
      </c>
      <c r="C362" s="5">
        <v>1</v>
      </c>
      <c r="D362" s="5">
        <v>0</v>
      </c>
      <c r="E362" s="5">
        <v>1</v>
      </c>
      <c r="F362" s="5">
        <v>12</v>
      </c>
      <c r="G362" s="5" t="b">
        <v>0</v>
      </c>
      <c r="H362" s="5">
        <v>0</v>
      </c>
      <c r="I362" s="5">
        <v>1</v>
      </c>
      <c r="J362" s="5">
        <v>0.24</v>
      </c>
    </row>
    <row r="363" spans="1:10">
      <c r="A363" s="5">
        <v>362</v>
      </c>
      <c r="B363" s="6">
        <v>40559</v>
      </c>
      <c r="C363" s="5">
        <v>1</v>
      </c>
      <c r="D363" s="5">
        <v>0</v>
      </c>
      <c r="E363" s="5">
        <v>1</v>
      </c>
      <c r="F363" s="5">
        <v>13</v>
      </c>
      <c r="G363" s="5" t="b">
        <v>0</v>
      </c>
      <c r="H363" s="5">
        <v>0</v>
      </c>
      <c r="I363" s="5">
        <v>1</v>
      </c>
      <c r="J363" s="5">
        <v>0.26</v>
      </c>
    </row>
    <row r="364" spans="1:10">
      <c r="A364" s="5">
        <v>363</v>
      </c>
      <c r="B364" s="6">
        <v>40559</v>
      </c>
      <c r="C364" s="5">
        <v>1</v>
      </c>
      <c r="D364" s="5">
        <v>0</v>
      </c>
      <c r="E364" s="5">
        <v>1</v>
      </c>
      <c r="F364" s="5">
        <v>14</v>
      </c>
      <c r="G364" s="5" t="b">
        <v>0</v>
      </c>
      <c r="H364" s="5">
        <v>0</v>
      </c>
      <c r="I364" s="5">
        <v>1</v>
      </c>
      <c r="J364" s="5">
        <v>0.28000000000000003</v>
      </c>
    </row>
    <row r="365" spans="1:10">
      <c r="A365" s="5">
        <v>364</v>
      </c>
      <c r="B365" s="6">
        <v>40559</v>
      </c>
      <c r="C365" s="5">
        <v>1</v>
      </c>
      <c r="D365" s="5">
        <v>0</v>
      </c>
      <c r="E365" s="5">
        <v>1</v>
      </c>
      <c r="F365" s="5">
        <v>15</v>
      </c>
      <c r="G365" s="5" t="b">
        <v>0</v>
      </c>
      <c r="H365" s="5">
        <v>0</v>
      </c>
      <c r="I365" s="5">
        <v>1</v>
      </c>
      <c r="J365" s="5">
        <v>0.26</v>
      </c>
    </row>
    <row r="366" spans="1:10">
      <c r="A366" s="5">
        <v>365</v>
      </c>
      <c r="B366" s="6">
        <v>40559</v>
      </c>
      <c r="C366" s="5">
        <v>1</v>
      </c>
      <c r="D366" s="5">
        <v>0</v>
      </c>
      <c r="E366" s="5">
        <v>1</v>
      </c>
      <c r="F366" s="5">
        <v>16</v>
      </c>
      <c r="G366" s="5" t="b">
        <v>0</v>
      </c>
      <c r="H366" s="5">
        <v>0</v>
      </c>
      <c r="I366" s="5">
        <v>1</v>
      </c>
      <c r="J366" s="5">
        <v>0.24</v>
      </c>
    </row>
    <row r="367" spans="1:10">
      <c r="A367" s="5">
        <v>366</v>
      </c>
      <c r="B367" s="6">
        <v>40559</v>
      </c>
      <c r="C367" s="5">
        <v>1</v>
      </c>
      <c r="D367" s="5">
        <v>0</v>
      </c>
      <c r="E367" s="5">
        <v>1</v>
      </c>
      <c r="F367" s="5">
        <v>17</v>
      </c>
      <c r="G367" s="5" t="b">
        <v>0</v>
      </c>
      <c r="H367" s="5">
        <v>0</v>
      </c>
      <c r="I367" s="5">
        <v>1</v>
      </c>
      <c r="J367" s="5">
        <v>0.22</v>
      </c>
    </row>
    <row r="368" spans="1:10">
      <c r="A368" s="5">
        <v>367</v>
      </c>
      <c r="B368" s="6">
        <v>40559</v>
      </c>
      <c r="C368" s="5">
        <v>1</v>
      </c>
      <c r="D368" s="5">
        <v>0</v>
      </c>
      <c r="E368" s="5">
        <v>1</v>
      </c>
      <c r="F368" s="5">
        <v>18</v>
      </c>
      <c r="G368" s="5" t="b">
        <v>0</v>
      </c>
      <c r="H368" s="5">
        <v>0</v>
      </c>
      <c r="I368" s="5">
        <v>1</v>
      </c>
      <c r="J368" s="5">
        <v>0.2</v>
      </c>
    </row>
    <row r="369" spans="1:10">
      <c r="A369" s="5">
        <v>368</v>
      </c>
      <c r="B369" s="6">
        <v>40559</v>
      </c>
      <c r="C369" s="5">
        <v>1</v>
      </c>
      <c r="D369" s="5">
        <v>0</v>
      </c>
      <c r="E369" s="5">
        <v>1</v>
      </c>
      <c r="F369" s="5">
        <v>19</v>
      </c>
      <c r="G369" s="5" t="b">
        <v>0</v>
      </c>
      <c r="H369" s="5">
        <v>0</v>
      </c>
      <c r="I369" s="5">
        <v>1</v>
      </c>
      <c r="J369" s="5">
        <v>0.18</v>
      </c>
    </row>
    <row r="370" spans="1:10">
      <c r="A370" s="5">
        <v>369</v>
      </c>
      <c r="B370" s="6">
        <v>40559</v>
      </c>
      <c r="C370" s="5">
        <v>1</v>
      </c>
      <c r="D370" s="5">
        <v>0</v>
      </c>
      <c r="E370" s="5">
        <v>1</v>
      </c>
      <c r="F370" s="5">
        <v>20</v>
      </c>
      <c r="G370" s="5" t="b">
        <v>0</v>
      </c>
      <c r="H370" s="5">
        <v>0</v>
      </c>
      <c r="I370" s="5">
        <v>1</v>
      </c>
      <c r="J370" s="5">
        <v>0.18</v>
      </c>
    </row>
    <row r="371" spans="1:10">
      <c r="A371" s="5">
        <v>370</v>
      </c>
      <c r="B371" s="6">
        <v>40559</v>
      </c>
      <c r="C371" s="5">
        <v>1</v>
      </c>
      <c r="D371" s="5">
        <v>0</v>
      </c>
      <c r="E371" s="5">
        <v>1</v>
      </c>
      <c r="F371" s="5">
        <v>21</v>
      </c>
      <c r="G371" s="5" t="b">
        <v>0</v>
      </c>
      <c r="H371" s="5">
        <v>0</v>
      </c>
      <c r="I371" s="5">
        <v>1</v>
      </c>
      <c r="J371" s="5">
        <v>0.18</v>
      </c>
    </row>
    <row r="372" spans="1:10">
      <c r="A372" s="5">
        <v>371</v>
      </c>
      <c r="B372" s="6">
        <v>40559</v>
      </c>
      <c r="C372" s="5">
        <v>1</v>
      </c>
      <c r="D372" s="5">
        <v>0</v>
      </c>
      <c r="E372" s="5">
        <v>1</v>
      </c>
      <c r="F372" s="5">
        <v>22</v>
      </c>
      <c r="G372" s="5" t="b">
        <v>0</v>
      </c>
      <c r="H372" s="5">
        <v>0</v>
      </c>
      <c r="I372" s="5">
        <v>2</v>
      </c>
      <c r="J372" s="5">
        <v>0.2</v>
      </c>
    </row>
    <row r="373" spans="1:10">
      <c r="A373" s="5">
        <v>372</v>
      </c>
      <c r="B373" s="6">
        <v>40559</v>
      </c>
      <c r="C373" s="5">
        <v>1</v>
      </c>
      <c r="D373" s="5">
        <v>0</v>
      </c>
      <c r="E373" s="5">
        <v>1</v>
      </c>
      <c r="F373" s="5">
        <v>23</v>
      </c>
      <c r="G373" s="5" t="b">
        <v>0</v>
      </c>
      <c r="H373" s="5">
        <v>0</v>
      </c>
      <c r="I373" s="5">
        <v>2</v>
      </c>
      <c r="J373" s="5">
        <v>0.2</v>
      </c>
    </row>
    <row r="374" spans="1:10">
      <c r="A374" s="5">
        <v>373</v>
      </c>
      <c r="B374" s="6">
        <v>40560</v>
      </c>
      <c r="C374" s="5">
        <v>1</v>
      </c>
      <c r="D374" s="5">
        <v>0</v>
      </c>
      <c r="E374" s="5">
        <v>1</v>
      </c>
      <c r="F374" s="5">
        <v>0</v>
      </c>
      <c r="G374" s="5" t="b">
        <v>1</v>
      </c>
      <c r="H374" s="5">
        <v>1</v>
      </c>
      <c r="I374" s="5">
        <v>2</v>
      </c>
      <c r="J374" s="5">
        <v>0.2</v>
      </c>
    </row>
    <row r="375" spans="1:10">
      <c r="A375" s="5">
        <v>374</v>
      </c>
      <c r="B375" s="6">
        <v>40560</v>
      </c>
      <c r="C375" s="5">
        <v>1</v>
      </c>
      <c r="D375" s="5">
        <v>0</v>
      </c>
      <c r="E375" s="5">
        <v>1</v>
      </c>
      <c r="F375" s="5">
        <v>1</v>
      </c>
      <c r="G375" s="5" t="b">
        <v>1</v>
      </c>
      <c r="H375" s="5">
        <v>1</v>
      </c>
      <c r="I375" s="5">
        <v>2</v>
      </c>
      <c r="J375" s="5">
        <v>0.2</v>
      </c>
    </row>
    <row r="376" spans="1:10">
      <c r="A376" s="5">
        <v>375</v>
      </c>
      <c r="B376" s="6">
        <v>40560</v>
      </c>
      <c r="C376" s="5">
        <v>1</v>
      </c>
      <c r="D376" s="5">
        <v>0</v>
      </c>
      <c r="E376" s="5">
        <v>1</v>
      </c>
      <c r="F376" s="5">
        <v>2</v>
      </c>
      <c r="G376" s="5" t="b">
        <v>1</v>
      </c>
      <c r="H376" s="5">
        <v>1</v>
      </c>
      <c r="I376" s="5">
        <v>2</v>
      </c>
      <c r="J376" s="5">
        <v>0.18</v>
      </c>
    </row>
    <row r="377" spans="1:10">
      <c r="A377" s="5">
        <v>376</v>
      </c>
      <c r="B377" s="6">
        <v>40560</v>
      </c>
      <c r="C377" s="5">
        <v>1</v>
      </c>
      <c r="D377" s="5">
        <v>0</v>
      </c>
      <c r="E377" s="5">
        <v>1</v>
      </c>
      <c r="F377" s="5">
        <v>3</v>
      </c>
      <c r="G377" s="5" t="b">
        <v>1</v>
      </c>
      <c r="H377" s="5">
        <v>1</v>
      </c>
      <c r="I377" s="5">
        <v>2</v>
      </c>
      <c r="J377" s="5">
        <v>0.18</v>
      </c>
    </row>
    <row r="378" spans="1:10">
      <c r="A378" s="5">
        <v>377</v>
      </c>
      <c r="B378" s="6">
        <v>40560</v>
      </c>
      <c r="C378" s="5">
        <v>1</v>
      </c>
      <c r="D378" s="5">
        <v>0</v>
      </c>
      <c r="E378" s="5">
        <v>1</v>
      </c>
      <c r="F378" s="5">
        <v>4</v>
      </c>
      <c r="G378" s="5" t="b">
        <v>1</v>
      </c>
      <c r="H378" s="5">
        <v>1</v>
      </c>
      <c r="I378" s="5">
        <v>2</v>
      </c>
      <c r="J378" s="5">
        <v>0.18</v>
      </c>
    </row>
    <row r="379" spans="1:10">
      <c r="A379" s="5">
        <v>378</v>
      </c>
      <c r="B379" s="6">
        <v>40560</v>
      </c>
      <c r="C379" s="5">
        <v>1</v>
      </c>
      <c r="D379" s="5">
        <v>0</v>
      </c>
      <c r="E379" s="5">
        <v>1</v>
      </c>
      <c r="F379" s="5">
        <v>5</v>
      </c>
      <c r="G379" s="5" t="b">
        <v>1</v>
      </c>
      <c r="H379" s="5">
        <v>1</v>
      </c>
      <c r="I379" s="5">
        <v>2</v>
      </c>
      <c r="J379" s="5">
        <v>0.18</v>
      </c>
    </row>
    <row r="380" spans="1:10">
      <c r="A380" s="5">
        <v>379</v>
      </c>
      <c r="B380" s="6">
        <v>40560</v>
      </c>
      <c r="C380" s="5">
        <v>1</v>
      </c>
      <c r="D380" s="5">
        <v>0</v>
      </c>
      <c r="E380" s="5">
        <v>1</v>
      </c>
      <c r="F380" s="5">
        <v>6</v>
      </c>
      <c r="G380" s="5" t="b">
        <v>1</v>
      </c>
      <c r="H380" s="5">
        <v>1</v>
      </c>
      <c r="I380" s="5">
        <v>2</v>
      </c>
      <c r="J380" s="5">
        <v>0.18</v>
      </c>
    </row>
    <row r="381" spans="1:10">
      <c r="A381" s="5">
        <v>380</v>
      </c>
      <c r="B381" s="6">
        <v>40560</v>
      </c>
      <c r="C381" s="5">
        <v>1</v>
      </c>
      <c r="D381" s="5">
        <v>0</v>
      </c>
      <c r="E381" s="5">
        <v>1</v>
      </c>
      <c r="F381" s="5">
        <v>7</v>
      </c>
      <c r="G381" s="5" t="b">
        <v>1</v>
      </c>
      <c r="H381" s="5">
        <v>1</v>
      </c>
      <c r="I381" s="5">
        <v>2</v>
      </c>
      <c r="J381" s="5">
        <v>0.16</v>
      </c>
    </row>
    <row r="382" spans="1:10">
      <c r="A382" s="5">
        <v>381</v>
      </c>
      <c r="B382" s="6">
        <v>40560</v>
      </c>
      <c r="C382" s="5">
        <v>1</v>
      </c>
      <c r="D382" s="5">
        <v>0</v>
      </c>
      <c r="E382" s="5">
        <v>1</v>
      </c>
      <c r="F382" s="5">
        <v>8</v>
      </c>
      <c r="G382" s="5" t="b">
        <v>1</v>
      </c>
      <c r="H382" s="5">
        <v>1</v>
      </c>
      <c r="I382" s="5">
        <v>2</v>
      </c>
      <c r="J382" s="5">
        <v>0.16</v>
      </c>
    </row>
    <row r="383" spans="1:10">
      <c r="A383" s="5">
        <v>382</v>
      </c>
      <c r="B383" s="6">
        <v>40560</v>
      </c>
      <c r="C383" s="5">
        <v>1</v>
      </c>
      <c r="D383" s="5">
        <v>0</v>
      </c>
      <c r="E383" s="5">
        <v>1</v>
      </c>
      <c r="F383" s="5">
        <v>9</v>
      </c>
      <c r="G383" s="5" t="b">
        <v>1</v>
      </c>
      <c r="H383" s="5">
        <v>1</v>
      </c>
      <c r="I383" s="5">
        <v>2</v>
      </c>
      <c r="J383" s="5">
        <v>0.16</v>
      </c>
    </row>
    <row r="384" spans="1:10">
      <c r="A384" s="5">
        <v>383</v>
      </c>
      <c r="B384" s="6">
        <v>40560</v>
      </c>
      <c r="C384" s="5">
        <v>1</v>
      </c>
      <c r="D384" s="5">
        <v>0</v>
      </c>
      <c r="E384" s="5">
        <v>1</v>
      </c>
      <c r="F384" s="5">
        <v>10</v>
      </c>
      <c r="G384" s="5" t="b">
        <v>1</v>
      </c>
      <c r="H384" s="5">
        <v>1</v>
      </c>
      <c r="I384" s="5">
        <v>2</v>
      </c>
      <c r="J384" s="5">
        <v>0.16</v>
      </c>
    </row>
    <row r="385" spans="1:10">
      <c r="A385" s="5">
        <v>384</v>
      </c>
      <c r="B385" s="6">
        <v>40560</v>
      </c>
      <c r="C385" s="5">
        <v>1</v>
      </c>
      <c r="D385" s="5">
        <v>0</v>
      </c>
      <c r="E385" s="5">
        <v>1</v>
      </c>
      <c r="F385" s="5">
        <v>11</v>
      </c>
      <c r="G385" s="5" t="b">
        <v>1</v>
      </c>
      <c r="H385" s="5">
        <v>1</v>
      </c>
      <c r="I385" s="5">
        <v>2</v>
      </c>
      <c r="J385" s="5">
        <v>0.16</v>
      </c>
    </row>
    <row r="386" spans="1:10">
      <c r="A386" s="5">
        <v>385</v>
      </c>
      <c r="B386" s="6">
        <v>40560</v>
      </c>
      <c r="C386" s="5">
        <v>1</v>
      </c>
      <c r="D386" s="5">
        <v>0</v>
      </c>
      <c r="E386" s="5">
        <v>1</v>
      </c>
      <c r="F386" s="5">
        <v>12</v>
      </c>
      <c r="G386" s="5" t="b">
        <v>1</v>
      </c>
      <c r="H386" s="5">
        <v>1</v>
      </c>
      <c r="I386" s="5">
        <v>2</v>
      </c>
      <c r="J386" s="5">
        <v>0.18</v>
      </c>
    </row>
    <row r="387" spans="1:10">
      <c r="A387" s="5">
        <v>386</v>
      </c>
      <c r="B387" s="6">
        <v>40560</v>
      </c>
      <c r="C387" s="5">
        <v>1</v>
      </c>
      <c r="D387" s="5">
        <v>0</v>
      </c>
      <c r="E387" s="5">
        <v>1</v>
      </c>
      <c r="F387" s="5">
        <v>13</v>
      </c>
      <c r="G387" s="5" t="b">
        <v>1</v>
      </c>
      <c r="H387" s="5">
        <v>1</v>
      </c>
      <c r="I387" s="5">
        <v>2</v>
      </c>
      <c r="J387" s="5">
        <v>0.18</v>
      </c>
    </row>
    <row r="388" spans="1:10">
      <c r="A388" s="5">
        <v>387</v>
      </c>
      <c r="B388" s="6">
        <v>40560</v>
      </c>
      <c r="C388" s="5">
        <v>1</v>
      </c>
      <c r="D388" s="5">
        <v>0</v>
      </c>
      <c r="E388" s="5">
        <v>1</v>
      </c>
      <c r="F388" s="5">
        <v>14</v>
      </c>
      <c r="G388" s="5" t="b">
        <v>1</v>
      </c>
      <c r="H388" s="5">
        <v>1</v>
      </c>
      <c r="I388" s="5">
        <v>2</v>
      </c>
      <c r="J388" s="5">
        <v>0.18</v>
      </c>
    </row>
    <row r="389" spans="1:10">
      <c r="A389" s="5">
        <v>388</v>
      </c>
      <c r="B389" s="6">
        <v>40560</v>
      </c>
      <c r="C389" s="5">
        <v>1</v>
      </c>
      <c r="D389" s="5">
        <v>0</v>
      </c>
      <c r="E389" s="5">
        <v>1</v>
      </c>
      <c r="F389" s="5">
        <v>15</v>
      </c>
      <c r="G389" s="5" t="b">
        <v>1</v>
      </c>
      <c r="H389" s="5">
        <v>1</v>
      </c>
      <c r="I389" s="5">
        <v>2</v>
      </c>
      <c r="J389" s="5">
        <v>0.2</v>
      </c>
    </row>
    <row r="390" spans="1:10">
      <c r="A390" s="5">
        <v>389</v>
      </c>
      <c r="B390" s="6">
        <v>40560</v>
      </c>
      <c r="C390" s="5">
        <v>1</v>
      </c>
      <c r="D390" s="5">
        <v>0</v>
      </c>
      <c r="E390" s="5">
        <v>1</v>
      </c>
      <c r="F390" s="5">
        <v>16</v>
      </c>
      <c r="G390" s="5" t="b">
        <v>1</v>
      </c>
      <c r="H390" s="5">
        <v>1</v>
      </c>
      <c r="I390" s="5">
        <v>2</v>
      </c>
      <c r="J390" s="5">
        <v>0.2</v>
      </c>
    </row>
    <row r="391" spans="1:10">
      <c r="A391" s="5">
        <v>390</v>
      </c>
      <c r="B391" s="6">
        <v>40560</v>
      </c>
      <c r="C391" s="5">
        <v>1</v>
      </c>
      <c r="D391" s="5">
        <v>0</v>
      </c>
      <c r="E391" s="5">
        <v>1</v>
      </c>
      <c r="F391" s="5">
        <v>17</v>
      </c>
      <c r="G391" s="5" t="b">
        <v>1</v>
      </c>
      <c r="H391" s="5">
        <v>1</v>
      </c>
      <c r="I391" s="5">
        <v>1</v>
      </c>
      <c r="J391" s="5">
        <v>0.2</v>
      </c>
    </row>
    <row r="392" spans="1:10">
      <c r="A392" s="5">
        <v>391</v>
      </c>
      <c r="B392" s="6">
        <v>40560</v>
      </c>
      <c r="C392" s="5">
        <v>1</v>
      </c>
      <c r="D392" s="5">
        <v>0</v>
      </c>
      <c r="E392" s="5">
        <v>1</v>
      </c>
      <c r="F392" s="5">
        <v>18</v>
      </c>
      <c r="G392" s="5" t="b">
        <v>1</v>
      </c>
      <c r="H392" s="5">
        <v>1</v>
      </c>
      <c r="I392" s="5">
        <v>2</v>
      </c>
      <c r="J392" s="5">
        <v>0.18</v>
      </c>
    </row>
    <row r="393" spans="1:10">
      <c r="A393" s="5">
        <v>392</v>
      </c>
      <c r="B393" s="6">
        <v>40560</v>
      </c>
      <c r="C393" s="5">
        <v>1</v>
      </c>
      <c r="D393" s="5">
        <v>0</v>
      </c>
      <c r="E393" s="5">
        <v>1</v>
      </c>
      <c r="F393" s="5">
        <v>19</v>
      </c>
      <c r="G393" s="5" t="b">
        <v>1</v>
      </c>
      <c r="H393" s="5">
        <v>1</v>
      </c>
      <c r="I393" s="5">
        <v>3</v>
      </c>
      <c r="J393" s="5">
        <v>0.18</v>
      </c>
    </row>
    <row r="394" spans="1:10">
      <c r="A394" s="5">
        <v>393</v>
      </c>
      <c r="B394" s="6">
        <v>40560</v>
      </c>
      <c r="C394" s="5">
        <v>1</v>
      </c>
      <c r="D394" s="5">
        <v>0</v>
      </c>
      <c r="E394" s="5">
        <v>1</v>
      </c>
      <c r="F394" s="5">
        <v>20</v>
      </c>
      <c r="G394" s="5" t="b">
        <v>1</v>
      </c>
      <c r="H394" s="5">
        <v>1</v>
      </c>
      <c r="I394" s="5">
        <v>3</v>
      </c>
      <c r="J394" s="5">
        <v>0.16</v>
      </c>
    </row>
    <row r="395" spans="1:10">
      <c r="A395" s="5">
        <v>394</v>
      </c>
      <c r="B395" s="6">
        <v>40560</v>
      </c>
      <c r="C395" s="5">
        <v>1</v>
      </c>
      <c r="D395" s="5">
        <v>0</v>
      </c>
      <c r="E395" s="5">
        <v>1</v>
      </c>
      <c r="F395" s="5">
        <v>21</v>
      </c>
      <c r="G395" s="5" t="b">
        <v>1</v>
      </c>
      <c r="H395" s="5">
        <v>1</v>
      </c>
      <c r="I395" s="5">
        <v>3</v>
      </c>
      <c r="J395" s="5">
        <v>0.16</v>
      </c>
    </row>
    <row r="396" spans="1:10">
      <c r="A396" s="5">
        <v>395</v>
      </c>
      <c r="B396" s="6">
        <v>40560</v>
      </c>
      <c r="C396" s="5">
        <v>1</v>
      </c>
      <c r="D396" s="5">
        <v>0</v>
      </c>
      <c r="E396" s="5">
        <v>1</v>
      </c>
      <c r="F396" s="5">
        <v>22</v>
      </c>
      <c r="G396" s="5" t="b">
        <v>1</v>
      </c>
      <c r="H396" s="5">
        <v>1</v>
      </c>
      <c r="I396" s="5">
        <v>3</v>
      </c>
      <c r="J396" s="5">
        <v>0.14000000000000001</v>
      </c>
    </row>
    <row r="397" spans="1:10">
      <c r="A397" s="5">
        <v>396</v>
      </c>
      <c r="B397" s="6">
        <v>40560</v>
      </c>
      <c r="C397" s="5">
        <v>1</v>
      </c>
      <c r="D397" s="5">
        <v>0</v>
      </c>
      <c r="E397" s="5">
        <v>1</v>
      </c>
      <c r="F397" s="5">
        <v>23</v>
      </c>
      <c r="G397" s="5" t="b">
        <v>1</v>
      </c>
      <c r="H397" s="5">
        <v>1</v>
      </c>
      <c r="I397" s="5">
        <v>3</v>
      </c>
      <c r="J397" s="5">
        <v>0.16</v>
      </c>
    </row>
    <row r="398" spans="1:10">
      <c r="A398" s="5">
        <v>397</v>
      </c>
      <c r="B398" s="6">
        <v>40561</v>
      </c>
      <c r="C398" s="5">
        <v>1</v>
      </c>
      <c r="D398" s="5">
        <v>0</v>
      </c>
      <c r="E398" s="5">
        <v>1</v>
      </c>
      <c r="F398" s="5">
        <v>12</v>
      </c>
      <c r="G398" s="5" t="b">
        <v>0</v>
      </c>
      <c r="H398" s="5">
        <v>2</v>
      </c>
      <c r="I398" s="5">
        <v>2</v>
      </c>
      <c r="J398" s="5">
        <v>0.2</v>
      </c>
    </row>
    <row r="399" spans="1:10">
      <c r="A399" s="5">
        <v>398</v>
      </c>
      <c r="B399" s="6">
        <v>40561</v>
      </c>
      <c r="C399" s="5">
        <v>1</v>
      </c>
      <c r="D399" s="5">
        <v>0</v>
      </c>
      <c r="E399" s="5">
        <v>1</v>
      </c>
      <c r="F399" s="5">
        <v>13</v>
      </c>
      <c r="G399" s="5" t="b">
        <v>0</v>
      </c>
      <c r="H399" s="5">
        <v>2</v>
      </c>
      <c r="I399" s="5">
        <v>2</v>
      </c>
      <c r="J399" s="5">
        <v>0.2</v>
      </c>
    </row>
    <row r="400" spans="1:10">
      <c r="A400" s="5">
        <v>399</v>
      </c>
      <c r="B400" s="6">
        <v>40561</v>
      </c>
      <c r="C400" s="5">
        <v>1</v>
      </c>
      <c r="D400" s="5">
        <v>0</v>
      </c>
      <c r="E400" s="5">
        <v>1</v>
      </c>
      <c r="F400" s="5">
        <v>14</v>
      </c>
      <c r="G400" s="5" t="b">
        <v>0</v>
      </c>
      <c r="H400" s="5">
        <v>2</v>
      </c>
      <c r="I400" s="5">
        <v>2</v>
      </c>
      <c r="J400" s="5">
        <v>0.22</v>
      </c>
    </row>
    <row r="401" spans="1:10">
      <c r="A401" s="5">
        <v>400</v>
      </c>
      <c r="B401" s="6">
        <v>40561</v>
      </c>
      <c r="C401" s="5">
        <v>1</v>
      </c>
      <c r="D401" s="5">
        <v>0</v>
      </c>
      <c r="E401" s="5">
        <v>1</v>
      </c>
      <c r="F401" s="5">
        <v>15</v>
      </c>
      <c r="G401" s="5" t="b">
        <v>0</v>
      </c>
      <c r="H401" s="5">
        <v>2</v>
      </c>
      <c r="I401" s="5">
        <v>2</v>
      </c>
      <c r="J401" s="5">
        <v>0.22</v>
      </c>
    </row>
    <row r="402" spans="1:10">
      <c r="A402" s="5">
        <v>401</v>
      </c>
      <c r="B402" s="6">
        <v>40561</v>
      </c>
      <c r="C402" s="5">
        <v>1</v>
      </c>
      <c r="D402" s="5">
        <v>0</v>
      </c>
      <c r="E402" s="5">
        <v>1</v>
      </c>
      <c r="F402" s="5">
        <v>16</v>
      </c>
      <c r="G402" s="5" t="b">
        <v>0</v>
      </c>
      <c r="H402" s="5">
        <v>2</v>
      </c>
      <c r="I402" s="5">
        <v>2</v>
      </c>
      <c r="J402" s="5">
        <v>0.22</v>
      </c>
    </row>
    <row r="403" spans="1:10">
      <c r="A403" s="5">
        <v>402</v>
      </c>
      <c r="B403" s="6">
        <v>40561</v>
      </c>
      <c r="C403" s="5">
        <v>1</v>
      </c>
      <c r="D403" s="5">
        <v>0</v>
      </c>
      <c r="E403" s="5">
        <v>1</v>
      </c>
      <c r="F403" s="5">
        <v>17</v>
      </c>
      <c r="G403" s="5" t="b">
        <v>0</v>
      </c>
      <c r="H403" s="5">
        <v>2</v>
      </c>
      <c r="I403" s="5">
        <v>2</v>
      </c>
      <c r="J403" s="5">
        <v>0.22</v>
      </c>
    </row>
    <row r="404" spans="1:10">
      <c r="A404" s="5">
        <v>403</v>
      </c>
      <c r="B404" s="6">
        <v>40561</v>
      </c>
      <c r="C404" s="5">
        <v>1</v>
      </c>
      <c r="D404" s="5">
        <v>0</v>
      </c>
      <c r="E404" s="5">
        <v>1</v>
      </c>
      <c r="F404" s="5">
        <v>18</v>
      </c>
      <c r="G404" s="5" t="b">
        <v>0</v>
      </c>
      <c r="H404" s="5">
        <v>2</v>
      </c>
      <c r="I404" s="5">
        <v>2</v>
      </c>
      <c r="J404" s="5">
        <v>0.22</v>
      </c>
    </row>
    <row r="405" spans="1:10">
      <c r="A405" s="5">
        <v>404</v>
      </c>
      <c r="B405" s="6">
        <v>40561</v>
      </c>
      <c r="C405" s="5">
        <v>1</v>
      </c>
      <c r="D405" s="5">
        <v>0</v>
      </c>
      <c r="E405" s="5">
        <v>1</v>
      </c>
      <c r="F405" s="5">
        <v>19</v>
      </c>
      <c r="G405" s="5" t="b">
        <v>0</v>
      </c>
      <c r="H405" s="5">
        <v>2</v>
      </c>
      <c r="I405" s="5">
        <v>2</v>
      </c>
      <c r="J405" s="5">
        <v>0.22</v>
      </c>
    </row>
    <row r="406" spans="1:10">
      <c r="A406" s="5">
        <v>405</v>
      </c>
      <c r="B406" s="6">
        <v>40561</v>
      </c>
      <c r="C406" s="5">
        <v>1</v>
      </c>
      <c r="D406" s="5">
        <v>0</v>
      </c>
      <c r="E406" s="5">
        <v>1</v>
      </c>
      <c r="F406" s="5">
        <v>20</v>
      </c>
      <c r="G406" s="5" t="b">
        <v>0</v>
      </c>
      <c r="H406" s="5">
        <v>2</v>
      </c>
      <c r="I406" s="5">
        <v>2</v>
      </c>
      <c r="J406" s="5">
        <v>0.22</v>
      </c>
    </row>
    <row r="407" spans="1:10">
      <c r="A407" s="5">
        <v>406</v>
      </c>
      <c r="B407" s="6">
        <v>40561</v>
      </c>
      <c r="C407" s="5">
        <v>1</v>
      </c>
      <c r="D407" s="5">
        <v>0</v>
      </c>
      <c r="E407" s="5">
        <v>1</v>
      </c>
      <c r="F407" s="5">
        <v>21</v>
      </c>
      <c r="G407" s="5" t="b">
        <v>0</v>
      </c>
      <c r="H407" s="5">
        <v>2</v>
      </c>
      <c r="I407" s="5">
        <v>2</v>
      </c>
      <c r="J407" s="5">
        <v>0.22</v>
      </c>
    </row>
    <row r="408" spans="1:10">
      <c r="A408" s="5">
        <v>407</v>
      </c>
      <c r="B408" s="6">
        <v>40561</v>
      </c>
      <c r="C408" s="5">
        <v>1</v>
      </c>
      <c r="D408" s="5">
        <v>0</v>
      </c>
      <c r="E408" s="5">
        <v>1</v>
      </c>
      <c r="F408" s="5">
        <v>22</v>
      </c>
      <c r="G408" s="5" t="b">
        <v>0</v>
      </c>
      <c r="H408" s="5">
        <v>2</v>
      </c>
      <c r="I408" s="5">
        <v>2</v>
      </c>
      <c r="J408" s="5">
        <v>0.22</v>
      </c>
    </row>
    <row r="409" spans="1:10">
      <c r="A409" s="5">
        <v>408</v>
      </c>
      <c r="B409" s="6">
        <v>40561</v>
      </c>
      <c r="C409" s="5">
        <v>1</v>
      </c>
      <c r="D409" s="5">
        <v>0</v>
      </c>
      <c r="E409" s="5">
        <v>1</v>
      </c>
      <c r="F409" s="5">
        <v>23</v>
      </c>
      <c r="G409" s="5" t="b">
        <v>0</v>
      </c>
      <c r="H409" s="5">
        <v>2</v>
      </c>
      <c r="I409" s="5">
        <v>2</v>
      </c>
      <c r="J409" s="5">
        <v>0.22</v>
      </c>
    </row>
    <row r="410" spans="1:10">
      <c r="A410" s="5">
        <v>409</v>
      </c>
      <c r="B410" s="6">
        <v>40562</v>
      </c>
      <c r="C410" s="5">
        <v>1</v>
      </c>
      <c r="D410" s="5">
        <v>0</v>
      </c>
      <c r="E410" s="5">
        <v>1</v>
      </c>
      <c r="F410" s="5">
        <v>0</v>
      </c>
      <c r="G410" s="5" t="b">
        <v>0</v>
      </c>
      <c r="H410" s="5">
        <v>3</v>
      </c>
      <c r="I410" s="5">
        <v>2</v>
      </c>
      <c r="J410" s="5">
        <v>0.22</v>
      </c>
    </row>
    <row r="411" spans="1:10">
      <c r="A411" s="5">
        <v>410</v>
      </c>
      <c r="B411" s="6">
        <v>40562</v>
      </c>
      <c r="C411" s="5">
        <v>1</v>
      </c>
      <c r="D411" s="5">
        <v>0</v>
      </c>
      <c r="E411" s="5">
        <v>1</v>
      </c>
      <c r="F411" s="5">
        <v>1</v>
      </c>
      <c r="G411" s="5" t="b">
        <v>0</v>
      </c>
      <c r="H411" s="5">
        <v>3</v>
      </c>
      <c r="I411" s="5">
        <v>3</v>
      </c>
      <c r="J411" s="5">
        <v>0.22</v>
      </c>
    </row>
    <row r="412" spans="1:10">
      <c r="A412" s="5">
        <v>411</v>
      </c>
      <c r="B412" s="6">
        <v>40562</v>
      </c>
      <c r="C412" s="5">
        <v>1</v>
      </c>
      <c r="D412" s="5">
        <v>0</v>
      </c>
      <c r="E412" s="5">
        <v>1</v>
      </c>
      <c r="F412" s="5">
        <v>2</v>
      </c>
      <c r="G412" s="5" t="b">
        <v>0</v>
      </c>
      <c r="H412" s="5">
        <v>3</v>
      </c>
      <c r="I412" s="5">
        <v>3</v>
      </c>
      <c r="J412" s="5">
        <v>0.22</v>
      </c>
    </row>
    <row r="413" spans="1:10">
      <c r="A413" s="5">
        <v>412</v>
      </c>
      <c r="B413" s="6">
        <v>40562</v>
      </c>
      <c r="C413" s="5">
        <v>1</v>
      </c>
      <c r="D413" s="5">
        <v>0</v>
      </c>
      <c r="E413" s="5">
        <v>1</v>
      </c>
      <c r="F413" s="5">
        <v>4</v>
      </c>
      <c r="G413" s="5" t="b">
        <v>0</v>
      </c>
      <c r="H413" s="5">
        <v>3</v>
      </c>
      <c r="I413" s="5">
        <v>3</v>
      </c>
      <c r="J413" s="5">
        <v>0.22</v>
      </c>
    </row>
    <row r="414" spans="1:10">
      <c r="A414" s="5">
        <v>413</v>
      </c>
      <c r="B414" s="6">
        <v>40562</v>
      </c>
      <c r="C414" s="5">
        <v>1</v>
      </c>
      <c r="D414" s="5">
        <v>0</v>
      </c>
      <c r="E414" s="5">
        <v>1</v>
      </c>
      <c r="F414" s="5">
        <v>5</v>
      </c>
      <c r="G414" s="5" t="b">
        <v>0</v>
      </c>
      <c r="H414" s="5">
        <v>3</v>
      </c>
      <c r="I414" s="5">
        <v>2</v>
      </c>
      <c r="J414" s="5">
        <v>0.22</v>
      </c>
    </row>
    <row r="415" spans="1:10">
      <c r="A415" s="5">
        <v>414</v>
      </c>
      <c r="B415" s="6">
        <v>40562</v>
      </c>
      <c r="C415" s="5">
        <v>1</v>
      </c>
      <c r="D415" s="5">
        <v>0</v>
      </c>
      <c r="E415" s="5">
        <v>1</v>
      </c>
      <c r="F415" s="5">
        <v>6</v>
      </c>
      <c r="G415" s="5" t="b">
        <v>0</v>
      </c>
      <c r="H415" s="5">
        <v>3</v>
      </c>
      <c r="I415" s="5">
        <v>2</v>
      </c>
      <c r="J415" s="5">
        <v>0.22</v>
      </c>
    </row>
    <row r="416" spans="1:10">
      <c r="A416" s="5">
        <v>415</v>
      </c>
      <c r="B416" s="6">
        <v>40562</v>
      </c>
      <c r="C416" s="5">
        <v>1</v>
      </c>
      <c r="D416" s="5">
        <v>0</v>
      </c>
      <c r="E416" s="5">
        <v>1</v>
      </c>
      <c r="F416" s="5">
        <v>7</v>
      </c>
      <c r="G416" s="5" t="b">
        <v>0</v>
      </c>
      <c r="H416" s="5">
        <v>3</v>
      </c>
      <c r="I416" s="5">
        <v>2</v>
      </c>
      <c r="J416" s="5">
        <v>0.24</v>
      </c>
    </row>
    <row r="417" spans="1:10">
      <c r="A417" s="5">
        <v>416</v>
      </c>
      <c r="B417" s="6">
        <v>40562</v>
      </c>
      <c r="C417" s="5">
        <v>1</v>
      </c>
      <c r="D417" s="5">
        <v>0</v>
      </c>
      <c r="E417" s="5">
        <v>1</v>
      </c>
      <c r="F417" s="5">
        <v>8</v>
      </c>
      <c r="G417" s="5" t="b">
        <v>0</v>
      </c>
      <c r="H417" s="5">
        <v>3</v>
      </c>
      <c r="I417" s="5">
        <v>2</v>
      </c>
      <c r="J417" s="5">
        <v>0.24</v>
      </c>
    </row>
    <row r="418" spans="1:10">
      <c r="A418" s="5">
        <v>417</v>
      </c>
      <c r="B418" s="6">
        <v>40562</v>
      </c>
      <c r="C418" s="5">
        <v>1</v>
      </c>
      <c r="D418" s="5">
        <v>0</v>
      </c>
      <c r="E418" s="5">
        <v>1</v>
      </c>
      <c r="F418" s="5">
        <v>9</v>
      </c>
      <c r="G418" s="5" t="b">
        <v>0</v>
      </c>
      <c r="H418" s="5">
        <v>3</v>
      </c>
      <c r="I418" s="5">
        <v>2</v>
      </c>
      <c r="J418" s="5">
        <v>0.24</v>
      </c>
    </row>
    <row r="419" spans="1:10">
      <c r="A419" s="5">
        <v>418</v>
      </c>
      <c r="B419" s="6">
        <v>40562</v>
      </c>
      <c r="C419" s="5">
        <v>1</v>
      </c>
      <c r="D419" s="5">
        <v>0</v>
      </c>
      <c r="E419" s="5">
        <v>1</v>
      </c>
      <c r="F419" s="5">
        <v>10</v>
      </c>
      <c r="G419" s="5" t="b">
        <v>0</v>
      </c>
      <c r="H419" s="5">
        <v>3</v>
      </c>
      <c r="I419" s="5">
        <v>2</v>
      </c>
      <c r="J419" s="5">
        <v>0.26</v>
      </c>
    </row>
    <row r="420" spans="1:10">
      <c r="A420" s="5">
        <v>419</v>
      </c>
      <c r="B420" s="6">
        <v>40562</v>
      </c>
      <c r="C420" s="5">
        <v>1</v>
      </c>
      <c r="D420" s="5">
        <v>0</v>
      </c>
      <c r="E420" s="5">
        <v>1</v>
      </c>
      <c r="F420" s="5">
        <v>11</v>
      </c>
      <c r="G420" s="5" t="b">
        <v>0</v>
      </c>
      <c r="H420" s="5">
        <v>3</v>
      </c>
      <c r="I420" s="5">
        <v>2</v>
      </c>
      <c r="J420" s="5">
        <v>0.28000000000000003</v>
      </c>
    </row>
    <row r="421" spans="1:10">
      <c r="A421" s="5">
        <v>420</v>
      </c>
      <c r="B421" s="6">
        <v>40562</v>
      </c>
      <c r="C421" s="5">
        <v>1</v>
      </c>
      <c r="D421" s="5">
        <v>0</v>
      </c>
      <c r="E421" s="5">
        <v>1</v>
      </c>
      <c r="F421" s="5">
        <v>12</v>
      </c>
      <c r="G421" s="5" t="b">
        <v>0</v>
      </c>
      <c r="H421" s="5">
        <v>3</v>
      </c>
      <c r="I421" s="5">
        <v>2</v>
      </c>
      <c r="J421" s="5">
        <v>0.3</v>
      </c>
    </row>
    <row r="422" spans="1:10">
      <c r="A422" s="5">
        <v>421</v>
      </c>
      <c r="B422" s="6">
        <v>40562</v>
      </c>
      <c r="C422" s="5">
        <v>1</v>
      </c>
      <c r="D422" s="5">
        <v>0</v>
      </c>
      <c r="E422" s="5">
        <v>1</v>
      </c>
      <c r="F422" s="5">
        <v>13</v>
      </c>
      <c r="G422" s="5" t="b">
        <v>0</v>
      </c>
      <c r="H422" s="5">
        <v>3</v>
      </c>
      <c r="I422" s="5">
        <v>1</v>
      </c>
      <c r="J422" s="5">
        <v>0.4</v>
      </c>
    </row>
    <row r="423" spans="1:10">
      <c r="A423" s="5">
        <v>422</v>
      </c>
      <c r="B423" s="6">
        <v>40562</v>
      </c>
      <c r="C423" s="5">
        <v>1</v>
      </c>
      <c r="D423" s="5">
        <v>0</v>
      </c>
      <c r="E423" s="5">
        <v>1</v>
      </c>
      <c r="F423" s="5">
        <v>14</v>
      </c>
      <c r="G423" s="5" t="b">
        <v>0</v>
      </c>
      <c r="H423" s="5">
        <v>3</v>
      </c>
      <c r="I423" s="5">
        <v>1</v>
      </c>
      <c r="J423" s="5">
        <v>0.4</v>
      </c>
    </row>
    <row r="424" spans="1:10">
      <c r="A424" s="5">
        <v>423</v>
      </c>
      <c r="B424" s="6">
        <v>40562</v>
      </c>
      <c r="C424" s="5">
        <v>1</v>
      </c>
      <c r="D424" s="5">
        <v>0</v>
      </c>
      <c r="E424" s="5">
        <v>1</v>
      </c>
      <c r="F424" s="5">
        <v>15</v>
      </c>
      <c r="G424" s="5" t="b">
        <v>0</v>
      </c>
      <c r="H424" s="5">
        <v>3</v>
      </c>
      <c r="I424" s="5">
        <v>1</v>
      </c>
      <c r="J424" s="5">
        <v>0.4</v>
      </c>
    </row>
    <row r="425" spans="1:10">
      <c r="A425" s="5">
        <v>424</v>
      </c>
      <c r="B425" s="6">
        <v>40562</v>
      </c>
      <c r="C425" s="5">
        <v>1</v>
      </c>
      <c r="D425" s="5">
        <v>0</v>
      </c>
      <c r="E425" s="5">
        <v>1</v>
      </c>
      <c r="F425" s="5">
        <v>16</v>
      </c>
      <c r="G425" s="5" t="b">
        <v>0</v>
      </c>
      <c r="H425" s="5">
        <v>3</v>
      </c>
      <c r="I425" s="5">
        <v>1</v>
      </c>
      <c r="J425" s="5">
        <v>0.38</v>
      </c>
    </row>
    <row r="426" spans="1:10">
      <c r="A426" s="5">
        <v>425</v>
      </c>
      <c r="B426" s="6">
        <v>40562</v>
      </c>
      <c r="C426" s="5">
        <v>1</v>
      </c>
      <c r="D426" s="5">
        <v>0</v>
      </c>
      <c r="E426" s="5">
        <v>1</v>
      </c>
      <c r="F426" s="5">
        <v>17</v>
      </c>
      <c r="G426" s="5" t="b">
        <v>0</v>
      </c>
      <c r="H426" s="5">
        <v>3</v>
      </c>
      <c r="I426" s="5">
        <v>1</v>
      </c>
      <c r="J426" s="5">
        <v>0.36</v>
      </c>
    </row>
    <row r="427" spans="1:10">
      <c r="A427" s="5">
        <v>426</v>
      </c>
      <c r="B427" s="6">
        <v>40562</v>
      </c>
      <c r="C427" s="5">
        <v>1</v>
      </c>
      <c r="D427" s="5">
        <v>0</v>
      </c>
      <c r="E427" s="5">
        <v>1</v>
      </c>
      <c r="F427" s="5">
        <v>18</v>
      </c>
      <c r="G427" s="5" t="b">
        <v>0</v>
      </c>
      <c r="H427" s="5">
        <v>3</v>
      </c>
      <c r="I427" s="5">
        <v>1</v>
      </c>
      <c r="J427" s="5">
        <v>0.34</v>
      </c>
    </row>
    <row r="428" spans="1:10">
      <c r="A428" s="5">
        <v>427</v>
      </c>
      <c r="B428" s="6">
        <v>40562</v>
      </c>
      <c r="C428" s="5">
        <v>1</v>
      </c>
      <c r="D428" s="5">
        <v>0</v>
      </c>
      <c r="E428" s="5">
        <v>1</v>
      </c>
      <c r="F428" s="5">
        <v>19</v>
      </c>
      <c r="G428" s="5" t="b">
        <v>0</v>
      </c>
      <c r="H428" s="5">
        <v>3</v>
      </c>
      <c r="I428" s="5">
        <v>1</v>
      </c>
      <c r="J428" s="5">
        <v>0.32</v>
      </c>
    </row>
    <row r="429" spans="1:10">
      <c r="A429" s="5">
        <v>428</v>
      </c>
      <c r="B429" s="6">
        <v>40562</v>
      </c>
      <c r="C429" s="5">
        <v>1</v>
      </c>
      <c r="D429" s="5">
        <v>0</v>
      </c>
      <c r="E429" s="5">
        <v>1</v>
      </c>
      <c r="F429" s="5">
        <v>20</v>
      </c>
      <c r="G429" s="5" t="b">
        <v>0</v>
      </c>
      <c r="H429" s="5">
        <v>3</v>
      </c>
      <c r="I429" s="5">
        <v>1</v>
      </c>
      <c r="J429" s="5">
        <v>0.32</v>
      </c>
    </row>
    <row r="430" spans="1:10">
      <c r="A430" s="5">
        <v>429</v>
      </c>
      <c r="B430" s="6">
        <v>40562</v>
      </c>
      <c r="C430" s="5">
        <v>1</v>
      </c>
      <c r="D430" s="5">
        <v>0</v>
      </c>
      <c r="E430" s="5">
        <v>1</v>
      </c>
      <c r="F430" s="5">
        <v>21</v>
      </c>
      <c r="G430" s="5" t="b">
        <v>0</v>
      </c>
      <c r="H430" s="5">
        <v>3</v>
      </c>
      <c r="I430" s="5">
        <v>1</v>
      </c>
      <c r="J430" s="5">
        <v>0.32</v>
      </c>
    </row>
    <row r="431" spans="1:10">
      <c r="A431" s="5">
        <v>430</v>
      </c>
      <c r="B431" s="6">
        <v>40562</v>
      </c>
      <c r="C431" s="5">
        <v>1</v>
      </c>
      <c r="D431" s="5">
        <v>0</v>
      </c>
      <c r="E431" s="5">
        <v>1</v>
      </c>
      <c r="F431" s="5">
        <v>22</v>
      </c>
      <c r="G431" s="5" t="b">
        <v>0</v>
      </c>
      <c r="H431" s="5">
        <v>3</v>
      </c>
      <c r="I431" s="5">
        <v>1</v>
      </c>
      <c r="J431" s="5">
        <v>0.3</v>
      </c>
    </row>
    <row r="432" spans="1:10">
      <c r="A432" s="5">
        <v>431</v>
      </c>
      <c r="B432" s="6">
        <v>40562</v>
      </c>
      <c r="C432" s="5">
        <v>1</v>
      </c>
      <c r="D432" s="5">
        <v>0</v>
      </c>
      <c r="E432" s="5">
        <v>1</v>
      </c>
      <c r="F432" s="5">
        <v>23</v>
      </c>
      <c r="G432" s="5" t="b">
        <v>0</v>
      </c>
      <c r="H432" s="5">
        <v>3</v>
      </c>
      <c r="I432" s="5">
        <v>1</v>
      </c>
      <c r="J432" s="5">
        <v>0.3</v>
      </c>
    </row>
    <row r="433" spans="1:10">
      <c r="A433" s="5">
        <v>432</v>
      </c>
      <c r="B433" s="6">
        <v>40563</v>
      </c>
      <c r="C433" s="5">
        <v>1</v>
      </c>
      <c r="D433" s="5">
        <v>0</v>
      </c>
      <c r="E433" s="5">
        <v>1</v>
      </c>
      <c r="F433" s="5">
        <v>0</v>
      </c>
      <c r="G433" s="5" t="b">
        <v>0</v>
      </c>
      <c r="H433" s="5">
        <v>4</v>
      </c>
      <c r="I433" s="5">
        <v>1</v>
      </c>
      <c r="J433" s="5">
        <v>0.26</v>
      </c>
    </row>
    <row r="434" spans="1:10">
      <c r="A434" s="5">
        <v>433</v>
      </c>
      <c r="B434" s="6">
        <v>40563</v>
      </c>
      <c r="C434" s="5">
        <v>1</v>
      </c>
      <c r="D434" s="5">
        <v>0</v>
      </c>
      <c r="E434" s="5">
        <v>1</v>
      </c>
      <c r="F434" s="5">
        <v>1</v>
      </c>
      <c r="G434" s="5" t="b">
        <v>0</v>
      </c>
      <c r="H434" s="5">
        <v>4</v>
      </c>
      <c r="I434" s="5">
        <v>1</v>
      </c>
      <c r="J434" s="5">
        <v>0.26</v>
      </c>
    </row>
    <row r="435" spans="1:10">
      <c r="A435" s="5">
        <v>434</v>
      </c>
      <c r="B435" s="6">
        <v>40563</v>
      </c>
      <c r="C435" s="5">
        <v>1</v>
      </c>
      <c r="D435" s="5">
        <v>0</v>
      </c>
      <c r="E435" s="5">
        <v>1</v>
      </c>
      <c r="F435" s="5">
        <v>2</v>
      </c>
      <c r="G435" s="5" t="b">
        <v>0</v>
      </c>
      <c r="H435" s="5">
        <v>4</v>
      </c>
      <c r="I435" s="5">
        <v>1</v>
      </c>
      <c r="J435" s="5">
        <v>0.26</v>
      </c>
    </row>
    <row r="436" spans="1:10">
      <c r="A436" s="5">
        <v>435</v>
      </c>
      <c r="B436" s="6">
        <v>40563</v>
      </c>
      <c r="C436" s="5">
        <v>1</v>
      </c>
      <c r="D436" s="5">
        <v>0</v>
      </c>
      <c r="E436" s="5">
        <v>1</v>
      </c>
      <c r="F436" s="5">
        <v>3</v>
      </c>
      <c r="G436" s="5" t="b">
        <v>0</v>
      </c>
      <c r="H436" s="5">
        <v>4</v>
      </c>
      <c r="I436" s="5">
        <v>1</v>
      </c>
      <c r="J436" s="5">
        <v>0.26</v>
      </c>
    </row>
    <row r="437" spans="1:10">
      <c r="A437" s="5">
        <v>436</v>
      </c>
      <c r="B437" s="6">
        <v>40563</v>
      </c>
      <c r="C437" s="5">
        <v>1</v>
      </c>
      <c r="D437" s="5">
        <v>0</v>
      </c>
      <c r="E437" s="5">
        <v>1</v>
      </c>
      <c r="F437" s="5">
        <v>4</v>
      </c>
      <c r="G437" s="5" t="b">
        <v>0</v>
      </c>
      <c r="H437" s="5">
        <v>4</v>
      </c>
      <c r="I437" s="5">
        <v>1</v>
      </c>
      <c r="J437" s="5">
        <v>0.26</v>
      </c>
    </row>
    <row r="438" spans="1:10">
      <c r="A438" s="5">
        <v>437</v>
      </c>
      <c r="B438" s="6">
        <v>40563</v>
      </c>
      <c r="C438" s="5">
        <v>1</v>
      </c>
      <c r="D438" s="5">
        <v>0</v>
      </c>
      <c r="E438" s="5">
        <v>1</v>
      </c>
      <c r="F438" s="5">
        <v>5</v>
      </c>
      <c r="G438" s="5" t="b">
        <v>0</v>
      </c>
      <c r="H438" s="5">
        <v>4</v>
      </c>
      <c r="I438" s="5">
        <v>1</v>
      </c>
      <c r="J438" s="5">
        <v>0.24</v>
      </c>
    </row>
    <row r="439" spans="1:10">
      <c r="A439" s="5">
        <v>438</v>
      </c>
      <c r="B439" s="6">
        <v>40563</v>
      </c>
      <c r="C439" s="5">
        <v>1</v>
      </c>
      <c r="D439" s="5">
        <v>0</v>
      </c>
      <c r="E439" s="5">
        <v>1</v>
      </c>
      <c r="F439" s="5">
        <v>6</v>
      </c>
      <c r="G439" s="5" t="b">
        <v>0</v>
      </c>
      <c r="H439" s="5">
        <v>4</v>
      </c>
      <c r="I439" s="5">
        <v>1</v>
      </c>
      <c r="J439" s="5">
        <v>0.22</v>
      </c>
    </row>
    <row r="440" spans="1:10">
      <c r="A440" s="5">
        <v>439</v>
      </c>
      <c r="B440" s="6">
        <v>40563</v>
      </c>
      <c r="C440" s="5">
        <v>1</v>
      </c>
      <c r="D440" s="5">
        <v>0</v>
      </c>
      <c r="E440" s="5">
        <v>1</v>
      </c>
      <c r="F440" s="5">
        <v>7</v>
      </c>
      <c r="G440" s="5" t="b">
        <v>0</v>
      </c>
      <c r="H440" s="5">
        <v>4</v>
      </c>
      <c r="I440" s="5">
        <v>1</v>
      </c>
      <c r="J440" s="5">
        <v>0.22</v>
      </c>
    </row>
    <row r="441" spans="1:10">
      <c r="A441" s="5">
        <v>440</v>
      </c>
      <c r="B441" s="6">
        <v>40563</v>
      </c>
      <c r="C441" s="5">
        <v>1</v>
      </c>
      <c r="D441" s="5">
        <v>0</v>
      </c>
      <c r="E441" s="5">
        <v>1</v>
      </c>
      <c r="F441" s="5">
        <v>8</v>
      </c>
      <c r="G441" s="5" t="b">
        <v>0</v>
      </c>
      <c r="H441" s="5">
        <v>4</v>
      </c>
      <c r="I441" s="5">
        <v>1</v>
      </c>
      <c r="J441" s="5">
        <v>0.22</v>
      </c>
    </row>
    <row r="442" spans="1:10">
      <c r="A442" s="5">
        <v>441</v>
      </c>
      <c r="B442" s="6">
        <v>40563</v>
      </c>
      <c r="C442" s="5">
        <v>1</v>
      </c>
      <c r="D442" s="5">
        <v>0</v>
      </c>
      <c r="E442" s="5">
        <v>1</v>
      </c>
      <c r="F442" s="5">
        <v>9</v>
      </c>
      <c r="G442" s="5" t="b">
        <v>0</v>
      </c>
      <c r="H442" s="5">
        <v>4</v>
      </c>
      <c r="I442" s="5">
        <v>2</v>
      </c>
      <c r="J442" s="5">
        <v>0.24</v>
      </c>
    </row>
    <row r="443" spans="1:10">
      <c r="A443" s="5">
        <v>442</v>
      </c>
      <c r="B443" s="6">
        <v>40563</v>
      </c>
      <c r="C443" s="5">
        <v>1</v>
      </c>
      <c r="D443" s="5">
        <v>0</v>
      </c>
      <c r="E443" s="5">
        <v>1</v>
      </c>
      <c r="F443" s="5">
        <v>10</v>
      </c>
      <c r="G443" s="5" t="b">
        <v>0</v>
      </c>
      <c r="H443" s="5">
        <v>4</v>
      </c>
      <c r="I443" s="5">
        <v>1</v>
      </c>
      <c r="J443" s="5">
        <v>0.26</v>
      </c>
    </row>
    <row r="444" spans="1:10">
      <c r="A444" s="5">
        <v>443</v>
      </c>
      <c r="B444" s="6">
        <v>40563</v>
      </c>
      <c r="C444" s="5">
        <v>1</v>
      </c>
      <c r="D444" s="5">
        <v>0</v>
      </c>
      <c r="E444" s="5">
        <v>1</v>
      </c>
      <c r="F444" s="5">
        <v>11</v>
      </c>
      <c r="G444" s="5" t="b">
        <v>0</v>
      </c>
      <c r="H444" s="5">
        <v>4</v>
      </c>
      <c r="I444" s="5">
        <v>2</v>
      </c>
      <c r="J444" s="5">
        <v>0.28000000000000003</v>
      </c>
    </row>
    <row r="445" spans="1:10">
      <c r="A445" s="5">
        <v>444</v>
      </c>
      <c r="B445" s="6">
        <v>40563</v>
      </c>
      <c r="C445" s="5">
        <v>1</v>
      </c>
      <c r="D445" s="5">
        <v>0</v>
      </c>
      <c r="E445" s="5">
        <v>1</v>
      </c>
      <c r="F445" s="5">
        <v>12</v>
      </c>
      <c r="G445" s="5" t="b">
        <v>0</v>
      </c>
      <c r="H445" s="5">
        <v>4</v>
      </c>
      <c r="I445" s="5">
        <v>2</v>
      </c>
      <c r="J445" s="5">
        <v>0.3</v>
      </c>
    </row>
    <row r="446" spans="1:10">
      <c r="A446" s="5">
        <v>445</v>
      </c>
      <c r="B446" s="6">
        <v>40563</v>
      </c>
      <c r="C446" s="5">
        <v>1</v>
      </c>
      <c r="D446" s="5">
        <v>0</v>
      </c>
      <c r="E446" s="5">
        <v>1</v>
      </c>
      <c r="F446" s="5">
        <v>13</v>
      </c>
      <c r="G446" s="5" t="b">
        <v>0</v>
      </c>
      <c r="H446" s="5">
        <v>4</v>
      </c>
      <c r="I446" s="5">
        <v>2</v>
      </c>
      <c r="J446" s="5">
        <v>0.28000000000000003</v>
      </c>
    </row>
    <row r="447" spans="1:10">
      <c r="A447" s="5">
        <v>446</v>
      </c>
      <c r="B447" s="6">
        <v>40563</v>
      </c>
      <c r="C447" s="5">
        <v>1</v>
      </c>
      <c r="D447" s="5">
        <v>0</v>
      </c>
      <c r="E447" s="5">
        <v>1</v>
      </c>
      <c r="F447" s="5">
        <v>14</v>
      </c>
      <c r="G447" s="5" t="b">
        <v>0</v>
      </c>
      <c r="H447" s="5">
        <v>4</v>
      </c>
      <c r="I447" s="5">
        <v>2</v>
      </c>
      <c r="J447" s="5">
        <v>0.3</v>
      </c>
    </row>
    <row r="448" spans="1:10">
      <c r="A448" s="5">
        <v>447</v>
      </c>
      <c r="B448" s="6">
        <v>40563</v>
      </c>
      <c r="C448" s="5">
        <v>1</v>
      </c>
      <c r="D448" s="5">
        <v>0</v>
      </c>
      <c r="E448" s="5">
        <v>1</v>
      </c>
      <c r="F448" s="5">
        <v>15</v>
      </c>
      <c r="G448" s="5" t="b">
        <v>0</v>
      </c>
      <c r="H448" s="5">
        <v>4</v>
      </c>
      <c r="I448" s="5">
        <v>2</v>
      </c>
      <c r="J448" s="5">
        <v>0.32</v>
      </c>
    </row>
    <row r="449" spans="1:10">
      <c r="A449" s="5">
        <v>448</v>
      </c>
      <c r="B449" s="6">
        <v>40563</v>
      </c>
      <c r="C449" s="5">
        <v>1</v>
      </c>
      <c r="D449" s="5">
        <v>0</v>
      </c>
      <c r="E449" s="5">
        <v>1</v>
      </c>
      <c r="F449" s="5">
        <v>16</v>
      </c>
      <c r="G449" s="5" t="b">
        <v>0</v>
      </c>
      <c r="H449" s="5">
        <v>4</v>
      </c>
      <c r="I449" s="5">
        <v>2</v>
      </c>
      <c r="J449" s="5">
        <v>0.3</v>
      </c>
    </row>
    <row r="450" spans="1:10">
      <c r="A450" s="5">
        <v>449</v>
      </c>
      <c r="B450" s="6">
        <v>40563</v>
      </c>
      <c r="C450" s="5">
        <v>1</v>
      </c>
      <c r="D450" s="5">
        <v>0</v>
      </c>
      <c r="E450" s="5">
        <v>1</v>
      </c>
      <c r="F450" s="5">
        <v>17</v>
      </c>
      <c r="G450" s="5" t="b">
        <v>0</v>
      </c>
      <c r="H450" s="5">
        <v>4</v>
      </c>
      <c r="I450" s="5">
        <v>2</v>
      </c>
      <c r="J450" s="5">
        <v>0.3</v>
      </c>
    </row>
    <row r="451" spans="1:10">
      <c r="A451" s="5">
        <v>450</v>
      </c>
      <c r="B451" s="6">
        <v>40563</v>
      </c>
      <c r="C451" s="5">
        <v>1</v>
      </c>
      <c r="D451" s="5">
        <v>0</v>
      </c>
      <c r="E451" s="5">
        <v>1</v>
      </c>
      <c r="F451" s="5">
        <v>18</v>
      </c>
      <c r="G451" s="5" t="b">
        <v>0</v>
      </c>
      <c r="H451" s="5">
        <v>4</v>
      </c>
      <c r="I451" s="5">
        <v>2</v>
      </c>
      <c r="J451" s="5">
        <v>0.26</v>
      </c>
    </row>
    <row r="452" spans="1:10">
      <c r="A452" s="5">
        <v>451</v>
      </c>
      <c r="B452" s="6">
        <v>40563</v>
      </c>
      <c r="C452" s="5">
        <v>1</v>
      </c>
      <c r="D452" s="5">
        <v>0</v>
      </c>
      <c r="E452" s="5">
        <v>1</v>
      </c>
      <c r="F452" s="5">
        <v>19</v>
      </c>
      <c r="G452" s="5" t="b">
        <v>0</v>
      </c>
      <c r="H452" s="5">
        <v>4</v>
      </c>
      <c r="I452" s="5">
        <v>1</v>
      </c>
      <c r="J452" s="5">
        <v>0.26</v>
      </c>
    </row>
    <row r="453" spans="1:10">
      <c r="A453" s="5">
        <v>452</v>
      </c>
      <c r="B453" s="6">
        <v>40563</v>
      </c>
      <c r="C453" s="5">
        <v>1</v>
      </c>
      <c r="D453" s="5">
        <v>0</v>
      </c>
      <c r="E453" s="5">
        <v>1</v>
      </c>
      <c r="F453" s="5">
        <v>20</v>
      </c>
      <c r="G453" s="5" t="b">
        <v>0</v>
      </c>
      <c r="H453" s="5">
        <v>4</v>
      </c>
      <c r="I453" s="5">
        <v>2</v>
      </c>
      <c r="J453" s="5">
        <v>0.26</v>
      </c>
    </row>
    <row r="454" spans="1:10">
      <c r="A454" s="5">
        <v>453</v>
      </c>
      <c r="B454" s="6">
        <v>40563</v>
      </c>
      <c r="C454" s="5">
        <v>1</v>
      </c>
      <c r="D454" s="5">
        <v>0</v>
      </c>
      <c r="E454" s="5">
        <v>1</v>
      </c>
      <c r="F454" s="5">
        <v>21</v>
      </c>
      <c r="G454" s="5" t="b">
        <v>0</v>
      </c>
      <c r="H454" s="5">
        <v>4</v>
      </c>
      <c r="I454" s="5">
        <v>2</v>
      </c>
      <c r="J454" s="5">
        <v>0.24</v>
      </c>
    </row>
    <row r="455" spans="1:10">
      <c r="A455" s="5">
        <v>454</v>
      </c>
      <c r="B455" s="6">
        <v>40563</v>
      </c>
      <c r="C455" s="5">
        <v>1</v>
      </c>
      <c r="D455" s="5">
        <v>0</v>
      </c>
      <c r="E455" s="5">
        <v>1</v>
      </c>
      <c r="F455" s="5">
        <v>22</v>
      </c>
      <c r="G455" s="5" t="b">
        <v>0</v>
      </c>
      <c r="H455" s="5">
        <v>4</v>
      </c>
      <c r="I455" s="5">
        <v>2</v>
      </c>
      <c r="J455" s="5">
        <v>0.24</v>
      </c>
    </row>
    <row r="456" spans="1:10">
      <c r="A456" s="5">
        <v>455</v>
      </c>
      <c r="B456" s="6">
        <v>40563</v>
      </c>
      <c r="C456" s="5">
        <v>1</v>
      </c>
      <c r="D456" s="5">
        <v>0</v>
      </c>
      <c r="E456" s="5">
        <v>1</v>
      </c>
      <c r="F456" s="5">
        <v>23</v>
      </c>
      <c r="G456" s="5" t="b">
        <v>0</v>
      </c>
      <c r="H456" s="5">
        <v>4</v>
      </c>
      <c r="I456" s="5">
        <v>2</v>
      </c>
      <c r="J456" s="5">
        <v>0.24</v>
      </c>
    </row>
    <row r="457" spans="1:10">
      <c r="A457" s="5">
        <v>456</v>
      </c>
      <c r="B457" s="6">
        <v>40564</v>
      </c>
      <c r="C457" s="5">
        <v>1</v>
      </c>
      <c r="D457" s="5">
        <v>0</v>
      </c>
      <c r="E457" s="5">
        <v>1</v>
      </c>
      <c r="F457" s="5">
        <v>0</v>
      </c>
      <c r="G457" s="5" t="b">
        <v>0</v>
      </c>
      <c r="H457" s="5">
        <v>5</v>
      </c>
      <c r="I457" s="5">
        <v>2</v>
      </c>
      <c r="J457" s="5">
        <v>0.24</v>
      </c>
    </row>
    <row r="458" spans="1:10">
      <c r="A458" s="5">
        <v>457</v>
      </c>
      <c r="B458" s="6">
        <v>40564</v>
      </c>
      <c r="C458" s="5">
        <v>1</v>
      </c>
      <c r="D458" s="5">
        <v>0</v>
      </c>
      <c r="E458" s="5">
        <v>1</v>
      </c>
      <c r="F458" s="5">
        <v>1</v>
      </c>
      <c r="G458" s="5" t="b">
        <v>0</v>
      </c>
      <c r="H458" s="5">
        <v>5</v>
      </c>
      <c r="I458" s="5">
        <v>2</v>
      </c>
      <c r="J458" s="5">
        <v>0.24</v>
      </c>
    </row>
    <row r="459" spans="1:10">
      <c r="A459" s="5">
        <v>458</v>
      </c>
      <c r="B459" s="6">
        <v>40564</v>
      </c>
      <c r="C459" s="5">
        <v>1</v>
      </c>
      <c r="D459" s="5">
        <v>0</v>
      </c>
      <c r="E459" s="5">
        <v>1</v>
      </c>
      <c r="F459" s="5">
        <v>2</v>
      </c>
      <c r="G459" s="5" t="b">
        <v>0</v>
      </c>
      <c r="H459" s="5">
        <v>5</v>
      </c>
      <c r="I459" s="5">
        <v>3</v>
      </c>
      <c r="J459" s="5">
        <v>0.24</v>
      </c>
    </row>
    <row r="460" spans="1:10">
      <c r="A460" s="5">
        <v>459</v>
      </c>
      <c r="B460" s="6">
        <v>40564</v>
      </c>
      <c r="C460" s="5">
        <v>1</v>
      </c>
      <c r="D460" s="5">
        <v>0</v>
      </c>
      <c r="E460" s="5">
        <v>1</v>
      </c>
      <c r="F460" s="5">
        <v>3</v>
      </c>
      <c r="G460" s="5" t="b">
        <v>0</v>
      </c>
      <c r="H460" s="5">
        <v>5</v>
      </c>
      <c r="I460" s="5">
        <v>3</v>
      </c>
      <c r="J460" s="5">
        <v>0.22</v>
      </c>
    </row>
    <row r="461" spans="1:10">
      <c r="A461" s="5">
        <v>460</v>
      </c>
      <c r="B461" s="6">
        <v>40564</v>
      </c>
      <c r="C461" s="5">
        <v>1</v>
      </c>
      <c r="D461" s="5">
        <v>0</v>
      </c>
      <c r="E461" s="5">
        <v>1</v>
      </c>
      <c r="F461" s="5">
        <v>4</v>
      </c>
      <c r="G461" s="5" t="b">
        <v>0</v>
      </c>
      <c r="H461" s="5">
        <v>5</v>
      </c>
      <c r="I461" s="5">
        <v>2</v>
      </c>
      <c r="J461" s="5">
        <v>0.22</v>
      </c>
    </row>
    <row r="462" spans="1:10">
      <c r="A462" s="5">
        <v>461</v>
      </c>
      <c r="B462" s="6">
        <v>40564</v>
      </c>
      <c r="C462" s="5">
        <v>1</v>
      </c>
      <c r="D462" s="5">
        <v>0</v>
      </c>
      <c r="E462" s="5">
        <v>1</v>
      </c>
      <c r="F462" s="5">
        <v>5</v>
      </c>
      <c r="G462" s="5" t="b">
        <v>0</v>
      </c>
      <c r="H462" s="5">
        <v>5</v>
      </c>
      <c r="I462" s="5">
        <v>1</v>
      </c>
      <c r="J462" s="5">
        <v>0.24</v>
      </c>
    </row>
    <row r="463" spans="1:10">
      <c r="A463" s="5">
        <v>462</v>
      </c>
      <c r="B463" s="6">
        <v>40564</v>
      </c>
      <c r="C463" s="5">
        <v>1</v>
      </c>
      <c r="D463" s="5">
        <v>0</v>
      </c>
      <c r="E463" s="5">
        <v>1</v>
      </c>
      <c r="F463" s="5">
        <v>6</v>
      </c>
      <c r="G463" s="5" t="b">
        <v>0</v>
      </c>
      <c r="H463" s="5">
        <v>5</v>
      </c>
      <c r="I463" s="5">
        <v>1</v>
      </c>
      <c r="J463" s="5">
        <v>0.22</v>
      </c>
    </row>
    <row r="464" spans="1:10">
      <c r="A464" s="5">
        <v>463</v>
      </c>
      <c r="B464" s="6">
        <v>40564</v>
      </c>
      <c r="C464" s="5">
        <v>1</v>
      </c>
      <c r="D464" s="5">
        <v>0</v>
      </c>
      <c r="E464" s="5">
        <v>1</v>
      </c>
      <c r="F464" s="5">
        <v>7</v>
      </c>
      <c r="G464" s="5" t="b">
        <v>0</v>
      </c>
      <c r="H464" s="5">
        <v>5</v>
      </c>
      <c r="I464" s="5">
        <v>1</v>
      </c>
      <c r="J464" s="5">
        <v>0.2</v>
      </c>
    </row>
    <row r="465" spans="1:10">
      <c r="A465" s="5">
        <v>464</v>
      </c>
      <c r="B465" s="6">
        <v>40564</v>
      </c>
      <c r="C465" s="5">
        <v>1</v>
      </c>
      <c r="D465" s="5">
        <v>0</v>
      </c>
      <c r="E465" s="5">
        <v>1</v>
      </c>
      <c r="F465" s="5">
        <v>8</v>
      </c>
      <c r="G465" s="5" t="b">
        <v>0</v>
      </c>
      <c r="H465" s="5">
        <v>5</v>
      </c>
      <c r="I465" s="5">
        <v>1</v>
      </c>
      <c r="J465" s="5">
        <v>0.2</v>
      </c>
    </row>
    <row r="466" spans="1:10">
      <c r="A466" s="5">
        <v>465</v>
      </c>
      <c r="B466" s="6">
        <v>40564</v>
      </c>
      <c r="C466" s="5">
        <v>1</v>
      </c>
      <c r="D466" s="5">
        <v>0</v>
      </c>
      <c r="E466" s="5">
        <v>1</v>
      </c>
      <c r="F466" s="5">
        <v>9</v>
      </c>
      <c r="G466" s="5" t="b">
        <v>0</v>
      </c>
      <c r="H466" s="5">
        <v>5</v>
      </c>
      <c r="I466" s="5">
        <v>1</v>
      </c>
      <c r="J466" s="5">
        <v>0.2</v>
      </c>
    </row>
    <row r="467" spans="1:10">
      <c r="A467" s="5">
        <v>466</v>
      </c>
      <c r="B467" s="6">
        <v>40564</v>
      </c>
      <c r="C467" s="5">
        <v>1</v>
      </c>
      <c r="D467" s="5">
        <v>0</v>
      </c>
      <c r="E467" s="5">
        <v>1</v>
      </c>
      <c r="F467" s="5">
        <v>10</v>
      </c>
      <c r="G467" s="5" t="b">
        <v>0</v>
      </c>
      <c r="H467" s="5">
        <v>5</v>
      </c>
      <c r="I467" s="5">
        <v>1</v>
      </c>
      <c r="J467" s="5">
        <v>0.2</v>
      </c>
    </row>
    <row r="468" spans="1:10">
      <c r="A468" s="5">
        <v>467</v>
      </c>
      <c r="B468" s="6">
        <v>40564</v>
      </c>
      <c r="C468" s="5">
        <v>1</v>
      </c>
      <c r="D468" s="5">
        <v>0</v>
      </c>
      <c r="E468" s="5">
        <v>1</v>
      </c>
      <c r="F468" s="5">
        <v>11</v>
      </c>
      <c r="G468" s="5" t="b">
        <v>0</v>
      </c>
      <c r="H468" s="5">
        <v>5</v>
      </c>
      <c r="I468" s="5">
        <v>1</v>
      </c>
      <c r="J468" s="5">
        <v>0.22</v>
      </c>
    </row>
    <row r="469" spans="1:10">
      <c r="A469" s="5">
        <v>468</v>
      </c>
      <c r="B469" s="6">
        <v>40564</v>
      </c>
      <c r="C469" s="5">
        <v>1</v>
      </c>
      <c r="D469" s="5">
        <v>0</v>
      </c>
      <c r="E469" s="5">
        <v>1</v>
      </c>
      <c r="F469" s="5">
        <v>12</v>
      </c>
      <c r="G469" s="5" t="b">
        <v>0</v>
      </c>
      <c r="H469" s="5">
        <v>5</v>
      </c>
      <c r="I469" s="5">
        <v>1</v>
      </c>
      <c r="J469" s="5">
        <v>0.22</v>
      </c>
    </row>
    <row r="470" spans="1:10">
      <c r="A470" s="5">
        <v>469</v>
      </c>
      <c r="B470" s="6">
        <v>40564</v>
      </c>
      <c r="C470" s="5">
        <v>1</v>
      </c>
      <c r="D470" s="5">
        <v>0</v>
      </c>
      <c r="E470" s="5">
        <v>1</v>
      </c>
      <c r="F470" s="5">
        <v>13</v>
      </c>
      <c r="G470" s="5" t="b">
        <v>0</v>
      </c>
      <c r="H470" s="5">
        <v>5</v>
      </c>
      <c r="I470" s="5">
        <v>1</v>
      </c>
      <c r="J470" s="5">
        <v>0.2</v>
      </c>
    </row>
    <row r="471" spans="1:10">
      <c r="A471" s="5">
        <v>470</v>
      </c>
      <c r="B471" s="6">
        <v>40564</v>
      </c>
      <c r="C471" s="5">
        <v>1</v>
      </c>
      <c r="D471" s="5">
        <v>0</v>
      </c>
      <c r="E471" s="5">
        <v>1</v>
      </c>
      <c r="F471" s="5">
        <v>14</v>
      </c>
      <c r="G471" s="5" t="b">
        <v>0</v>
      </c>
      <c r="H471" s="5">
        <v>5</v>
      </c>
      <c r="I471" s="5">
        <v>1</v>
      </c>
      <c r="J471" s="5">
        <v>0.2</v>
      </c>
    </row>
    <row r="472" spans="1:10">
      <c r="A472" s="5">
        <v>471</v>
      </c>
      <c r="B472" s="6">
        <v>40564</v>
      </c>
      <c r="C472" s="5">
        <v>1</v>
      </c>
      <c r="D472" s="5">
        <v>0</v>
      </c>
      <c r="E472" s="5">
        <v>1</v>
      </c>
      <c r="F472" s="5">
        <v>15</v>
      </c>
      <c r="G472" s="5" t="b">
        <v>0</v>
      </c>
      <c r="H472" s="5">
        <v>5</v>
      </c>
      <c r="I472" s="5">
        <v>1</v>
      </c>
      <c r="J472" s="5">
        <v>0.16</v>
      </c>
    </row>
    <row r="473" spans="1:10">
      <c r="A473" s="5">
        <v>472</v>
      </c>
      <c r="B473" s="6">
        <v>40564</v>
      </c>
      <c r="C473" s="5">
        <v>1</v>
      </c>
      <c r="D473" s="5">
        <v>0</v>
      </c>
      <c r="E473" s="5">
        <v>1</v>
      </c>
      <c r="F473" s="5">
        <v>16</v>
      </c>
      <c r="G473" s="5" t="b">
        <v>0</v>
      </c>
      <c r="H473" s="5">
        <v>5</v>
      </c>
      <c r="I473" s="5">
        <v>1</v>
      </c>
      <c r="J473" s="5">
        <v>0.16</v>
      </c>
    </row>
    <row r="474" spans="1:10">
      <c r="A474" s="5">
        <v>473</v>
      </c>
      <c r="B474" s="6">
        <v>40564</v>
      </c>
      <c r="C474" s="5">
        <v>1</v>
      </c>
      <c r="D474" s="5">
        <v>0</v>
      </c>
      <c r="E474" s="5">
        <v>1</v>
      </c>
      <c r="F474" s="5">
        <v>17</v>
      </c>
      <c r="G474" s="5" t="b">
        <v>0</v>
      </c>
      <c r="H474" s="5">
        <v>5</v>
      </c>
      <c r="I474" s="5">
        <v>1</v>
      </c>
      <c r="J474" s="5">
        <v>0.14000000000000001</v>
      </c>
    </row>
    <row r="475" spans="1:10">
      <c r="A475" s="5">
        <v>474</v>
      </c>
      <c r="B475" s="6">
        <v>40564</v>
      </c>
      <c r="C475" s="5">
        <v>1</v>
      </c>
      <c r="D475" s="5">
        <v>0</v>
      </c>
      <c r="E475" s="5">
        <v>1</v>
      </c>
      <c r="F475" s="5">
        <v>18</v>
      </c>
      <c r="G475" s="5" t="b">
        <v>0</v>
      </c>
      <c r="H475" s="5">
        <v>5</v>
      </c>
      <c r="I475" s="5">
        <v>1</v>
      </c>
      <c r="J475" s="5">
        <v>0.12</v>
      </c>
    </row>
    <row r="476" spans="1:10">
      <c r="A476" s="5">
        <v>475</v>
      </c>
      <c r="B476" s="6">
        <v>40564</v>
      </c>
      <c r="C476" s="5">
        <v>1</v>
      </c>
      <c r="D476" s="5">
        <v>0</v>
      </c>
      <c r="E476" s="5">
        <v>1</v>
      </c>
      <c r="F476" s="5">
        <v>19</v>
      </c>
      <c r="G476" s="5" t="b">
        <v>0</v>
      </c>
      <c r="H476" s="5">
        <v>5</v>
      </c>
      <c r="I476" s="5">
        <v>1</v>
      </c>
      <c r="J476" s="5">
        <v>0.12</v>
      </c>
    </row>
    <row r="477" spans="1:10">
      <c r="A477" s="5">
        <v>476</v>
      </c>
      <c r="B477" s="6">
        <v>40564</v>
      </c>
      <c r="C477" s="5">
        <v>1</v>
      </c>
      <c r="D477" s="5">
        <v>0</v>
      </c>
      <c r="E477" s="5">
        <v>1</v>
      </c>
      <c r="F477" s="5">
        <v>20</v>
      </c>
      <c r="G477" s="5" t="b">
        <v>0</v>
      </c>
      <c r="H477" s="5">
        <v>5</v>
      </c>
      <c r="I477" s="5">
        <v>1</v>
      </c>
      <c r="J477" s="5">
        <v>0.1</v>
      </c>
    </row>
    <row r="478" spans="1:10">
      <c r="A478" s="5">
        <v>477</v>
      </c>
      <c r="B478" s="6">
        <v>40564</v>
      </c>
      <c r="C478" s="5">
        <v>1</v>
      </c>
      <c r="D478" s="5">
        <v>0</v>
      </c>
      <c r="E478" s="5">
        <v>1</v>
      </c>
      <c r="F478" s="5">
        <v>21</v>
      </c>
      <c r="G478" s="5" t="b">
        <v>0</v>
      </c>
      <c r="H478" s="5">
        <v>5</v>
      </c>
      <c r="I478" s="5">
        <v>1</v>
      </c>
      <c r="J478" s="5">
        <v>0.08</v>
      </c>
    </row>
    <row r="479" spans="1:10">
      <c r="A479" s="5">
        <v>478</v>
      </c>
      <c r="B479" s="6">
        <v>40564</v>
      </c>
      <c r="C479" s="5">
        <v>1</v>
      </c>
      <c r="D479" s="5">
        <v>0</v>
      </c>
      <c r="E479" s="5">
        <v>1</v>
      </c>
      <c r="F479" s="5">
        <v>22</v>
      </c>
      <c r="G479" s="5" t="b">
        <v>0</v>
      </c>
      <c r="H479" s="5">
        <v>5</v>
      </c>
      <c r="I479" s="5">
        <v>1</v>
      </c>
      <c r="J479" s="5">
        <v>0.06</v>
      </c>
    </row>
    <row r="480" spans="1:10">
      <c r="A480" s="5">
        <v>479</v>
      </c>
      <c r="B480" s="6">
        <v>40564</v>
      </c>
      <c r="C480" s="5">
        <v>1</v>
      </c>
      <c r="D480" s="5">
        <v>0</v>
      </c>
      <c r="E480" s="5">
        <v>1</v>
      </c>
      <c r="F480" s="5">
        <v>23</v>
      </c>
      <c r="G480" s="5" t="b">
        <v>0</v>
      </c>
      <c r="H480" s="5">
        <v>5</v>
      </c>
      <c r="I480" s="5">
        <v>1</v>
      </c>
      <c r="J480" s="5">
        <v>0.06</v>
      </c>
    </row>
    <row r="481" spans="1:10">
      <c r="A481" s="5">
        <v>480</v>
      </c>
      <c r="B481" s="6">
        <v>40565</v>
      </c>
      <c r="C481" s="5">
        <v>1</v>
      </c>
      <c r="D481" s="5">
        <v>0</v>
      </c>
      <c r="E481" s="5">
        <v>1</v>
      </c>
      <c r="F481" s="5">
        <v>0</v>
      </c>
      <c r="G481" s="5" t="b">
        <v>0</v>
      </c>
      <c r="H481" s="5">
        <v>6</v>
      </c>
      <c r="I481" s="5">
        <v>1</v>
      </c>
      <c r="J481" s="5">
        <v>0.04</v>
      </c>
    </row>
    <row r="482" spans="1:10">
      <c r="A482" s="5">
        <v>481</v>
      </c>
      <c r="B482" s="6">
        <v>40565</v>
      </c>
      <c r="C482" s="5">
        <v>1</v>
      </c>
      <c r="D482" s="5">
        <v>0</v>
      </c>
      <c r="E482" s="5">
        <v>1</v>
      </c>
      <c r="F482" s="5">
        <v>1</v>
      </c>
      <c r="G482" s="5" t="b">
        <v>0</v>
      </c>
      <c r="H482" s="5">
        <v>6</v>
      </c>
      <c r="I482" s="5">
        <v>2</v>
      </c>
      <c r="J482" s="5">
        <v>0.04</v>
      </c>
    </row>
    <row r="483" spans="1:10">
      <c r="A483" s="5">
        <v>482</v>
      </c>
      <c r="B483" s="6">
        <v>40565</v>
      </c>
      <c r="C483" s="5">
        <v>1</v>
      </c>
      <c r="D483" s="5">
        <v>0</v>
      </c>
      <c r="E483" s="5">
        <v>1</v>
      </c>
      <c r="F483" s="5">
        <v>2</v>
      </c>
      <c r="G483" s="5" t="b">
        <v>0</v>
      </c>
      <c r="H483" s="5">
        <v>6</v>
      </c>
      <c r="I483" s="5">
        <v>2</v>
      </c>
      <c r="J483" s="5">
        <v>0.04</v>
      </c>
    </row>
    <row r="484" spans="1:10">
      <c r="A484" s="5">
        <v>483</v>
      </c>
      <c r="B484" s="6">
        <v>40565</v>
      </c>
      <c r="C484" s="5">
        <v>1</v>
      </c>
      <c r="D484" s="5">
        <v>0</v>
      </c>
      <c r="E484" s="5">
        <v>1</v>
      </c>
      <c r="F484" s="5">
        <v>3</v>
      </c>
      <c r="G484" s="5" t="b">
        <v>0</v>
      </c>
      <c r="H484" s="5">
        <v>6</v>
      </c>
      <c r="I484" s="5">
        <v>2</v>
      </c>
      <c r="J484" s="5">
        <v>0.04</v>
      </c>
    </row>
    <row r="485" spans="1:10">
      <c r="A485" s="5">
        <v>484</v>
      </c>
      <c r="B485" s="6">
        <v>40565</v>
      </c>
      <c r="C485" s="5">
        <v>1</v>
      </c>
      <c r="D485" s="5">
        <v>0</v>
      </c>
      <c r="E485" s="5">
        <v>1</v>
      </c>
      <c r="F485" s="5">
        <v>4</v>
      </c>
      <c r="G485" s="5" t="b">
        <v>0</v>
      </c>
      <c r="H485" s="5">
        <v>6</v>
      </c>
      <c r="I485" s="5">
        <v>2</v>
      </c>
      <c r="J485" s="5">
        <v>0.02</v>
      </c>
    </row>
    <row r="486" spans="1:10">
      <c r="A486" s="5">
        <v>485</v>
      </c>
      <c r="B486" s="6">
        <v>40565</v>
      </c>
      <c r="C486" s="5">
        <v>1</v>
      </c>
      <c r="D486" s="5">
        <v>0</v>
      </c>
      <c r="E486" s="5">
        <v>1</v>
      </c>
      <c r="F486" s="5">
        <v>6</v>
      </c>
      <c r="G486" s="5" t="b">
        <v>0</v>
      </c>
      <c r="H486" s="5">
        <v>6</v>
      </c>
      <c r="I486" s="5">
        <v>2</v>
      </c>
      <c r="J486" s="5">
        <v>0.02</v>
      </c>
    </row>
    <row r="487" spans="1:10">
      <c r="A487" s="5">
        <v>486</v>
      </c>
      <c r="B487" s="6">
        <v>40565</v>
      </c>
      <c r="C487" s="5">
        <v>1</v>
      </c>
      <c r="D487" s="5">
        <v>0</v>
      </c>
      <c r="E487" s="5">
        <v>1</v>
      </c>
      <c r="F487" s="5">
        <v>7</v>
      </c>
      <c r="G487" s="5" t="b">
        <v>0</v>
      </c>
      <c r="H487" s="5">
        <v>6</v>
      </c>
      <c r="I487" s="5">
        <v>1</v>
      </c>
      <c r="J487" s="5">
        <v>0.02</v>
      </c>
    </row>
    <row r="488" spans="1:10">
      <c r="A488" s="5">
        <v>487</v>
      </c>
      <c r="B488" s="6">
        <v>40565</v>
      </c>
      <c r="C488" s="5">
        <v>1</v>
      </c>
      <c r="D488" s="5">
        <v>0</v>
      </c>
      <c r="E488" s="5">
        <v>1</v>
      </c>
      <c r="F488" s="5">
        <v>8</v>
      </c>
      <c r="G488" s="5" t="b">
        <v>0</v>
      </c>
      <c r="H488" s="5">
        <v>6</v>
      </c>
      <c r="I488" s="5">
        <v>1</v>
      </c>
      <c r="J488" s="5">
        <v>0.02</v>
      </c>
    </row>
    <row r="489" spans="1:10">
      <c r="A489" s="5">
        <v>488</v>
      </c>
      <c r="B489" s="6">
        <v>40565</v>
      </c>
      <c r="C489" s="5">
        <v>1</v>
      </c>
      <c r="D489" s="5">
        <v>0</v>
      </c>
      <c r="E489" s="5">
        <v>1</v>
      </c>
      <c r="F489" s="5">
        <v>9</v>
      </c>
      <c r="G489" s="5" t="b">
        <v>0</v>
      </c>
      <c r="H489" s="5">
        <v>6</v>
      </c>
      <c r="I489" s="5">
        <v>1</v>
      </c>
      <c r="J489" s="5">
        <v>0.04</v>
      </c>
    </row>
    <row r="490" spans="1:10">
      <c r="A490" s="5">
        <v>489</v>
      </c>
      <c r="B490" s="6">
        <v>40565</v>
      </c>
      <c r="C490" s="5">
        <v>1</v>
      </c>
      <c r="D490" s="5">
        <v>0</v>
      </c>
      <c r="E490" s="5">
        <v>1</v>
      </c>
      <c r="F490" s="5">
        <v>10</v>
      </c>
      <c r="G490" s="5" t="b">
        <v>0</v>
      </c>
      <c r="H490" s="5">
        <v>6</v>
      </c>
      <c r="I490" s="5">
        <v>2</v>
      </c>
      <c r="J490" s="5">
        <v>0.04</v>
      </c>
    </row>
    <row r="491" spans="1:10">
      <c r="A491" s="5">
        <v>490</v>
      </c>
      <c r="B491" s="6">
        <v>40565</v>
      </c>
      <c r="C491" s="5">
        <v>1</v>
      </c>
      <c r="D491" s="5">
        <v>0</v>
      </c>
      <c r="E491" s="5">
        <v>1</v>
      </c>
      <c r="F491" s="5">
        <v>11</v>
      </c>
      <c r="G491" s="5" t="b">
        <v>0</v>
      </c>
      <c r="H491" s="5">
        <v>6</v>
      </c>
      <c r="I491" s="5">
        <v>2</v>
      </c>
      <c r="J491" s="5">
        <v>0.06</v>
      </c>
    </row>
    <row r="492" spans="1:10">
      <c r="A492" s="5">
        <v>491</v>
      </c>
      <c r="B492" s="6">
        <v>40565</v>
      </c>
      <c r="C492" s="5">
        <v>1</v>
      </c>
      <c r="D492" s="5">
        <v>0</v>
      </c>
      <c r="E492" s="5">
        <v>1</v>
      </c>
      <c r="F492" s="5">
        <v>12</v>
      </c>
      <c r="G492" s="5" t="b">
        <v>0</v>
      </c>
      <c r="H492" s="5">
        <v>6</v>
      </c>
      <c r="I492" s="5">
        <v>2</v>
      </c>
      <c r="J492" s="5">
        <v>0.06</v>
      </c>
    </row>
    <row r="493" spans="1:10">
      <c r="A493" s="5">
        <v>492</v>
      </c>
      <c r="B493" s="6">
        <v>40565</v>
      </c>
      <c r="C493" s="5">
        <v>1</v>
      </c>
      <c r="D493" s="5">
        <v>0</v>
      </c>
      <c r="E493" s="5">
        <v>1</v>
      </c>
      <c r="F493" s="5">
        <v>13</v>
      </c>
      <c r="G493" s="5" t="b">
        <v>0</v>
      </c>
      <c r="H493" s="5">
        <v>6</v>
      </c>
      <c r="I493" s="5">
        <v>1</v>
      </c>
      <c r="J493" s="5">
        <v>0.08</v>
      </c>
    </row>
    <row r="494" spans="1:10">
      <c r="A494" s="5">
        <v>493</v>
      </c>
      <c r="B494" s="6">
        <v>40565</v>
      </c>
      <c r="C494" s="5">
        <v>1</v>
      </c>
      <c r="D494" s="5">
        <v>0</v>
      </c>
      <c r="E494" s="5">
        <v>1</v>
      </c>
      <c r="F494" s="5">
        <v>14</v>
      </c>
      <c r="G494" s="5" t="b">
        <v>0</v>
      </c>
      <c r="H494" s="5">
        <v>6</v>
      </c>
      <c r="I494" s="5">
        <v>1</v>
      </c>
      <c r="J494" s="5">
        <v>0.1</v>
      </c>
    </row>
    <row r="495" spans="1:10">
      <c r="A495" s="5">
        <v>494</v>
      </c>
      <c r="B495" s="6">
        <v>40565</v>
      </c>
      <c r="C495" s="5">
        <v>1</v>
      </c>
      <c r="D495" s="5">
        <v>0</v>
      </c>
      <c r="E495" s="5">
        <v>1</v>
      </c>
      <c r="F495" s="5">
        <v>15</v>
      </c>
      <c r="G495" s="5" t="b">
        <v>0</v>
      </c>
      <c r="H495" s="5">
        <v>6</v>
      </c>
      <c r="I495" s="5">
        <v>1</v>
      </c>
      <c r="J495" s="5">
        <v>0.12</v>
      </c>
    </row>
    <row r="496" spans="1:10">
      <c r="A496" s="5">
        <v>495</v>
      </c>
      <c r="B496" s="6">
        <v>40565</v>
      </c>
      <c r="C496" s="5">
        <v>1</v>
      </c>
      <c r="D496" s="5">
        <v>0</v>
      </c>
      <c r="E496" s="5">
        <v>1</v>
      </c>
      <c r="F496" s="5">
        <v>16</v>
      </c>
      <c r="G496" s="5" t="b">
        <v>0</v>
      </c>
      <c r="H496" s="5">
        <v>6</v>
      </c>
      <c r="I496" s="5">
        <v>1</v>
      </c>
      <c r="J496" s="5">
        <v>0.12</v>
      </c>
    </row>
    <row r="497" spans="1:10">
      <c r="A497" s="5">
        <v>496</v>
      </c>
      <c r="B497" s="6">
        <v>40565</v>
      </c>
      <c r="C497" s="5">
        <v>1</v>
      </c>
      <c r="D497" s="5">
        <v>0</v>
      </c>
      <c r="E497" s="5">
        <v>1</v>
      </c>
      <c r="F497" s="5">
        <v>17</v>
      </c>
      <c r="G497" s="5" t="b">
        <v>0</v>
      </c>
      <c r="H497" s="5">
        <v>6</v>
      </c>
      <c r="I497" s="5">
        <v>1</v>
      </c>
      <c r="J497" s="5">
        <v>0.12</v>
      </c>
    </row>
    <row r="498" spans="1:10">
      <c r="A498" s="5">
        <v>497</v>
      </c>
      <c r="B498" s="6">
        <v>40565</v>
      </c>
      <c r="C498" s="5">
        <v>1</v>
      </c>
      <c r="D498" s="5">
        <v>0</v>
      </c>
      <c r="E498" s="5">
        <v>1</v>
      </c>
      <c r="F498" s="5">
        <v>18</v>
      </c>
      <c r="G498" s="5" t="b">
        <v>0</v>
      </c>
      <c r="H498" s="5">
        <v>6</v>
      </c>
      <c r="I498" s="5">
        <v>1</v>
      </c>
      <c r="J498" s="5">
        <v>0.08</v>
      </c>
    </row>
    <row r="499" spans="1:10">
      <c r="A499" s="5">
        <v>498</v>
      </c>
      <c r="B499" s="6">
        <v>40565</v>
      </c>
      <c r="C499" s="5">
        <v>1</v>
      </c>
      <c r="D499" s="5">
        <v>0</v>
      </c>
      <c r="E499" s="5">
        <v>1</v>
      </c>
      <c r="F499" s="5">
        <v>19</v>
      </c>
      <c r="G499" s="5" t="b">
        <v>0</v>
      </c>
      <c r="H499" s="5">
        <v>6</v>
      </c>
      <c r="I499" s="5">
        <v>1</v>
      </c>
      <c r="J499" s="5">
        <v>0.08</v>
      </c>
    </row>
    <row r="500" spans="1:10">
      <c r="A500" s="5">
        <v>499</v>
      </c>
      <c r="B500" s="6">
        <v>40565</v>
      </c>
      <c r="C500" s="5">
        <v>1</v>
      </c>
      <c r="D500" s="5">
        <v>0</v>
      </c>
      <c r="E500" s="5">
        <v>1</v>
      </c>
      <c r="F500" s="5">
        <v>20</v>
      </c>
      <c r="G500" s="5" t="b">
        <v>0</v>
      </c>
      <c r="H500" s="5">
        <v>6</v>
      </c>
      <c r="I500" s="5">
        <v>1</v>
      </c>
      <c r="J500" s="5">
        <v>0.06</v>
      </c>
    </row>
    <row r="501" spans="1:10">
      <c r="A501" s="5">
        <v>500</v>
      </c>
      <c r="B501" s="6">
        <v>40565</v>
      </c>
      <c r="C501" s="5">
        <v>1</v>
      </c>
      <c r="D501" s="5">
        <v>0</v>
      </c>
      <c r="E501" s="5">
        <v>1</v>
      </c>
      <c r="F501" s="5">
        <v>21</v>
      </c>
      <c r="G501" s="5" t="b">
        <v>0</v>
      </c>
      <c r="H501" s="5">
        <v>6</v>
      </c>
      <c r="I501" s="5">
        <v>1</v>
      </c>
      <c r="J501" s="5">
        <v>0.06</v>
      </c>
    </row>
    <row r="502" spans="1:10">
      <c r="A502" s="5">
        <v>501</v>
      </c>
      <c r="B502" s="6">
        <v>40565</v>
      </c>
      <c r="C502" s="5">
        <v>1</v>
      </c>
      <c r="D502" s="5">
        <v>0</v>
      </c>
      <c r="E502" s="5">
        <v>1</v>
      </c>
      <c r="F502" s="5">
        <v>22</v>
      </c>
      <c r="G502" s="5" t="b">
        <v>0</v>
      </c>
      <c r="H502" s="5">
        <v>6</v>
      </c>
      <c r="I502" s="5">
        <v>1</v>
      </c>
      <c r="J502" s="5">
        <v>0.06</v>
      </c>
    </row>
    <row r="503" spans="1:10">
      <c r="A503" s="5">
        <v>502</v>
      </c>
      <c r="B503" s="6">
        <v>40565</v>
      </c>
      <c r="C503" s="5">
        <v>1</v>
      </c>
      <c r="D503" s="5">
        <v>0</v>
      </c>
      <c r="E503" s="5">
        <v>1</v>
      </c>
      <c r="F503" s="5">
        <v>23</v>
      </c>
      <c r="G503" s="5" t="b">
        <v>0</v>
      </c>
      <c r="H503" s="5">
        <v>6</v>
      </c>
      <c r="I503" s="5">
        <v>1</v>
      </c>
      <c r="J503" s="5">
        <v>0.04</v>
      </c>
    </row>
    <row r="504" spans="1:10">
      <c r="A504" s="5">
        <v>503</v>
      </c>
      <c r="B504" s="6">
        <v>40566</v>
      </c>
      <c r="C504" s="5">
        <v>1</v>
      </c>
      <c r="D504" s="5">
        <v>0</v>
      </c>
      <c r="E504" s="5">
        <v>1</v>
      </c>
      <c r="F504" s="5">
        <v>0</v>
      </c>
      <c r="G504" s="5" t="b">
        <v>0</v>
      </c>
      <c r="H504" s="5">
        <v>0</v>
      </c>
      <c r="I504" s="5">
        <v>1</v>
      </c>
      <c r="J504" s="5">
        <v>0.04</v>
      </c>
    </row>
    <row r="505" spans="1:10">
      <c r="A505" s="5">
        <v>504</v>
      </c>
      <c r="B505" s="6">
        <v>40566</v>
      </c>
      <c r="C505" s="5">
        <v>1</v>
      </c>
      <c r="D505" s="5">
        <v>0</v>
      </c>
      <c r="E505" s="5">
        <v>1</v>
      </c>
      <c r="F505" s="5">
        <v>1</v>
      </c>
      <c r="G505" s="5" t="b">
        <v>0</v>
      </c>
      <c r="H505" s="5">
        <v>0</v>
      </c>
      <c r="I505" s="5">
        <v>1</v>
      </c>
      <c r="J505" s="5">
        <v>0.04</v>
      </c>
    </row>
    <row r="506" spans="1:10">
      <c r="A506" s="5">
        <v>505</v>
      </c>
      <c r="B506" s="6">
        <v>40566</v>
      </c>
      <c r="C506" s="5">
        <v>1</v>
      </c>
      <c r="D506" s="5">
        <v>0</v>
      </c>
      <c r="E506" s="5">
        <v>1</v>
      </c>
      <c r="F506" s="5">
        <v>2</v>
      </c>
      <c r="G506" s="5" t="b">
        <v>0</v>
      </c>
      <c r="H506" s="5">
        <v>0</v>
      </c>
      <c r="I506" s="5">
        <v>1</v>
      </c>
      <c r="J506" s="5">
        <v>0.02</v>
      </c>
    </row>
    <row r="507" spans="1:10">
      <c r="A507" s="5">
        <v>506</v>
      </c>
      <c r="B507" s="6">
        <v>40566</v>
      </c>
      <c r="C507" s="5">
        <v>1</v>
      </c>
      <c r="D507" s="5">
        <v>0</v>
      </c>
      <c r="E507" s="5">
        <v>1</v>
      </c>
      <c r="F507" s="5">
        <v>3</v>
      </c>
      <c r="G507" s="5" t="b">
        <v>0</v>
      </c>
      <c r="H507" s="5">
        <v>0</v>
      </c>
      <c r="I507" s="5">
        <v>1</v>
      </c>
      <c r="J507" s="5">
        <v>0.02</v>
      </c>
    </row>
    <row r="508" spans="1:10">
      <c r="A508" s="5">
        <v>507</v>
      </c>
      <c r="B508" s="6">
        <v>40566</v>
      </c>
      <c r="C508" s="5">
        <v>1</v>
      </c>
      <c r="D508" s="5">
        <v>0</v>
      </c>
      <c r="E508" s="5">
        <v>1</v>
      </c>
      <c r="F508" s="5">
        <v>5</v>
      </c>
      <c r="G508" s="5" t="b">
        <v>0</v>
      </c>
      <c r="H508" s="5">
        <v>0</v>
      </c>
      <c r="I508" s="5">
        <v>2</v>
      </c>
      <c r="J508" s="5">
        <v>0.04</v>
      </c>
    </row>
    <row r="509" spans="1:10">
      <c r="A509" s="5">
        <v>508</v>
      </c>
      <c r="B509" s="6">
        <v>40566</v>
      </c>
      <c r="C509" s="5">
        <v>1</v>
      </c>
      <c r="D509" s="5">
        <v>0</v>
      </c>
      <c r="E509" s="5">
        <v>1</v>
      </c>
      <c r="F509" s="5">
        <v>6</v>
      </c>
      <c r="G509" s="5" t="b">
        <v>0</v>
      </c>
      <c r="H509" s="5">
        <v>0</v>
      </c>
      <c r="I509" s="5">
        <v>2</v>
      </c>
      <c r="J509" s="5">
        <v>0.04</v>
      </c>
    </row>
    <row r="510" spans="1:10">
      <c r="A510" s="5">
        <v>509</v>
      </c>
      <c r="B510" s="6">
        <v>40566</v>
      </c>
      <c r="C510" s="5">
        <v>1</v>
      </c>
      <c r="D510" s="5">
        <v>0</v>
      </c>
      <c r="E510" s="5">
        <v>1</v>
      </c>
      <c r="F510" s="5">
        <v>7</v>
      </c>
      <c r="G510" s="5" t="b">
        <v>0</v>
      </c>
      <c r="H510" s="5">
        <v>0</v>
      </c>
      <c r="I510" s="5">
        <v>1</v>
      </c>
      <c r="J510" s="5">
        <v>0.08</v>
      </c>
    </row>
    <row r="511" spans="1:10">
      <c r="A511" s="5">
        <v>510</v>
      </c>
      <c r="B511" s="6">
        <v>40566</v>
      </c>
      <c r="C511" s="5">
        <v>1</v>
      </c>
      <c r="D511" s="5">
        <v>0</v>
      </c>
      <c r="E511" s="5">
        <v>1</v>
      </c>
      <c r="F511" s="5">
        <v>8</v>
      </c>
      <c r="G511" s="5" t="b">
        <v>0</v>
      </c>
      <c r="H511" s="5">
        <v>0</v>
      </c>
      <c r="I511" s="5">
        <v>1</v>
      </c>
      <c r="J511" s="5">
        <v>0.06</v>
      </c>
    </row>
    <row r="512" spans="1:10">
      <c r="A512" s="5">
        <v>511</v>
      </c>
      <c r="B512" s="6">
        <v>40566</v>
      </c>
      <c r="C512" s="5">
        <v>1</v>
      </c>
      <c r="D512" s="5">
        <v>0</v>
      </c>
      <c r="E512" s="5">
        <v>1</v>
      </c>
      <c r="F512" s="5">
        <v>9</v>
      </c>
      <c r="G512" s="5" t="b">
        <v>0</v>
      </c>
      <c r="H512" s="5">
        <v>0</v>
      </c>
      <c r="I512" s="5">
        <v>1</v>
      </c>
      <c r="J512" s="5">
        <v>0.1</v>
      </c>
    </row>
    <row r="513" spans="1:10">
      <c r="A513" s="5">
        <v>512</v>
      </c>
      <c r="B513" s="6">
        <v>40566</v>
      </c>
      <c r="C513" s="5">
        <v>1</v>
      </c>
      <c r="D513" s="5">
        <v>0</v>
      </c>
      <c r="E513" s="5">
        <v>1</v>
      </c>
      <c r="F513" s="5">
        <v>10</v>
      </c>
      <c r="G513" s="5" t="b">
        <v>0</v>
      </c>
      <c r="H513" s="5">
        <v>0</v>
      </c>
      <c r="I513" s="5">
        <v>1</v>
      </c>
      <c r="J513" s="5">
        <v>0.14000000000000001</v>
      </c>
    </row>
    <row r="514" spans="1:10">
      <c r="A514" s="5">
        <v>513</v>
      </c>
      <c r="B514" s="6">
        <v>40566</v>
      </c>
      <c r="C514" s="5">
        <v>1</v>
      </c>
      <c r="D514" s="5">
        <v>0</v>
      </c>
      <c r="E514" s="5">
        <v>1</v>
      </c>
      <c r="F514" s="5">
        <v>11</v>
      </c>
      <c r="G514" s="5" t="b">
        <v>0</v>
      </c>
      <c r="H514" s="5">
        <v>0</v>
      </c>
      <c r="I514" s="5">
        <v>1</v>
      </c>
      <c r="J514" s="5">
        <v>0.14000000000000001</v>
      </c>
    </row>
    <row r="515" spans="1:10">
      <c r="A515" s="5">
        <v>514</v>
      </c>
      <c r="B515" s="6">
        <v>40566</v>
      </c>
      <c r="C515" s="5">
        <v>1</v>
      </c>
      <c r="D515" s="5">
        <v>0</v>
      </c>
      <c r="E515" s="5">
        <v>1</v>
      </c>
      <c r="F515" s="5">
        <v>12</v>
      </c>
      <c r="G515" s="5" t="b">
        <v>0</v>
      </c>
      <c r="H515" s="5">
        <v>0</v>
      </c>
      <c r="I515" s="5">
        <v>1</v>
      </c>
      <c r="J515" s="5">
        <v>0.16</v>
      </c>
    </row>
    <row r="516" spans="1:10">
      <c r="A516" s="5">
        <v>515</v>
      </c>
      <c r="B516" s="6">
        <v>40566</v>
      </c>
      <c r="C516" s="5">
        <v>1</v>
      </c>
      <c r="D516" s="5">
        <v>0</v>
      </c>
      <c r="E516" s="5">
        <v>1</v>
      </c>
      <c r="F516" s="5">
        <v>13</v>
      </c>
      <c r="G516" s="5" t="b">
        <v>0</v>
      </c>
      <c r="H516" s="5">
        <v>0</v>
      </c>
      <c r="I516" s="5">
        <v>1</v>
      </c>
      <c r="J516" s="5">
        <v>0.14000000000000001</v>
      </c>
    </row>
    <row r="517" spans="1:10">
      <c r="A517" s="5">
        <v>516</v>
      </c>
      <c r="B517" s="6">
        <v>40566</v>
      </c>
      <c r="C517" s="5">
        <v>1</v>
      </c>
      <c r="D517" s="5">
        <v>0</v>
      </c>
      <c r="E517" s="5">
        <v>1</v>
      </c>
      <c r="F517" s="5">
        <v>14</v>
      </c>
      <c r="G517" s="5" t="b">
        <v>0</v>
      </c>
      <c r="H517" s="5">
        <v>0</v>
      </c>
      <c r="I517" s="5">
        <v>1</v>
      </c>
      <c r="J517" s="5">
        <v>0.16</v>
      </c>
    </row>
    <row r="518" spans="1:10">
      <c r="A518" s="5">
        <v>517</v>
      </c>
      <c r="B518" s="6">
        <v>40566</v>
      </c>
      <c r="C518" s="5">
        <v>1</v>
      </c>
      <c r="D518" s="5">
        <v>0</v>
      </c>
      <c r="E518" s="5">
        <v>1</v>
      </c>
      <c r="F518" s="5">
        <v>15</v>
      </c>
      <c r="G518" s="5" t="b">
        <v>0</v>
      </c>
      <c r="H518" s="5">
        <v>0</v>
      </c>
      <c r="I518" s="5">
        <v>1</v>
      </c>
      <c r="J518" s="5">
        <v>0.16</v>
      </c>
    </row>
    <row r="519" spans="1:10">
      <c r="A519" s="5">
        <v>518</v>
      </c>
      <c r="B519" s="6">
        <v>40566</v>
      </c>
      <c r="C519" s="5">
        <v>1</v>
      </c>
      <c r="D519" s="5">
        <v>0</v>
      </c>
      <c r="E519" s="5">
        <v>1</v>
      </c>
      <c r="F519" s="5">
        <v>16</v>
      </c>
      <c r="G519" s="5" t="b">
        <v>0</v>
      </c>
      <c r="H519" s="5">
        <v>0</v>
      </c>
      <c r="I519" s="5">
        <v>1</v>
      </c>
      <c r="J519" s="5">
        <v>0.16</v>
      </c>
    </row>
    <row r="520" spans="1:10">
      <c r="A520" s="5">
        <v>519</v>
      </c>
      <c r="B520" s="6">
        <v>40566</v>
      </c>
      <c r="C520" s="5">
        <v>1</v>
      </c>
      <c r="D520" s="5">
        <v>0</v>
      </c>
      <c r="E520" s="5">
        <v>1</v>
      </c>
      <c r="F520" s="5">
        <v>17</v>
      </c>
      <c r="G520" s="5" t="b">
        <v>0</v>
      </c>
      <c r="H520" s="5">
        <v>0</v>
      </c>
      <c r="I520" s="5">
        <v>1</v>
      </c>
      <c r="J520" s="5">
        <v>0.14000000000000001</v>
      </c>
    </row>
    <row r="521" spans="1:10">
      <c r="A521" s="5">
        <v>520</v>
      </c>
      <c r="B521" s="6">
        <v>40566</v>
      </c>
      <c r="C521" s="5">
        <v>1</v>
      </c>
      <c r="D521" s="5">
        <v>0</v>
      </c>
      <c r="E521" s="5">
        <v>1</v>
      </c>
      <c r="F521" s="5">
        <v>18</v>
      </c>
      <c r="G521" s="5" t="b">
        <v>0</v>
      </c>
      <c r="H521" s="5">
        <v>0</v>
      </c>
      <c r="I521" s="5">
        <v>1</v>
      </c>
      <c r="J521" s="5">
        <v>0.12</v>
      </c>
    </row>
    <row r="522" spans="1:10">
      <c r="A522" s="5">
        <v>521</v>
      </c>
      <c r="B522" s="6">
        <v>40566</v>
      </c>
      <c r="C522" s="5">
        <v>1</v>
      </c>
      <c r="D522" s="5">
        <v>0</v>
      </c>
      <c r="E522" s="5">
        <v>1</v>
      </c>
      <c r="F522" s="5">
        <v>19</v>
      </c>
      <c r="G522" s="5" t="b">
        <v>0</v>
      </c>
      <c r="H522" s="5">
        <v>0</v>
      </c>
      <c r="I522" s="5">
        <v>1</v>
      </c>
      <c r="J522" s="5">
        <v>0.12</v>
      </c>
    </row>
    <row r="523" spans="1:10">
      <c r="A523" s="5">
        <v>522</v>
      </c>
      <c r="B523" s="6">
        <v>40566</v>
      </c>
      <c r="C523" s="5">
        <v>1</v>
      </c>
      <c r="D523" s="5">
        <v>0</v>
      </c>
      <c r="E523" s="5">
        <v>1</v>
      </c>
      <c r="F523" s="5">
        <v>20</v>
      </c>
      <c r="G523" s="5" t="b">
        <v>0</v>
      </c>
      <c r="H523" s="5">
        <v>0</v>
      </c>
      <c r="I523" s="5">
        <v>1</v>
      </c>
      <c r="J523" s="5">
        <v>0.1</v>
      </c>
    </row>
    <row r="524" spans="1:10">
      <c r="A524" s="5">
        <v>523</v>
      </c>
      <c r="B524" s="6">
        <v>40566</v>
      </c>
      <c r="C524" s="5">
        <v>1</v>
      </c>
      <c r="D524" s="5">
        <v>0</v>
      </c>
      <c r="E524" s="5">
        <v>1</v>
      </c>
      <c r="F524" s="5">
        <v>21</v>
      </c>
      <c r="G524" s="5" t="b">
        <v>0</v>
      </c>
      <c r="H524" s="5">
        <v>0</v>
      </c>
      <c r="I524" s="5">
        <v>1</v>
      </c>
      <c r="J524" s="5">
        <v>0.1</v>
      </c>
    </row>
    <row r="525" spans="1:10">
      <c r="A525" s="5">
        <v>524</v>
      </c>
      <c r="B525" s="6">
        <v>40566</v>
      </c>
      <c r="C525" s="5">
        <v>1</v>
      </c>
      <c r="D525" s="5">
        <v>0</v>
      </c>
      <c r="E525" s="5">
        <v>1</v>
      </c>
      <c r="F525" s="5">
        <v>22</v>
      </c>
      <c r="G525" s="5" t="b">
        <v>0</v>
      </c>
      <c r="H525" s="5">
        <v>0</v>
      </c>
      <c r="I525" s="5">
        <v>1</v>
      </c>
      <c r="J525" s="5">
        <v>0.08</v>
      </c>
    </row>
    <row r="526" spans="1:10">
      <c r="A526" s="5">
        <v>525</v>
      </c>
      <c r="B526" s="6">
        <v>40566</v>
      </c>
      <c r="C526" s="5">
        <v>1</v>
      </c>
      <c r="D526" s="5">
        <v>0</v>
      </c>
      <c r="E526" s="5">
        <v>1</v>
      </c>
      <c r="F526" s="5">
        <v>23</v>
      </c>
      <c r="G526" s="5" t="b">
        <v>0</v>
      </c>
      <c r="H526" s="5">
        <v>0</v>
      </c>
      <c r="I526" s="5">
        <v>1</v>
      </c>
      <c r="J526" s="5">
        <v>0.06</v>
      </c>
    </row>
    <row r="527" spans="1:10">
      <c r="A527" s="5">
        <v>526</v>
      </c>
      <c r="B527" s="6">
        <v>40567</v>
      </c>
      <c r="C527" s="5">
        <v>1</v>
      </c>
      <c r="D527" s="5">
        <v>0</v>
      </c>
      <c r="E527" s="5">
        <v>1</v>
      </c>
      <c r="F527" s="5">
        <v>0</v>
      </c>
      <c r="G527" s="5" t="b">
        <v>0</v>
      </c>
      <c r="H527" s="5">
        <v>1</v>
      </c>
      <c r="I527" s="5">
        <v>1</v>
      </c>
      <c r="J527" s="5">
        <v>0.06</v>
      </c>
    </row>
    <row r="528" spans="1:10">
      <c r="A528" s="5">
        <v>527</v>
      </c>
      <c r="B528" s="6">
        <v>40567</v>
      </c>
      <c r="C528" s="5">
        <v>1</v>
      </c>
      <c r="D528" s="5">
        <v>0</v>
      </c>
      <c r="E528" s="5">
        <v>1</v>
      </c>
      <c r="F528" s="5">
        <v>1</v>
      </c>
      <c r="G528" s="5" t="b">
        <v>0</v>
      </c>
      <c r="H528" s="5">
        <v>1</v>
      </c>
      <c r="I528" s="5">
        <v>1</v>
      </c>
      <c r="J528" s="5">
        <v>0.04</v>
      </c>
    </row>
    <row r="529" spans="1:10">
      <c r="A529" s="5">
        <v>528</v>
      </c>
      <c r="B529" s="6">
        <v>40567</v>
      </c>
      <c r="C529" s="5">
        <v>1</v>
      </c>
      <c r="D529" s="5">
        <v>0</v>
      </c>
      <c r="E529" s="5">
        <v>1</v>
      </c>
      <c r="F529" s="5">
        <v>3</v>
      </c>
      <c r="G529" s="5" t="b">
        <v>0</v>
      </c>
      <c r="H529" s="5">
        <v>1</v>
      </c>
      <c r="I529" s="5">
        <v>1</v>
      </c>
      <c r="J529" s="5">
        <v>0.04</v>
      </c>
    </row>
    <row r="530" spans="1:10">
      <c r="A530" s="5">
        <v>529</v>
      </c>
      <c r="B530" s="6">
        <v>40567</v>
      </c>
      <c r="C530" s="5">
        <v>1</v>
      </c>
      <c r="D530" s="5">
        <v>0</v>
      </c>
      <c r="E530" s="5">
        <v>1</v>
      </c>
      <c r="F530" s="5">
        <v>4</v>
      </c>
      <c r="G530" s="5" t="b">
        <v>0</v>
      </c>
      <c r="H530" s="5">
        <v>1</v>
      </c>
      <c r="I530" s="5">
        <v>1</v>
      </c>
      <c r="J530" s="5">
        <v>0.02</v>
      </c>
    </row>
    <row r="531" spans="1:10">
      <c r="A531" s="5">
        <v>530</v>
      </c>
      <c r="B531" s="6">
        <v>40567</v>
      </c>
      <c r="C531" s="5">
        <v>1</v>
      </c>
      <c r="D531" s="5">
        <v>0</v>
      </c>
      <c r="E531" s="5">
        <v>1</v>
      </c>
      <c r="F531" s="5">
        <v>5</v>
      </c>
      <c r="G531" s="5" t="b">
        <v>0</v>
      </c>
      <c r="H531" s="5">
        <v>1</v>
      </c>
      <c r="I531" s="5">
        <v>1</v>
      </c>
      <c r="J531" s="5">
        <v>0.02</v>
      </c>
    </row>
    <row r="532" spans="1:10">
      <c r="A532" s="5">
        <v>531</v>
      </c>
      <c r="B532" s="6">
        <v>40567</v>
      </c>
      <c r="C532" s="5">
        <v>1</v>
      </c>
      <c r="D532" s="5">
        <v>0</v>
      </c>
      <c r="E532" s="5">
        <v>1</v>
      </c>
      <c r="F532" s="5">
        <v>6</v>
      </c>
      <c r="G532" s="5" t="b">
        <v>0</v>
      </c>
      <c r="H532" s="5">
        <v>1</v>
      </c>
      <c r="I532" s="5">
        <v>1</v>
      </c>
      <c r="J532" s="5">
        <v>0.02</v>
      </c>
    </row>
    <row r="533" spans="1:10">
      <c r="A533" s="5">
        <v>532</v>
      </c>
      <c r="B533" s="6">
        <v>40567</v>
      </c>
      <c r="C533" s="5">
        <v>1</v>
      </c>
      <c r="D533" s="5">
        <v>0</v>
      </c>
      <c r="E533" s="5">
        <v>1</v>
      </c>
      <c r="F533" s="5">
        <v>7</v>
      </c>
      <c r="G533" s="5" t="b">
        <v>0</v>
      </c>
      <c r="H533" s="5">
        <v>1</v>
      </c>
      <c r="I533" s="5">
        <v>1</v>
      </c>
      <c r="J533" s="5">
        <v>0.02</v>
      </c>
    </row>
    <row r="534" spans="1:10">
      <c r="A534" s="5">
        <v>533</v>
      </c>
      <c r="B534" s="6">
        <v>40567</v>
      </c>
      <c r="C534" s="5">
        <v>1</v>
      </c>
      <c r="D534" s="5">
        <v>0</v>
      </c>
      <c r="E534" s="5">
        <v>1</v>
      </c>
      <c r="F534" s="5">
        <v>8</v>
      </c>
      <c r="G534" s="5" t="b">
        <v>0</v>
      </c>
      <c r="H534" s="5">
        <v>1</v>
      </c>
      <c r="I534" s="5">
        <v>1</v>
      </c>
      <c r="J534" s="5">
        <v>0.04</v>
      </c>
    </row>
    <row r="535" spans="1:10">
      <c r="A535" s="5">
        <v>534</v>
      </c>
      <c r="B535" s="6">
        <v>40567</v>
      </c>
      <c r="C535" s="5">
        <v>1</v>
      </c>
      <c r="D535" s="5">
        <v>0</v>
      </c>
      <c r="E535" s="5">
        <v>1</v>
      </c>
      <c r="F535" s="5">
        <v>9</v>
      </c>
      <c r="G535" s="5" t="b">
        <v>0</v>
      </c>
      <c r="H535" s="5">
        <v>1</v>
      </c>
      <c r="I535" s="5">
        <v>1</v>
      </c>
      <c r="J535" s="5">
        <v>0.06</v>
      </c>
    </row>
    <row r="536" spans="1:10">
      <c r="A536" s="5">
        <v>535</v>
      </c>
      <c r="B536" s="6">
        <v>40567</v>
      </c>
      <c r="C536" s="5">
        <v>1</v>
      </c>
      <c r="D536" s="5">
        <v>0</v>
      </c>
      <c r="E536" s="5">
        <v>1</v>
      </c>
      <c r="F536" s="5">
        <v>10</v>
      </c>
      <c r="G536" s="5" t="b">
        <v>0</v>
      </c>
      <c r="H536" s="5">
        <v>1</v>
      </c>
      <c r="I536" s="5">
        <v>1</v>
      </c>
      <c r="J536" s="5">
        <v>0.1</v>
      </c>
    </row>
    <row r="537" spans="1:10">
      <c r="A537" s="5">
        <v>536</v>
      </c>
      <c r="B537" s="6">
        <v>40567</v>
      </c>
      <c r="C537" s="5">
        <v>1</v>
      </c>
      <c r="D537" s="5">
        <v>0</v>
      </c>
      <c r="E537" s="5">
        <v>1</v>
      </c>
      <c r="F537" s="5">
        <v>11</v>
      </c>
      <c r="G537" s="5" t="b">
        <v>0</v>
      </c>
      <c r="H537" s="5">
        <v>1</v>
      </c>
      <c r="I537" s="5">
        <v>1</v>
      </c>
      <c r="J537" s="5">
        <v>0.1</v>
      </c>
    </row>
    <row r="538" spans="1:10">
      <c r="A538" s="5">
        <v>537</v>
      </c>
      <c r="B538" s="6">
        <v>40567</v>
      </c>
      <c r="C538" s="5">
        <v>1</v>
      </c>
      <c r="D538" s="5">
        <v>0</v>
      </c>
      <c r="E538" s="5">
        <v>1</v>
      </c>
      <c r="F538" s="5">
        <v>12</v>
      </c>
      <c r="G538" s="5" t="b">
        <v>0</v>
      </c>
      <c r="H538" s="5">
        <v>1</v>
      </c>
      <c r="I538" s="5">
        <v>2</v>
      </c>
      <c r="J538" s="5">
        <v>0.12</v>
      </c>
    </row>
    <row r="539" spans="1:10">
      <c r="A539" s="5">
        <v>538</v>
      </c>
      <c r="B539" s="6">
        <v>40567</v>
      </c>
      <c r="C539" s="5">
        <v>1</v>
      </c>
      <c r="D539" s="5">
        <v>0</v>
      </c>
      <c r="E539" s="5">
        <v>1</v>
      </c>
      <c r="F539" s="5">
        <v>13</v>
      </c>
      <c r="G539" s="5" t="b">
        <v>0</v>
      </c>
      <c r="H539" s="5">
        <v>1</v>
      </c>
      <c r="I539" s="5">
        <v>2</v>
      </c>
      <c r="J539" s="5">
        <v>0.14000000000000001</v>
      </c>
    </row>
    <row r="540" spans="1:10">
      <c r="A540" s="5">
        <v>539</v>
      </c>
      <c r="B540" s="6">
        <v>40567</v>
      </c>
      <c r="C540" s="5">
        <v>1</v>
      </c>
      <c r="D540" s="5">
        <v>0</v>
      </c>
      <c r="E540" s="5">
        <v>1</v>
      </c>
      <c r="F540" s="5">
        <v>14</v>
      </c>
      <c r="G540" s="5" t="b">
        <v>0</v>
      </c>
      <c r="H540" s="5">
        <v>1</v>
      </c>
      <c r="I540" s="5">
        <v>2</v>
      </c>
      <c r="J540" s="5">
        <v>0.14000000000000001</v>
      </c>
    </row>
    <row r="541" spans="1:10">
      <c r="A541" s="5">
        <v>540</v>
      </c>
      <c r="B541" s="6">
        <v>40567</v>
      </c>
      <c r="C541" s="5">
        <v>1</v>
      </c>
      <c r="D541" s="5">
        <v>0</v>
      </c>
      <c r="E541" s="5">
        <v>1</v>
      </c>
      <c r="F541" s="5">
        <v>15</v>
      </c>
      <c r="G541" s="5" t="b">
        <v>0</v>
      </c>
      <c r="H541" s="5">
        <v>1</v>
      </c>
      <c r="I541" s="5">
        <v>1</v>
      </c>
      <c r="J541" s="5">
        <v>0.16</v>
      </c>
    </row>
    <row r="542" spans="1:10">
      <c r="A542" s="5">
        <v>541</v>
      </c>
      <c r="B542" s="6">
        <v>40567</v>
      </c>
      <c r="C542" s="5">
        <v>1</v>
      </c>
      <c r="D542" s="5">
        <v>0</v>
      </c>
      <c r="E542" s="5">
        <v>1</v>
      </c>
      <c r="F542" s="5">
        <v>16</v>
      </c>
      <c r="G542" s="5" t="b">
        <v>0</v>
      </c>
      <c r="H542" s="5">
        <v>1</v>
      </c>
      <c r="I542" s="5">
        <v>1</v>
      </c>
      <c r="J542" s="5">
        <v>0.16</v>
      </c>
    </row>
    <row r="543" spans="1:10">
      <c r="A543" s="5">
        <v>542</v>
      </c>
      <c r="B543" s="6">
        <v>40567</v>
      </c>
      <c r="C543" s="5">
        <v>1</v>
      </c>
      <c r="D543" s="5">
        <v>0</v>
      </c>
      <c r="E543" s="5">
        <v>1</v>
      </c>
      <c r="F543" s="5">
        <v>17</v>
      </c>
      <c r="G543" s="5" t="b">
        <v>0</v>
      </c>
      <c r="H543" s="5">
        <v>1</v>
      </c>
      <c r="I543" s="5">
        <v>1</v>
      </c>
      <c r="J543" s="5">
        <v>0.14000000000000001</v>
      </c>
    </row>
    <row r="544" spans="1:10">
      <c r="A544" s="5">
        <v>543</v>
      </c>
      <c r="B544" s="6">
        <v>40567</v>
      </c>
      <c r="C544" s="5">
        <v>1</v>
      </c>
      <c r="D544" s="5">
        <v>0</v>
      </c>
      <c r="E544" s="5">
        <v>1</v>
      </c>
      <c r="F544" s="5">
        <v>18</v>
      </c>
      <c r="G544" s="5" t="b">
        <v>0</v>
      </c>
      <c r="H544" s="5">
        <v>1</v>
      </c>
      <c r="I544" s="5">
        <v>1</v>
      </c>
      <c r="J544" s="5">
        <v>0.14000000000000001</v>
      </c>
    </row>
    <row r="545" spans="1:10">
      <c r="A545" s="5">
        <v>544</v>
      </c>
      <c r="B545" s="6">
        <v>40567</v>
      </c>
      <c r="C545" s="5">
        <v>1</v>
      </c>
      <c r="D545" s="5">
        <v>0</v>
      </c>
      <c r="E545" s="5">
        <v>1</v>
      </c>
      <c r="F545" s="5">
        <v>19</v>
      </c>
      <c r="G545" s="5" t="b">
        <v>0</v>
      </c>
      <c r="H545" s="5">
        <v>1</v>
      </c>
      <c r="I545" s="5">
        <v>1</v>
      </c>
      <c r="J545" s="5">
        <v>0.14000000000000001</v>
      </c>
    </row>
    <row r="546" spans="1:10">
      <c r="A546" s="5">
        <v>545</v>
      </c>
      <c r="B546" s="6">
        <v>40567</v>
      </c>
      <c r="C546" s="5">
        <v>1</v>
      </c>
      <c r="D546" s="5">
        <v>0</v>
      </c>
      <c r="E546" s="5">
        <v>1</v>
      </c>
      <c r="F546" s="5">
        <v>20</v>
      </c>
      <c r="G546" s="5" t="b">
        <v>0</v>
      </c>
      <c r="H546" s="5">
        <v>1</v>
      </c>
      <c r="I546" s="5">
        <v>1</v>
      </c>
      <c r="J546" s="5">
        <v>0.14000000000000001</v>
      </c>
    </row>
    <row r="547" spans="1:10">
      <c r="A547" s="5">
        <v>546</v>
      </c>
      <c r="B547" s="6">
        <v>40567</v>
      </c>
      <c r="C547" s="5">
        <v>1</v>
      </c>
      <c r="D547" s="5">
        <v>0</v>
      </c>
      <c r="E547" s="5">
        <v>1</v>
      </c>
      <c r="F547" s="5">
        <v>21</v>
      </c>
      <c r="G547" s="5" t="b">
        <v>0</v>
      </c>
      <c r="H547" s="5">
        <v>1</v>
      </c>
      <c r="I547" s="5">
        <v>1</v>
      </c>
      <c r="J547" s="5">
        <v>0.14000000000000001</v>
      </c>
    </row>
    <row r="548" spans="1:10">
      <c r="A548" s="5">
        <v>547</v>
      </c>
      <c r="B548" s="6">
        <v>40567</v>
      </c>
      <c r="C548" s="5">
        <v>1</v>
      </c>
      <c r="D548" s="5">
        <v>0</v>
      </c>
      <c r="E548" s="5">
        <v>1</v>
      </c>
      <c r="F548" s="5">
        <v>22</v>
      </c>
      <c r="G548" s="5" t="b">
        <v>0</v>
      </c>
      <c r="H548" s="5">
        <v>1</v>
      </c>
      <c r="I548" s="5">
        <v>2</v>
      </c>
      <c r="J548" s="5">
        <v>0.14000000000000001</v>
      </c>
    </row>
    <row r="549" spans="1:10">
      <c r="A549" s="5">
        <v>548</v>
      </c>
      <c r="B549" s="6">
        <v>40567</v>
      </c>
      <c r="C549" s="5">
        <v>1</v>
      </c>
      <c r="D549" s="5">
        <v>0</v>
      </c>
      <c r="E549" s="5">
        <v>1</v>
      </c>
      <c r="F549" s="5">
        <v>23</v>
      </c>
      <c r="G549" s="5" t="b">
        <v>0</v>
      </c>
      <c r="H549" s="5">
        <v>1</v>
      </c>
      <c r="I549" s="5">
        <v>2</v>
      </c>
      <c r="J549" s="5">
        <v>0.16</v>
      </c>
    </row>
    <row r="550" spans="1:10">
      <c r="A550" s="5">
        <v>549</v>
      </c>
      <c r="B550" s="6">
        <v>40568</v>
      </c>
      <c r="C550" s="5">
        <v>1</v>
      </c>
      <c r="D550" s="5">
        <v>0</v>
      </c>
      <c r="E550" s="5">
        <v>1</v>
      </c>
      <c r="F550" s="5">
        <v>0</v>
      </c>
      <c r="G550" s="5" t="b">
        <v>0</v>
      </c>
      <c r="H550" s="5">
        <v>2</v>
      </c>
      <c r="I550" s="5">
        <v>2</v>
      </c>
      <c r="J550" s="5">
        <v>0.16</v>
      </c>
    </row>
    <row r="551" spans="1:10">
      <c r="A551" s="5">
        <v>550</v>
      </c>
      <c r="B551" s="6">
        <v>40568</v>
      </c>
      <c r="C551" s="5">
        <v>1</v>
      </c>
      <c r="D551" s="5">
        <v>0</v>
      </c>
      <c r="E551" s="5">
        <v>1</v>
      </c>
      <c r="F551" s="5">
        <v>1</v>
      </c>
      <c r="G551" s="5" t="b">
        <v>0</v>
      </c>
      <c r="H551" s="5">
        <v>2</v>
      </c>
      <c r="I551" s="5">
        <v>2</v>
      </c>
      <c r="J551" s="5">
        <v>0.16</v>
      </c>
    </row>
    <row r="552" spans="1:10">
      <c r="A552" s="5">
        <v>551</v>
      </c>
      <c r="B552" s="6">
        <v>40568</v>
      </c>
      <c r="C552" s="5">
        <v>1</v>
      </c>
      <c r="D552" s="5">
        <v>0</v>
      </c>
      <c r="E552" s="5">
        <v>1</v>
      </c>
      <c r="F552" s="5">
        <v>2</v>
      </c>
      <c r="G552" s="5" t="b">
        <v>0</v>
      </c>
      <c r="H552" s="5">
        <v>2</v>
      </c>
      <c r="I552" s="5">
        <v>1</v>
      </c>
      <c r="J552" s="5">
        <v>0.16</v>
      </c>
    </row>
    <row r="553" spans="1:10">
      <c r="A553" s="5">
        <v>552</v>
      </c>
      <c r="B553" s="6">
        <v>40568</v>
      </c>
      <c r="C553" s="5">
        <v>1</v>
      </c>
      <c r="D553" s="5">
        <v>0</v>
      </c>
      <c r="E553" s="5">
        <v>1</v>
      </c>
      <c r="F553" s="5">
        <v>4</v>
      </c>
      <c r="G553" s="5" t="b">
        <v>0</v>
      </c>
      <c r="H553" s="5">
        <v>2</v>
      </c>
      <c r="I553" s="5">
        <v>1</v>
      </c>
      <c r="J553" s="5">
        <v>0.14000000000000001</v>
      </c>
    </row>
    <row r="554" spans="1:10">
      <c r="A554" s="5">
        <v>553</v>
      </c>
      <c r="B554" s="6">
        <v>40568</v>
      </c>
      <c r="C554" s="5">
        <v>1</v>
      </c>
      <c r="D554" s="5">
        <v>0</v>
      </c>
      <c r="E554" s="5">
        <v>1</v>
      </c>
      <c r="F554" s="5">
        <v>5</v>
      </c>
      <c r="G554" s="5" t="b">
        <v>0</v>
      </c>
      <c r="H554" s="5">
        <v>2</v>
      </c>
      <c r="I554" s="5">
        <v>1</v>
      </c>
      <c r="J554" s="5">
        <v>0.14000000000000001</v>
      </c>
    </row>
    <row r="555" spans="1:10">
      <c r="A555" s="5">
        <v>554</v>
      </c>
      <c r="B555" s="6">
        <v>40568</v>
      </c>
      <c r="C555" s="5">
        <v>1</v>
      </c>
      <c r="D555" s="5">
        <v>0</v>
      </c>
      <c r="E555" s="5">
        <v>1</v>
      </c>
      <c r="F555" s="5">
        <v>6</v>
      </c>
      <c r="G555" s="5" t="b">
        <v>0</v>
      </c>
      <c r="H555" s="5">
        <v>2</v>
      </c>
      <c r="I555" s="5">
        <v>1</v>
      </c>
      <c r="J555" s="5">
        <v>0.16</v>
      </c>
    </row>
    <row r="556" spans="1:10">
      <c r="A556" s="5">
        <v>555</v>
      </c>
      <c r="B556" s="6">
        <v>40568</v>
      </c>
      <c r="C556" s="5">
        <v>1</v>
      </c>
      <c r="D556" s="5">
        <v>0</v>
      </c>
      <c r="E556" s="5">
        <v>1</v>
      </c>
      <c r="F556" s="5">
        <v>7</v>
      </c>
      <c r="G556" s="5" t="b">
        <v>0</v>
      </c>
      <c r="H556" s="5">
        <v>2</v>
      </c>
      <c r="I556" s="5">
        <v>1</v>
      </c>
      <c r="J556" s="5">
        <v>0.16</v>
      </c>
    </row>
    <row r="557" spans="1:10">
      <c r="A557" s="5">
        <v>556</v>
      </c>
      <c r="B557" s="6">
        <v>40568</v>
      </c>
      <c r="C557" s="5">
        <v>1</v>
      </c>
      <c r="D557" s="5">
        <v>0</v>
      </c>
      <c r="E557" s="5">
        <v>1</v>
      </c>
      <c r="F557" s="5">
        <v>8</v>
      </c>
      <c r="G557" s="5" t="b">
        <v>0</v>
      </c>
      <c r="H557" s="5">
        <v>2</v>
      </c>
      <c r="I557" s="5">
        <v>2</v>
      </c>
      <c r="J557" s="5">
        <v>0.16</v>
      </c>
    </row>
    <row r="558" spans="1:10">
      <c r="A558" s="5">
        <v>557</v>
      </c>
      <c r="B558" s="6">
        <v>40568</v>
      </c>
      <c r="C558" s="5">
        <v>1</v>
      </c>
      <c r="D558" s="5">
        <v>0</v>
      </c>
      <c r="E558" s="5">
        <v>1</v>
      </c>
      <c r="F558" s="5">
        <v>9</v>
      </c>
      <c r="G558" s="5" t="b">
        <v>0</v>
      </c>
      <c r="H558" s="5">
        <v>2</v>
      </c>
      <c r="I558" s="5">
        <v>2</v>
      </c>
      <c r="J558" s="5">
        <v>0.2</v>
      </c>
    </row>
    <row r="559" spans="1:10">
      <c r="A559" s="5">
        <v>558</v>
      </c>
      <c r="B559" s="6">
        <v>40568</v>
      </c>
      <c r="C559" s="5">
        <v>1</v>
      </c>
      <c r="D559" s="5">
        <v>0</v>
      </c>
      <c r="E559" s="5">
        <v>1</v>
      </c>
      <c r="F559" s="5">
        <v>10</v>
      </c>
      <c r="G559" s="5" t="b">
        <v>0</v>
      </c>
      <c r="H559" s="5">
        <v>2</v>
      </c>
      <c r="I559" s="5">
        <v>2</v>
      </c>
      <c r="J559" s="5">
        <v>0.22</v>
      </c>
    </row>
    <row r="560" spans="1:10">
      <c r="A560" s="5">
        <v>559</v>
      </c>
      <c r="B560" s="6">
        <v>40568</v>
      </c>
      <c r="C560" s="5">
        <v>1</v>
      </c>
      <c r="D560" s="5">
        <v>0</v>
      </c>
      <c r="E560" s="5">
        <v>1</v>
      </c>
      <c r="F560" s="5">
        <v>11</v>
      </c>
      <c r="G560" s="5" t="b">
        <v>0</v>
      </c>
      <c r="H560" s="5">
        <v>2</v>
      </c>
      <c r="I560" s="5">
        <v>2</v>
      </c>
      <c r="J560" s="5">
        <v>0.24</v>
      </c>
    </row>
    <row r="561" spans="1:10">
      <c r="A561" s="5">
        <v>560</v>
      </c>
      <c r="B561" s="6">
        <v>40568</v>
      </c>
      <c r="C561" s="5">
        <v>1</v>
      </c>
      <c r="D561" s="5">
        <v>0</v>
      </c>
      <c r="E561" s="5">
        <v>1</v>
      </c>
      <c r="F561" s="5">
        <v>12</v>
      </c>
      <c r="G561" s="5" t="b">
        <v>0</v>
      </c>
      <c r="H561" s="5">
        <v>2</v>
      </c>
      <c r="I561" s="5">
        <v>2</v>
      </c>
      <c r="J561" s="5">
        <v>0.26</v>
      </c>
    </row>
    <row r="562" spans="1:10">
      <c r="A562" s="5">
        <v>561</v>
      </c>
      <c r="B562" s="6">
        <v>40568</v>
      </c>
      <c r="C562" s="5">
        <v>1</v>
      </c>
      <c r="D562" s="5">
        <v>0</v>
      </c>
      <c r="E562" s="5">
        <v>1</v>
      </c>
      <c r="F562" s="5">
        <v>13</v>
      </c>
      <c r="G562" s="5" t="b">
        <v>0</v>
      </c>
      <c r="H562" s="5">
        <v>2</v>
      </c>
      <c r="I562" s="5">
        <v>2</v>
      </c>
      <c r="J562" s="5">
        <v>0.26</v>
      </c>
    </row>
    <row r="563" spans="1:10">
      <c r="A563" s="5">
        <v>562</v>
      </c>
      <c r="B563" s="6">
        <v>40568</v>
      </c>
      <c r="C563" s="5">
        <v>1</v>
      </c>
      <c r="D563" s="5">
        <v>0</v>
      </c>
      <c r="E563" s="5">
        <v>1</v>
      </c>
      <c r="F563" s="5">
        <v>14</v>
      </c>
      <c r="G563" s="5" t="b">
        <v>0</v>
      </c>
      <c r="H563" s="5">
        <v>2</v>
      </c>
      <c r="I563" s="5">
        <v>2</v>
      </c>
      <c r="J563" s="5">
        <v>0.3</v>
      </c>
    </row>
    <row r="564" spans="1:10">
      <c r="A564" s="5">
        <v>563</v>
      </c>
      <c r="B564" s="6">
        <v>40568</v>
      </c>
      <c r="C564" s="5">
        <v>1</v>
      </c>
      <c r="D564" s="5">
        <v>0</v>
      </c>
      <c r="E564" s="5">
        <v>1</v>
      </c>
      <c r="F564" s="5">
        <v>15</v>
      </c>
      <c r="G564" s="5" t="b">
        <v>0</v>
      </c>
      <c r="H564" s="5">
        <v>2</v>
      </c>
      <c r="I564" s="5">
        <v>2</v>
      </c>
      <c r="J564" s="5">
        <v>0.32</v>
      </c>
    </row>
    <row r="565" spans="1:10">
      <c r="A565" s="5">
        <v>564</v>
      </c>
      <c r="B565" s="6">
        <v>40568</v>
      </c>
      <c r="C565" s="5">
        <v>1</v>
      </c>
      <c r="D565" s="5">
        <v>0</v>
      </c>
      <c r="E565" s="5">
        <v>1</v>
      </c>
      <c r="F565" s="5">
        <v>16</v>
      </c>
      <c r="G565" s="5" t="b">
        <v>0</v>
      </c>
      <c r="H565" s="5">
        <v>2</v>
      </c>
      <c r="I565" s="5">
        <v>2</v>
      </c>
      <c r="J565" s="5">
        <v>0.32</v>
      </c>
    </row>
    <row r="566" spans="1:10">
      <c r="A566" s="5">
        <v>565</v>
      </c>
      <c r="B566" s="6">
        <v>40568</v>
      </c>
      <c r="C566" s="5">
        <v>1</v>
      </c>
      <c r="D566" s="5">
        <v>0</v>
      </c>
      <c r="E566" s="5">
        <v>1</v>
      </c>
      <c r="F566" s="5">
        <v>17</v>
      </c>
      <c r="G566" s="5" t="b">
        <v>0</v>
      </c>
      <c r="H566" s="5">
        <v>2</v>
      </c>
      <c r="I566" s="5">
        <v>1</v>
      </c>
      <c r="J566" s="5">
        <v>0.3</v>
      </c>
    </row>
    <row r="567" spans="1:10">
      <c r="A567" s="5">
        <v>566</v>
      </c>
      <c r="B567" s="6">
        <v>40568</v>
      </c>
      <c r="C567" s="5">
        <v>1</v>
      </c>
      <c r="D567" s="5">
        <v>0</v>
      </c>
      <c r="E567" s="5">
        <v>1</v>
      </c>
      <c r="F567" s="5">
        <v>18</v>
      </c>
      <c r="G567" s="5" t="b">
        <v>0</v>
      </c>
      <c r="H567" s="5">
        <v>2</v>
      </c>
      <c r="I567" s="5">
        <v>2</v>
      </c>
      <c r="J567" s="5">
        <v>0.3</v>
      </c>
    </row>
    <row r="568" spans="1:10">
      <c r="A568" s="5">
        <v>567</v>
      </c>
      <c r="B568" s="6">
        <v>40568</v>
      </c>
      <c r="C568" s="5">
        <v>1</v>
      </c>
      <c r="D568" s="5">
        <v>0</v>
      </c>
      <c r="E568" s="5">
        <v>1</v>
      </c>
      <c r="F568" s="5">
        <v>19</v>
      </c>
      <c r="G568" s="5" t="b">
        <v>0</v>
      </c>
      <c r="H568" s="5">
        <v>2</v>
      </c>
      <c r="I568" s="5">
        <v>2</v>
      </c>
      <c r="J568" s="5">
        <v>0.26</v>
      </c>
    </row>
    <row r="569" spans="1:10">
      <c r="A569" s="5">
        <v>568</v>
      </c>
      <c r="B569" s="6">
        <v>40568</v>
      </c>
      <c r="C569" s="5">
        <v>1</v>
      </c>
      <c r="D569" s="5">
        <v>0</v>
      </c>
      <c r="E569" s="5">
        <v>1</v>
      </c>
      <c r="F569" s="5">
        <v>20</v>
      </c>
      <c r="G569" s="5" t="b">
        <v>0</v>
      </c>
      <c r="H569" s="5">
        <v>2</v>
      </c>
      <c r="I569" s="5">
        <v>1</v>
      </c>
      <c r="J569" s="5">
        <v>0.24</v>
      </c>
    </row>
    <row r="570" spans="1:10">
      <c r="A570" s="5">
        <v>569</v>
      </c>
      <c r="B570" s="6">
        <v>40568</v>
      </c>
      <c r="C570" s="5">
        <v>1</v>
      </c>
      <c r="D570" s="5">
        <v>0</v>
      </c>
      <c r="E570" s="5">
        <v>1</v>
      </c>
      <c r="F570" s="5">
        <v>21</v>
      </c>
      <c r="G570" s="5" t="b">
        <v>0</v>
      </c>
      <c r="H570" s="5">
        <v>2</v>
      </c>
      <c r="I570" s="5">
        <v>1</v>
      </c>
      <c r="J570" s="5">
        <v>0.24</v>
      </c>
    </row>
    <row r="571" spans="1:10">
      <c r="A571" s="5">
        <v>570</v>
      </c>
      <c r="B571" s="6">
        <v>40568</v>
      </c>
      <c r="C571" s="5">
        <v>1</v>
      </c>
      <c r="D571" s="5">
        <v>0</v>
      </c>
      <c r="E571" s="5">
        <v>1</v>
      </c>
      <c r="F571" s="5">
        <v>22</v>
      </c>
      <c r="G571" s="5" t="b">
        <v>0</v>
      </c>
      <c r="H571" s="5">
        <v>2</v>
      </c>
      <c r="I571" s="5">
        <v>1</v>
      </c>
      <c r="J571" s="5">
        <v>0.22</v>
      </c>
    </row>
    <row r="572" spans="1:10">
      <c r="A572" s="5">
        <v>571</v>
      </c>
      <c r="B572" s="6">
        <v>40568</v>
      </c>
      <c r="C572" s="5">
        <v>1</v>
      </c>
      <c r="D572" s="5">
        <v>0</v>
      </c>
      <c r="E572" s="5">
        <v>1</v>
      </c>
      <c r="F572" s="5">
        <v>23</v>
      </c>
      <c r="G572" s="5" t="b">
        <v>0</v>
      </c>
      <c r="H572" s="5">
        <v>2</v>
      </c>
      <c r="I572" s="5">
        <v>2</v>
      </c>
      <c r="J572" s="5">
        <v>0.22</v>
      </c>
    </row>
    <row r="573" spans="1:10">
      <c r="A573" s="5">
        <v>572</v>
      </c>
      <c r="B573" s="6">
        <v>40569</v>
      </c>
      <c r="C573" s="5">
        <v>1</v>
      </c>
      <c r="D573" s="5">
        <v>0</v>
      </c>
      <c r="E573" s="5">
        <v>1</v>
      </c>
      <c r="F573" s="5">
        <v>0</v>
      </c>
      <c r="G573" s="5" t="b">
        <v>0</v>
      </c>
      <c r="H573" s="5">
        <v>3</v>
      </c>
      <c r="I573" s="5">
        <v>2</v>
      </c>
      <c r="J573" s="5">
        <v>0.22</v>
      </c>
    </row>
    <row r="574" spans="1:10">
      <c r="A574" s="5">
        <v>573</v>
      </c>
      <c r="B574" s="6">
        <v>40569</v>
      </c>
      <c r="C574" s="5">
        <v>1</v>
      </c>
      <c r="D574" s="5">
        <v>0</v>
      </c>
      <c r="E574" s="5">
        <v>1</v>
      </c>
      <c r="F574" s="5">
        <v>1</v>
      </c>
      <c r="G574" s="5" t="b">
        <v>0</v>
      </c>
      <c r="H574" s="5">
        <v>3</v>
      </c>
      <c r="I574" s="5">
        <v>2</v>
      </c>
      <c r="J574" s="5">
        <v>0.24</v>
      </c>
    </row>
    <row r="575" spans="1:10">
      <c r="A575" s="5">
        <v>574</v>
      </c>
      <c r="B575" s="6">
        <v>40569</v>
      </c>
      <c r="C575" s="5">
        <v>1</v>
      </c>
      <c r="D575" s="5">
        <v>0</v>
      </c>
      <c r="E575" s="5">
        <v>1</v>
      </c>
      <c r="F575" s="5">
        <v>2</v>
      </c>
      <c r="G575" s="5" t="b">
        <v>0</v>
      </c>
      <c r="H575" s="5">
        <v>3</v>
      </c>
      <c r="I575" s="5">
        <v>3</v>
      </c>
      <c r="J575" s="5">
        <v>0.22</v>
      </c>
    </row>
    <row r="576" spans="1:10">
      <c r="A576" s="5">
        <v>575</v>
      </c>
      <c r="B576" s="6">
        <v>40569</v>
      </c>
      <c r="C576" s="5">
        <v>1</v>
      </c>
      <c r="D576" s="5">
        <v>0</v>
      </c>
      <c r="E576" s="5">
        <v>1</v>
      </c>
      <c r="F576" s="5">
        <v>5</v>
      </c>
      <c r="G576" s="5" t="b">
        <v>0</v>
      </c>
      <c r="H576" s="5">
        <v>3</v>
      </c>
      <c r="I576" s="5">
        <v>3</v>
      </c>
      <c r="J576" s="5">
        <v>0.2</v>
      </c>
    </row>
    <row r="577" spans="1:10">
      <c r="A577" s="5">
        <v>576</v>
      </c>
      <c r="B577" s="6">
        <v>40569</v>
      </c>
      <c r="C577" s="5">
        <v>1</v>
      </c>
      <c r="D577" s="5">
        <v>0</v>
      </c>
      <c r="E577" s="5">
        <v>1</v>
      </c>
      <c r="F577" s="5">
        <v>6</v>
      </c>
      <c r="G577" s="5" t="b">
        <v>0</v>
      </c>
      <c r="H577" s="5">
        <v>3</v>
      </c>
      <c r="I577" s="5">
        <v>3</v>
      </c>
      <c r="J577" s="5">
        <v>0.2</v>
      </c>
    </row>
    <row r="578" spans="1:10">
      <c r="A578" s="5">
        <v>577</v>
      </c>
      <c r="B578" s="6">
        <v>40569</v>
      </c>
      <c r="C578" s="5">
        <v>1</v>
      </c>
      <c r="D578" s="5">
        <v>0</v>
      </c>
      <c r="E578" s="5">
        <v>1</v>
      </c>
      <c r="F578" s="5">
        <v>7</v>
      </c>
      <c r="G578" s="5" t="b">
        <v>0</v>
      </c>
      <c r="H578" s="5">
        <v>3</v>
      </c>
      <c r="I578" s="5">
        <v>3</v>
      </c>
      <c r="J578" s="5">
        <v>0.22</v>
      </c>
    </row>
    <row r="579" spans="1:10">
      <c r="A579" s="5">
        <v>578</v>
      </c>
      <c r="B579" s="6">
        <v>40569</v>
      </c>
      <c r="C579" s="5">
        <v>1</v>
      </c>
      <c r="D579" s="5">
        <v>0</v>
      </c>
      <c r="E579" s="5">
        <v>1</v>
      </c>
      <c r="F579" s="5">
        <v>8</v>
      </c>
      <c r="G579" s="5" t="b">
        <v>0</v>
      </c>
      <c r="H579" s="5">
        <v>3</v>
      </c>
      <c r="I579" s="5">
        <v>3</v>
      </c>
      <c r="J579" s="5">
        <v>0.22</v>
      </c>
    </row>
    <row r="580" spans="1:10">
      <c r="A580" s="5">
        <v>579</v>
      </c>
      <c r="B580" s="6">
        <v>40569</v>
      </c>
      <c r="C580" s="5">
        <v>1</v>
      </c>
      <c r="D580" s="5">
        <v>0</v>
      </c>
      <c r="E580" s="5">
        <v>1</v>
      </c>
      <c r="F580" s="5">
        <v>9</v>
      </c>
      <c r="G580" s="5" t="b">
        <v>0</v>
      </c>
      <c r="H580" s="5">
        <v>3</v>
      </c>
      <c r="I580" s="5">
        <v>3</v>
      </c>
      <c r="J580" s="5">
        <v>0.22</v>
      </c>
    </row>
    <row r="581" spans="1:10">
      <c r="A581" s="5">
        <v>580</v>
      </c>
      <c r="B581" s="6">
        <v>40569</v>
      </c>
      <c r="C581" s="5">
        <v>1</v>
      </c>
      <c r="D581" s="5">
        <v>0</v>
      </c>
      <c r="E581" s="5">
        <v>1</v>
      </c>
      <c r="F581" s="5">
        <v>10</v>
      </c>
      <c r="G581" s="5" t="b">
        <v>0</v>
      </c>
      <c r="H581" s="5">
        <v>3</v>
      </c>
      <c r="I581" s="5">
        <v>3</v>
      </c>
      <c r="J581" s="5">
        <v>0.22</v>
      </c>
    </row>
    <row r="582" spans="1:10">
      <c r="A582" s="5">
        <v>581</v>
      </c>
      <c r="B582" s="6">
        <v>40569</v>
      </c>
      <c r="C582" s="5">
        <v>1</v>
      </c>
      <c r="D582" s="5">
        <v>0</v>
      </c>
      <c r="E582" s="5">
        <v>1</v>
      </c>
      <c r="F582" s="5">
        <v>11</v>
      </c>
      <c r="G582" s="5" t="b">
        <v>0</v>
      </c>
      <c r="H582" s="5">
        <v>3</v>
      </c>
      <c r="I582" s="5">
        <v>3</v>
      </c>
      <c r="J582" s="5">
        <v>0.22</v>
      </c>
    </row>
    <row r="583" spans="1:10">
      <c r="A583" s="5">
        <v>582</v>
      </c>
      <c r="B583" s="6">
        <v>40569</v>
      </c>
      <c r="C583" s="5">
        <v>1</v>
      </c>
      <c r="D583" s="5">
        <v>0</v>
      </c>
      <c r="E583" s="5">
        <v>1</v>
      </c>
      <c r="F583" s="5">
        <v>12</v>
      </c>
      <c r="G583" s="5" t="b">
        <v>0</v>
      </c>
      <c r="H583" s="5">
        <v>3</v>
      </c>
      <c r="I583" s="5">
        <v>3</v>
      </c>
      <c r="J583" s="5">
        <v>0.22</v>
      </c>
    </row>
    <row r="584" spans="1:10">
      <c r="A584" s="5">
        <v>583</v>
      </c>
      <c r="B584" s="6">
        <v>40569</v>
      </c>
      <c r="C584" s="5">
        <v>1</v>
      </c>
      <c r="D584" s="5">
        <v>0</v>
      </c>
      <c r="E584" s="5">
        <v>1</v>
      </c>
      <c r="F584" s="5">
        <v>13</v>
      </c>
      <c r="G584" s="5" t="b">
        <v>0</v>
      </c>
      <c r="H584" s="5">
        <v>3</v>
      </c>
      <c r="I584" s="5">
        <v>3</v>
      </c>
      <c r="J584" s="5">
        <v>0.22</v>
      </c>
    </row>
    <row r="585" spans="1:10">
      <c r="A585" s="5">
        <v>584</v>
      </c>
      <c r="B585" s="6">
        <v>40569</v>
      </c>
      <c r="C585" s="5">
        <v>1</v>
      </c>
      <c r="D585" s="5">
        <v>0</v>
      </c>
      <c r="E585" s="5">
        <v>1</v>
      </c>
      <c r="F585" s="5">
        <v>14</v>
      </c>
      <c r="G585" s="5" t="b">
        <v>0</v>
      </c>
      <c r="H585" s="5">
        <v>3</v>
      </c>
      <c r="I585" s="5">
        <v>3</v>
      </c>
      <c r="J585" s="5">
        <v>0.22</v>
      </c>
    </row>
    <row r="586" spans="1:10">
      <c r="A586" s="5">
        <v>585</v>
      </c>
      <c r="B586" s="6">
        <v>40569</v>
      </c>
      <c r="C586" s="5">
        <v>1</v>
      </c>
      <c r="D586" s="5">
        <v>0</v>
      </c>
      <c r="E586" s="5">
        <v>1</v>
      </c>
      <c r="F586" s="5">
        <v>15</v>
      </c>
      <c r="G586" s="5" t="b">
        <v>0</v>
      </c>
      <c r="H586" s="5">
        <v>3</v>
      </c>
      <c r="I586" s="5">
        <v>3</v>
      </c>
      <c r="J586" s="5">
        <v>0.22</v>
      </c>
    </row>
    <row r="587" spans="1:10">
      <c r="A587" s="5">
        <v>586</v>
      </c>
      <c r="B587" s="6">
        <v>40569</v>
      </c>
      <c r="C587" s="5">
        <v>1</v>
      </c>
      <c r="D587" s="5">
        <v>0</v>
      </c>
      <c r="E587" s="5">
        <v>1</v>
      </c>
      <c r="F587" s="5">
        <v>16</v>
      </c>
      <c r="G587" s="5" t="b">
        <v>0</v>
      </c>
      <c r="H587" s="5">
        <v>3</v>
      </c>
      <c r="I587" s="5">
        <v>4</v>
      </c>
      <c r="J587" s="5">
        <v>0.22</v>
      </c>
    </row>
    <row r="588" spans="1:10">
      <c r="A588" s="5">
        <v>587</v>
      </c>
      <c r="B588" s="6">
        <v>40569</v>
      </c>
      <c r="C588" s="5">
        <v>1</v>
      </c>
      <c r="D588" s="5">
        <v>0</v>
      </c>
      <c r="E588" s="5">
        <v>1</v>
      </c>
      <c r="F588" s="5">
        <v>17</v>
      </c>
      <c r="G588" s="5" t="b">
        <v>0</v>
      </c>
      <c r="H588" s="5">
        <v>3</v>
      </c>
      <c r="I588" s="5">
        <v>3</v>
      </c>
      <c r="J588" s="5">
        <v>0.2</v>
      </c>
    </row>
    <row r="589" spans="1:10">
      <c r="A589" s="5">
        <v>588</v>
      </c>
      <c r="B589" s="6">
        <v>40570</v>
      </c>
      <c r="C589" s="5">
        <v>1</v>
      </c>
      <c r="D589" s="5">
        <v>0</v>
      </c>
      <c r="E589" s="5">
        <v>1</v>
      </c>
      <c r="F589" s="5">
        <v>16</v>
      </c>
      <c r="G589" s="5" t="b">
        <v>0</v>
      </c>
      <c r="H589" s="5">
        <v>4</v>
      </c>
      <c r="I589" s="5">
        <v>1</v>
      </c>
      <c r="J589" s="5">
        <v>0.22</v>
      </c>
    </row>
    <row r="590" spans="1:10">
      <c r="A590" s="5">
        <v>589</v>
      </c>
      <c r="B590" s="6">
        <v>40570</v>
      </c>
      <c r="C590" s="5">
        <v>1</v>
      </c>
      <c r="D590" s="5">
        <v>0</v>
      </c>
      <c r="E590" s="5">
        <v>1</v>
      </c>
      <c r="F590" s="5">
        <v>17</v>
      </c>
      <c r="G590" s="5" t="b">
        <v>0</v>
      </c>
      <c r="H590" s="5">
        <v>4</v>
      </c>
      <c r="I590" s="5">
        <v>1</v>
      </c>
      <c r="J590" s="5">
        <v>0.22</v>
      </c>
    </row>
    <row r="591" spans="1:10">
      <c r="A591" s="5">
        <v>590</v>
      </c>
      <c r="B591" s="6">
        <v>40570</v>
      </c>
      <c r="C591" s="5">
        <v>1</v>
      </c>
      <c r="D591" s="5">
        <v>0</v>
      </c>
      <c r="E591" s="5">
        <v>1</v>
      </c>
      <c r="F591" s="5">
        <v>18</v>
      </c>
      <c r="G591" s="5" t="b">
        <v>0</v>
      </c>
      <c r="H591" s="5">
        <v>4</v>
      </c>
      <c r="I591" s="5">
        <v>1</v>
      </c>
      <c r="J591" s="5">
        <v>0.2</v>
      </c>
    </row>
    <row r="592" spans="1:10">
      <c r="A592" s="5">
        <v>591</v>
      </c>
      <c r="B592" s="6">
        <v>40570</v>
      </c>
      <c r="C592" s="5">
        <v>1</v>
      </c>
      <c r="D592" s="5">
        <v>0</v>
      </c>
      <c r="E592" s="5">
        <v>1</v>
      </c>
      <c r="F592" s="5">
        <v>19</v>
      </c>
      <c r="G592" s="5" t="b">
        <v>0</v>
      </c>
      <c r="H592" s="5">
        <v>4</v>
      </c>
      <c r="I592" s="5">
        <v>1</v>
      </c>
      <c r="J592" s="5">
        <v>0.2</v>
      </c>
    </row>
    <row r="593" spans="1:10">
      <c r="A593" s="5">
        <v>592</v>
      </c>
      <c r="B593" s="6">
        <v>40570</v>
      </c>
      <c r="C593" s="5">
        <v>1</v>
      </c>
      <c r="D593" s="5">
        <v>0</v>
      </c>
      <c r="E593" s="5">
        <v>1</v>
      </c>
      <c r="F593" s="5">
        <v>20</v>
      </c>
      <c r="G593" s="5" t="b">
        <v>0</v>
      </c>
      <c r="H593" s="5">
        <v>4</v>
      </c>
      <c r="I593" s="5">
        <v>1</v>
      </c>
      <c r="J593" s="5">
        <v>0.18</v>
      </c>
    </row>
    <row r="594" spans="1:10">
      <c r="A594" s="5">
        <v>593</v>
      </c>
      <c r="B594" s="6">
        <v>40570</v>
      </c>
      <c r="C594" s="5">
        <v>1</v>
      </c>
      <c r="D594" s="5">
        <v>0</v>
      </c>
      <c r="E594" s="5">
        <v>1</v>
      </c>
      <c r="F594" s="5">
        <v>21</v>
      </c>
      <c r="G594" s="5" t="b">
        <v>0</v>
      </c>
      <c r="H594" s="5">
        <v>4</v>
      </c>
      <c r="I594" s="5">
        <v>1</v>
      </c>
      <c r="J594" s="5">
        <v>0.18</v>
      </c>
    </row>
    <row r="595" spans="1:10">
      <c r="A595" s="5">
        <v>594</v>
      </c>
      <c r="B595" s="6">
        <v>40570</v>
      </c>
      <c r="C595" s="5">
        <v>1</v>
      </c>
      <c r="D595" s="5">
        <v>0</v>
      </c>
      <c r="E595" s="5">
        <v>1</v>
      </c>
      <c r="F595" s="5">
        <v>22</v>
      </c>
      <c r="G595" s="5" t="b">
        <v>0</v>
      </c>
      <c r="H595" s="5">
        <v>4</v>
      </c>
      <c r="I595" s="5">
        <v>1</v>
      </c>
      <c r="J595" s="5">
        <v>0.18</v>
      </c>
    </row>
    <row r="596" spans="1:10">
      <c r="A596" s="5">
        <v>595</v>
      </c>
      <c r="B596" s="6">
        <v>40570</v>
      </c>
      <c r="C596" s="5">
        <v>1</v>
      </c>
      <c r="D596" s="5">
        <v>0</v>
      </c>
      <c r="E596" s="5">
        <v>1</v>
      </c>
      <c r="F596" s="5">
        <v>23</v>
      </c>
      <c r="G596" s="5" t="b">
        <v>0</v>
      </c>
      <c r="H596" s="5">
        <v>4</v>
      </c>
      <c r="I596" s="5">
        <v>1</v>
      </c>
      <c r="J596" s="5">
        <v>0.18</v>
      </c>
    </row>
    <row r="597" spans="1:10">
      <c r="A597" s="5">
        <v>596</v>
      </c>
      <c r="B597" s="6">
        <v>40571</v>
      </c>
      <c r="C597" s="5">
        <v>1</v>
      </c>
      <c r="D597" s="5">
        <v>0</v>
      </c>
      <c r="E597" s="5">
        <v>1</v>
      </c>
      <c r="F597" s="5">
        <v>0</v>
      </c>
      <c r="G597" s="5" t="b">
        <v>0</v>
      </c>
      <c r="H597" s="5">
        <v>5</v>
      </c>
      <c r="I597" s="5">
        <v>2</v>
      </c>
      <c r="J597" s="5">
        <v>0.2</v>
      </c>
    </row>
    <row r="598" spans="1:10">
      <c r="A598" s="5">
        <v>597</v>
      </c>
      <c r="B598" s="6">
        <v>40571</v>
      </c>
      <c r="C598" s="5">
        <v>1</v>
      </c>
      <c r="D598" s="5">
        <v>0</v>
      </c>
      <c r="E598" s="5">
        <v>1</v>
      </c>
      <c r="F598" s="5">
        <v>1</v>
      </c>
      <c r="G598" s="5" t="b">
        <v>0</v>
      </c>
      <c r="H598" s="5">
        <v>5</v>
      </c>
      <c r="I598" s="5">
        <v>2</v>
      </c>
      <c r="J598" s="5">
        <v>0.2</v>
      </c>
    </row>
    <row r="599" spans="1:10">
      <c r="A599" s="5">
        <v>598</v>
      </c>
      <c r="B599" s="6">
        <v>40571</v>
      </c>
      <c r="C599" s="5">
        <v>1</v>
      </c>
      <c r="D599" s="5">
        <v>0</v>
      </c>
      <c r="E599" s="5">
        <v>1</v>
      </c>
      <c r="F599" s="5">
        <v>2</v>
      </c>
      <c r="G599" s="5" t="b">
        <v>0</v>
      </c>
      <c r="H599" s="5">
        <v>5</v>
      </c>
      <c r="I599" s="5">
        <v>2</v>
      </c>
      <c r="J599" s="5">
        <v>0.2</v>
      </c>
    </row>
    <row r="600" spans="1:10">
      <c r="A600" s="5">
        <v>599</v>
      </c>
      <c r="B600" s="6">
        <v>40571</v>
      </c>
      <c r="C600" s="5">
        <v>1</v>
      </c>
      <c r="D600" s="5">
        <v>0</v>
      </c>
      <c r="E600" s="5">
        <v>1</v>
      </c>
      <c r="F600" s="5">
        <v>3</v>
      </c>
      <c r="G600" s="5" t="b">
        <v>0</v>
      </c>
      <c r="H600" s="5">
        <v>5</v>
      </c>
      <c r="I600" s="5">
        <v>2</v>
      </c>
      <c r="J600" s="5">
        <v>0.2</v>
      </c>
    </row>
    <row r="601" spans="1:10">
      <c r="A601" s="5">
        <v>600</v>
      </c>
      <c r="B601" s="6">
        <v>40571</v>
      </c>
      <c r="C601" s="5">
        <v>1</v>
      </c>
      <c r="D601" s="5">
        <v>0</v>
      </c>
      <c r="E601" s="5">
        <v>1</v>
      </c>
      <c r="F601" s="5">
        <v>5</v>
      </c>
      <c r="G601" s="5" t="b">
        <v>0</v>
      </c>
      <c r="H601" s="5">
        <v>5</v>
      </c>
      <c r="I601" s="5">
        <v>2</v>
      </c>
      <c r="J601" s="5">
        <v>0.18</v>
      </c>
    </row>
    <row r="602" spans="1:10">
      <c r="A602" s="5">
        <v>601</v>
      </c>
      <c r="B602" s="6">
        <v>40571</v>
      </c>
      <c r="C602" s="5">
        <v>1</v>
      </c>
      <c r="D602" s="5">
        <v>0</v>
      </c>
      <c r="E602" s="5">
        <v>1</v>
      </c>
      <c r="F602" s="5">
        <v>6</v>
      </c>
      <c r="G602" s="5" t="b">
        <v>0</v>
      </c>
      <c r="H602" s="5">
        <v>5</v>
      </c>
      <c r="I602" s="5">
        <v>2</v>
      </c>
      <c r="J602" s="5">
        <v>0.18</v>
      </c>
    </row>
    <row r="603" spans="1:10">
      <c r="A603" s="5">
        <v>602</v>
      </c>
      <c r="B603" s="6">
        <v>40571</v>
      </c>
      <c r="C603" s="5">
        <v>1</v>
      </c>
      <c r="D603" s="5">
        <v>0</v>
      </c>
      <c r="E603" s="5">
        <v>1</v>
      </c>
      <c r="F603" s="5">
        <v>7</v>
      </c>
      <c r="G603" s="5" t="b">
        <v>0</v>
      </c>
      <c r="H603" s="5">
        <v>5</v>
      </c>
      <c r="I603" s="5">
        <v>2</v>
      </c>
      <c r="J603" s="5">
        <v>0.16</v>
      </c>
    </row>
    <row r="604" spans="1:10">
      <c r="A604" s="5">
        <v>603</v>
      </c>
      <c r="B604" s="6">
        <v>40571</v>
      </c>
      <c r="C604" s="5">
        <v>1</v>
      </c>
      <c r="D604" s="5">
        <v>0</v>
      </c>
      <c r="E604" s="5">
        <v>1</v>
      </c>
      <c r="F604" s="5">
        <v>8</v>
      </c>
      <c r="G604" s="5" t="b">
        <v>0</v>
      </c>
      <c r="H604" s="5">
        <v>5</v>
      </c>
      <c r="I604" s="5">
        <v>2</v>
      </c>
      <c r="J604" s="5">
        <v>0.16</v>
      </c>
    </row>
    <row r="605" spans="1:10">
      <c r="A605" s="5">
        <v>604</v>
      </c>
      <c r="B605" s="6">
        <v>40571</v>
      </c>
      <c r="C605" s="5">
        <v>1</v>
      </c>
      <c r="D605" s="5">
        <v>0</v>
      </c>
      <c r="E605" s="5">
        <v>1</v>
      </c>
      <c r="F605" s="5">
        <v>9</v>
      </c>
      <c r="G605" s="5" t="b">
        <v>0</v>
      </c>
      <c r="H605" s="5">
        <v>5</v>
      </c>
      <c r="I605" s="5">
        <v>3</v>
      </c>
      <c r="J605" s="5">
        <v>0.18</v>
      </c>
    </row>
    <row r="606" spans="1:10">
      <c r="A606" s="5">
        <v>605</v>
      </c>
      <c r="B606" s="6">
        <v>40571</v>
      </c>
      <c r="C606" s="5">
        <v>1</v>
      </c>
      <c r="D606" s="5">
        <v>0</v>
      </c>
      <c r="E606" s="5">
        <v>1</v>
      </c>
      <c r="F606" s="5">
        <v>10</v>
      </c>
      <c r="G606" s="5" t="b">
        <v>0</v>
      </c>
      <c r="H606" s="5">
        <v>5</v>
      </c>
      <c r="I606" s="5">
        <v>3</v>
      </c>
      <c r="J606" s="5">
        <v>0.18</v>
      </c>
    </row>
    <row r="607" spans="1:10">
      <c r="A607" s="5">
        <v>606</v>
      </c>
      <c r="B607" s="6">
        <v>40571</v>
      </c>
      <c r="C607" s="5">
        <v>1</v>
      </c>
      <c r="D607" s="5">
        <v>0</v>
      </c>
      <c r="E607" s="5">
        <v>1</v>
      </c>
      <c r="F607" s="5">
        <v>11</v>
      </c>
      <c r="G607" s="5" t="b">
        <v>0</v>
      </c>
      <c r="H607" s="5">
        <v>5</v>
      </c>
      <c r="I607" s="5">
        <v>3</v>
      </c>
      <c r="J607" s="5">
        <v>0.18</v>
      </c>
    </row>
    <row r="608" spans="1:10">
      <c r="A608" s="5">
        <v>607</v>
      </c>
      <c r="B608" s="6">
        <v>40571</v>
      </c>
      <c r="C608" s="5">
        <v>1</v>
      </c>
      <c r="D608" s="5">
        <v>0</v>
      </c>
      <c r="E608" s="5">
        <v>1</v>
      </c>
      <c r="F608" s="5">
        <v>12</v>
      </c>
      <c r="G608" s="5" t="b">
        <v>0</v>
      </c>
      <c r="H608" s="5">
        <v>5</v>
      </c>
      <c r="I608" s="5">
        <v>3</v>
      </c>
      <c r="J608" s="5">
        <v>0.18</v>
      </c>
    </row>
    <row r="609" spans="1:10">
      <c r="A609" s="5">
        <v>608</v>
      </c>
      <c r="B609" s="6">
        <v>40571</v>
      </c>
      <c r="C609" s="5">
        <v>1</v>
      </c>
      <c r="D609" s="5">
        <v>0</v>
      </c>
      <c r="E609" s="5">
        <v>1</v>
      </c>
      <c r="F609" s="5">
        <v>13</v>
      </c>
      <c r="G609" s="5" t="b">
        <v>0</v>
      </c>
      <c r="H609" s="5">
        <v>5</v>
      </c>
      <c r="I609" s="5">
        <v>3</v>
      </c>
      <c r="J609" s="5">
        <v>0.18</v>
      </c>
    </row>
    <row r="610" spans="1:10">
      <c r="A610" s="5">
        <v>609</v>
      </c>
      <c r="B610" s="6">
        <v>40571</v>
      </c>
      <c r="C610" s="5">
        <v>1</v>
      </c>
      <c r="D610" s="5">
        <v>0</v>
      </c>
      <c r="E610" s="5">
        <v>1</v>
      </c>
      <c r="F610" s="5">
        <v>14</v>
      </c>
      <c r="G610" s="5" t="b">
        <v>0</v>
      </c>
      <c r="H610" s="5">
        <v>5</v>
      </c>
      <c r="I610" s="5">
        <v>3</v>
      </c>
      <c r="J610" s="5">
        <v>0.22</v>
      </c>
    </row>
    <row r="611" spans="1:10">
      <c r="A611" s="5">
        <v>610</v>
      </c>
      <c r="B611" s="6">
        <v>40571</v>
      </c>
      <c r="C611" s="5">
        <v>1</v>
      </c>
      <c r="D611" s="5">
        <v>0</v>
      </c>
      <c r="E611" s="5">
        <v>1</v>
      </c>
      <c r="F611" s="5">
        <v>15</v>
      </c>
      <c r="G611" s="5" t="b">
        <v>0</v>
      </c>
      <c r="H611" s="5">
        <v>5</v>
      </c>
      <c r="I611" s="5">
        <v>2</v>
      </c>
      <c r="J611" s="5">
        <v>0.2</v>
      </c>
    </row>
  </sheetData>
  <mergeCells count="1">
    <mergeCell ref="M2:N2"/>
  </mergeCells>
  <pageMargins left="0.7" right="0.7" top="0.75" bottom="0.75" header="0.3" footer="0.3"/>
  <pageSetup orientation="portrait"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00"/>
  <sheetViews>
    <sheetView topLeftCell="A122" workbookViewId="0">
      <selection activeCell="I65" sqref="I65"/>
    </sheetView>
  </sheetViews>
  <sheetFormatPr defaultRowHeight="14.5"/>
  <cols>
    <col min="1" max="1" width="11.26953125" customWidth="1"/>
    <col min="2" max="2" width="10.81640625" bestFit="1" customWidth="1"/>
    <col min="3" max="3" width="10.7265625" customWidth="1"/>
    <col min="4" max="4" width="14.453125" customWidth="1"/>
    <col min="5" max="5" width="10.54296875" customWidth="1"/>
    <col min="6" max="6" width="13.81640625" bestFit="1" customWidth="1"/>
    <col min="7" max="7" width="8" customWidth="1"/>
    <col min="8" max="8" width="5.7265625" bestFit="1" customWidth="1"/>
    <col min="12" max="12" width="16.6328125" customWidth="1"/>
    <col min="13" max="13" width="12" customWidth="1"/>
  </cols>
  <sheetData>
    <row r="1" spans="1:13">
      <c r="A1" s="29" t="s">
        <v>29</v>
      </c>
      <c r="B1" s="29" t="s">
        <v>23</v>
      </c>
      <c r="C1" s="29" t="s">
        <v>24</v>
      </c>
      <c r="D1" s="29" t="s">
        <v>25</v>
      </c>
      <c r="E1" s="29" t="s">
        <v>26</v>
      </c>
      <c r="F1" s="29" t="s">
        <v>27</v>
      </c>
      <c r="G1" s="29" t="s">
        <v>12</v>
      </c>
    </row>
    <row r="2" spans="1:13">
      <c r="A2" s="5">
        <v>1</v>
      </c>
      <c r="B2" s="5">
        <v>0.28789999999999999</v>
      </c>
      <c r="C2" s="5">
        <v>0.81</v>
      </c>
      <c r="D2" s="5">
        <v>0</v>
      </c>
      <c r="E2" s="5">
        <v>3</v>
      </c>
      <c r="F2" s="5">
        <v>13</v>
      </c>
      <c r="G2" s="5">
        <v>16</v>
      </c>
      <c r="L2" s="50" t="s">
        <v>28</v>
      </c>
      <c r="M2" s="51"/>
    </row>
    <row r="3" spans="1:13">
      <c r="A3" s="5">
        <v>2</v>
      </c>
      <c r="B3" s="5">
        <v>0.2727</v>
      </c>
      <c r="C3" s="5">
        <v>0.8</v>
      </c>
      <c r="D3" s="5">
        <v>0</v>
      </c>
      <c r="E3" s="5">
        <v>8</v>
      </c>
      <c r="F3" s="5">
        <v>32</v>
      </c>
      <c r="G3" s="5">
        <v>40</v>
      </c>
    </row>
    <row r="4" spans="1:13">
      <c r="A4" s="5">
        <v>3</v>
      </c>
      <c r="B4" s="5">
        <v>0.2727</v>
      </c>
      <c r="C4" s="5">
        <v>0.8</v>
      </c>
      <c r="D4" s="5">
        <v>0</v>
      </c>
      <c r="E4" s="5">
        <v>5</v>
      </c>
      <c r="F4" s="5">
        <v>27</v>
      </c>
      <c r="G4" s="5">
        <v>32</v>
      </c>
      <c r="L4" s="2" t="s">
        <v>4</v>
      </c>
      <c r="M4" s="2" t="s">
        <v>5</v>
      </c>
    </row>
    <row r="5" spans="1:13">
      <c r="A5" s="5">
        <v>4</v>
      </c>
      <c r="B5" s="5">
        <v>0.28789999999999999</v>
      </c>
      <c r="C5" s="5">
        <v>0.75</v>
      </c>
      <c r="D5" s="5">
        <v>0</v>
      </c>
      <c r="E5" s="5">
        <v>3</v>
      </c>
      <c r="F5" s="5">
        <v>10</v>
      </c>
      <c r="G5" s="5">
        <v>13</v>
      </c>
      <c r="L5" s="3"/>
      <c r="M5" s="3"/>
    </row>
    <row r="6" spans="1:13">
      <c r="A6" s="5">
        <v>5</v>
      </c>
      <c r="B6" s="5">
        <v>0.28789999999999999</v>
      </c>
      <c r="C6" s="5">
        <v>0.75</v>
      </c>
      <c r="D6" s="5">
        <v>0</v>
      </c>
      <c r="E6" s="5">
        <v>0</v>
      </c>
      <c r="F6" s="5">
        <v>1</v>
      </c>
      <c r="G6" s="5">
        <v>1</v>
      </c>
      <c r="L6" s="3" t="s">
        <v>1</v>
      </c>
      <c r="M6" s="3">
        <f>AVERAGE(dataset_2__2[Humidity])</f>
        <v>0.56247540983606703</v>
      </c>
    </row>
    <row r="7" spans="1:13">
      <c r="A7" s="5">
        <v>6</v>
      </c>
      <c r="B7" s="5">
        <v>0.2576</v>
      </c>
      <c r="C7" s="5">
        <v>0.75</v>
      </c>
      <c r="D7" s="5">
        <v>8.9599999999999999E-2</v>
      </c>
      <c r="E7" s="5">
        <v>0</v>
      </c>
      <c r="F7" s="5">
        <v>1</v>
      </c>
      <c r="G7" s="5">
        <v>1</v>
      </c>
      <c r="L7" s="3" t="s">
        <v>2</v>
      </c>
      <c r="M7" s="3">
        <f>MEDIAN(dataset_2__2[Humidity])</f>
        <v>0.52</v>
      </c>
    </row>
    <row r="8" spans="1:13">
      <c r="A8" s="5">
        <v>7</v>
      </c>
      <c r="B8" s="5">
        <v>0.2727</v>
      </c>
      <c r="C8" s="5">
        <v>0.8</v>
      </c>
      <c r="D8" s="5">
        <v>0</v>
      </c>
      <c r="E8" s="5">
        <v>2</v>
      </c>
      <c r="F8" s="5">
        <v>0</v>
      </c>
      <c r="G8" s="5">
        <v>2</v>
      </c>
      <c r="L8" s="3" t="s">
        <v>3</v>
      </c>
      <c r="M8" s="3">
        <f>_xlfn.STDEV.S(dataset_1[Temp])/SQRT(COUNT(dataset_1[Temp]))</f>
        <v>3.2918964630001034E-3</v>
      </c>
    </row>
    <row r="9" spans="1:13">
      <c r="A9" s="5">
        <v>8</v>
      </c>
      <c r="B9" s="5">
        <v>0.2576</v>
      </c>
      <c r="C9" s="5">
        <v>0.86</v>
      </c>
      <c r="D9" s="5">
        <v>0</v>
      </c>
      <c r="E9" s="5">
        <v>1</v>
      </c>
      <c r="F9" s="5">
        <v>2</v>
      </c>
      <c r="G9" s="5">
        <v>3</v>
      </c>
      <c r="L9" s="3" t="s">
        <v>6</v>
      </c>
      <c r="M9" s="3">
        <f>MODE(dataset_2__2[Humidity])</f>
        <v>0.47</v>
      </c>
    </row>
    <row r="10" spans="1:13">
      <c r="A10" s="5">
        <v>9</v>
      </c>
      <c r="B10" s="42">
        <v>0</v>
      </c>
      <c r="C10" s="5">
        <v>0.75</v>
      </c>
      <c r="D10" s="5">
        <v>0</v>
      </c>
      <c r="E10" s="5">
        <v>1</v>
      </c>
      <c r="F10" s="5">
        <v>7</v>
      </c>
      <c r="G10" s="5">
        <v>8</v>
      </c>
      <c r="L10" s="4" t="s">
        <v>7</v>
      </c>
      <c r="M10" s="3">
        <f>_xlfn.STDEV.S(dataset_2__2[Humidity])</f>
        <v>0.175440155502675</v>
      </c>
    </row>
    <row r="11" spans="1:13">
      <c r="A11" s="5">
        <v>10</v>
      </c>
      <c r="B11" s="5">
        <v>0.34849999999999998</v>
      </c>
      <c r="C11" s="5">
        <v>0.76</v>
      </c>
      <c r="D11" s="5">
        <v>0</v>
      </c>
      <c r="E11" s="5">
        <v>8</v>
      </c>
      <c r="F11" s="5">
        <v>6</v>
      </c>
      <c r="G11" s="5">
        <v>14</v>
      </c>
      <c r="L11" s="4" t="s">
        <v>8</v>
      </c>
      <c r="M11" s="3">
        <f>_xlfn.VAR.S(dataset_2__2[Humidity])</f>
        <v>3.077924816280278E-2</v>
      </c>
    </row>
    <row r="12" spans="1:13">
      <c r="A12" s="5">
        <v>11</v>
      </c>
      <c r="B12" s="5">
        <v>0.39389999999999997</v>
      </c>
      <c r="C12" s="5">
        <v>0.76</v>
      </c>
      <c r="D12" s="5">
        <v>0.25369999999999998</v>
      </c>
      <c r="E12" s="5">
        <v>12</v>
      </c>
      <c r="F12" s="5">
        <v>24</v>
      </c>
      <c r="G12" s="5">
        <v>36</v>
      </c>
      <c r="L12" s="3" t="s">
        <v>9</v>
      </c>
      <c r="M12" s="3">
        <f>MIN(dataset_2__2[Humidity])</f>
        <v>0.21</v>
      </c>
    </row>
    <row r="13" spans="1:13">
      <c r="A13" s="5">
        <v>12</v>
      </c>
      <c r="B13" s="5">
        <v>0.33329999999999999</v>
      </c>
      <c r="C13" s="5">
        <v>0.81</v>
      </c>
      <c r="D13" s="5">
        <v>0.28360000000000002</v>
      </c>
      <c r="E13" s="5">
        <v>26</v>
      </c>
      <c r="F13" s="5">
        <v>30</v>
      </c>
      <c r="G13" s="5">
        <v>56</v>
      </c>
      <c r="L13" s="4" t="s">
        <v>10</v>
      </c>
      <c r="M13" s="3">
        <f>MAX(dataset_2__2[Humidity])</f>
        <v>1</v>
      </c>
    </row>
    <row r="14" spans="1:13">
      <c r="A14" s="5">
        <v>13</v>
      </c>
      <c r="B14" s="5">
        <v>0.42420000000000002</v>
      </c>
      <c r="C14" s="5">
        <v>0.77</v>
      </c>
      <c r="D14" s="5">
        <v>0.28360000000000002</v>
      </c>
      <c r="E14" s="5">
        <v>29</v>
      </c>
      <c r="F14" s="5">
        <v>55</v>
      </c>
      <c r="G14" s="5">
        <v>84</v>
      </c>
      <c r="L14" s="4" t="s">
        <v>11</v>
      </c>
      <c r="M14" s="3">
        <f>SUM(dataset_2__2[Humidity])</f>
        <v>343.11000000000087</v>
      </c>
    </row>
    <row r="15" spans="1:13">
      <c r="A15" s="5">
        <v>14</v>
      </c>
      <c r="B15" s="5">
        <v>0.45450000000000002</v>
      </c>
      <c r="C15" s="5">
        <v>0.72</v>
      </c>
      <c r="D15" s="5">
        <v>0.29849999999999999</v>
      </c>
      <c r="E15" s="5">
        <v>47</v>
      </c>
      <c r="F15" s="5">
        <v>47</v>
      </c>
      <c r="G15" s="5">
        <v>94</v>
      </c>
      <c r="L15" s="4" t="s">
        <v>12</v>
      </c>
      <c r="M15" s="3">
        <f>COUNT(dataset_2__2[Humidity])</f>
        <v>610</v>
      </c>
    </row>
    <row r="16" spans="1:13">
      <c r="A16" s="5">
        <v>15</v>
      </c>
      <c r="B16" s="5">
        <v>0.45450000000000002</v>
      </c>
      <c r="C16" s="5">
        <v>0.72</v>
      </c>
      <c r="D16" s="5">
        <v>0.28360000000000002</v>
      </c>
      <c r="E16" s="5">
        <v>35</v>
      </c>
      <c r="F16" s="5">
        <v>71</v>
      </c>
      <c r="G16" s="5">
        <v>106</v>
      </c>
    </row>
    <row r="17" spans="1:7">
      <c r="A17" s="5">
        <v>16</v>
      </c>
      <c r="B17" s="5">
        <v>0.43940000000000001</v>
      </c>
      <c r="C17" s="5">
        <v>0.77</v>
      </c>
      <c r="D17" s="5">
        <v>0.29849999999999999</v>
      </c>
      <c r="E17" s="5">
        <v>40</v>
      </c>
      <c r="F17" s="41">
        <v>70</v>
      </c>
      <c r="G17" s="5">
        <v>110</v>
      </c>
    </row>
    <row r="18" spans="1:7">
      <c r="A18" s="5">
        <v>17</v>
      </c>
      <c r="B18" s="5">
        <v>0.42420000000000002</v>
      </c>
      <c r="C18" s="5">
        <v>0.82</v>
      </c>
      <c r="D18" s="5">
        <v>0.29849999999999999</v>
      </c>
      <c r="E18" s="5">
        <v>41</v>
      </c>
      <c r="F18" s="5">
        <v>52</v>
      </c>
      <c r="G18" s="5">
        <v>93</v>
      </c>
    </row>
    <row r="19" spans="1:7">
      <c r="A19" s="5">
        <v>18</v>
      </c>
      <c r="B19" s="41">
        <v>0</v>
      </c>
      <c r="C19" s="5">
        <v>0.82</v>
      </c>
      <c r="D19" s="5">
        <v>0.28360000000000002</v>
      </c>
      <c r="E19" s="5">
        <v>15</v>
      </c>
      <c r="F19" s="5">
        <v>52</v>
      </c>
      <c r="G19" s="5">
        <v>67</v>
      </c>
    </row>
    <row r="20" spans="1:7">
      <c r="A20" s="5">
        <v>19</v>
      </c>
      <c r="B20" s="5">
        <v>0.42420000000000002</v>
      </c>
      <c r="C20" s="5">
        <v>0.88</v>
      </c>
      <c r="D20" s="5">
        <v>0.25369999999999998</v>
      </c>
      <c r="E20" s="5">
        <v>9</v>
      </c>
      <c r="F20" s="5">
        <v>26</v>
      </c>
      <c r="G20" s="5">
        <v>35</v>
      </c>
    </row>
    <row r="21" spans="1:7">
      <c r="A21" s="5">
        <v>20</v>
      </c>
      <c r="B21" s="5">
        <v>0.42420000000000002</v>
      </c>
      <c r="C21" s="5">
        <v>0.88</v>
      </c>
      <c r="D21" s="5">
        <v>0.25369999999999998</v>
      </c>
      <c r="E21" s="5">
        <v>6</v>
      </c>
      <c r="F21" s="5">
        <v>31</v>
      </c>
      <c r="G21" s="5">
        <v>37</v>
      </c>
    </row>
    <row r="22" spans="1:7">
      <c r="A22" s="5">
        <v>21</v>
      </c>
      <c r="B22" s="5">
        <v>0.40910000000000002</v>
      </c>
      <c r="C22" s="5">
        <v>0.87</v>
      </c>
      <c r="D22" s="5">
        <v>0.25369999999999998</v>
      </c>
      <c r="E22" s="5">
        <v>11</v>
      </c>
      <c r="F22" s="5">
        <v>25</v>
      </c>
      <c r="G22" s="5">
        <v>36</v>
      </c>
    </row>
    <row r="23" spans="1:7">
      <c r="A23" s="5">
        <v>22</v>
      </c>
      <c r="B23" s="5">
        <v>0.40910000000000002</v>
      </c>
      <c r="C23" s="5">
        <v>0.87</v>
      </c>
      <c r="D23" s="5">
        <v>0.19400000000000001</v>
      </c>
      <c r="E23" s="5">
        <v>3</v>
      </c>
      <c r="F23" s="5">
        <v>31</v>
      </c>
      <c r="G23" s="5">
        <v>34</v>
      </c>
    </row>
    <row r="24" spans="1:7">
      <c r="A24" s="5">
        <v>23</v>
      </c>
      <c r="B24" s="5">
        <v>0.40910000000000002</v>
      </c>
      <c r="C24" s="5">
        <v>0.94</v>
      </c>
      <c r="D24" s="5">
        <v>0.22389999999999999</v>
      </c>
      <c r="E24" s="5">
        <v>11</v>
      </c>
      <c r="F24" s="5">
        <v>17</v>
      </c>
      <c r="G24" s="5">
        <v>28</v>
      </c>
    </row>
    <row r="25" spans="1:7">
      <c r="A25" s="5">
        <v>24</v>
      </c>
      <c r="B25" s="41">
        <v>0</v>
      </c>
      <c r="C25" s="5">
        <v>0.88</v>
      </c>
      <c r="D25" s="5">
        <v>0.29849999999999999</v>
      </c>
      <c r="E25" s="5">
        <v>15</v>
      </c>
      <c r="F25" s="5">
        <v>24</v>
      </c>
      <c r="G25" s="5">
        <v>39</v>
      </c>
    </row>
    <row r="26" spans="1:7">
      <c r="A26" s="5">
        <v>25</v>
      </c>
      <c r="B26" s="5">
        <v>0.45450000000000002</v>
      </c>
      <c r="C26" s="5">
        <v>0.88</v>
      </c>
      <c r="D26" s="5">
        <v>0.29849999999999999</v>
      </c>
      <c r="E26" s="5">
        <v>4</v>
      </c>
      <c r="F26" s="5">
        <v>13</v>
      </c>
      <c r="G26" s="5">
        <v>17</v>
      </c>
    </row>
    <row r="27" spans="1:7">
      <c r="A27" s="5">
        <v>26</v>
      </c>
      <c r="B27" s="5">
        <v>0.43940000000000001</v>
      </c>
      <c r="C27" s="5">
        <v>0.94</v>
      </c>
      <c r="D27" s="5">
        <v>0.25369999999999998</v>
      </c>
      <c r="E27" s="5">
        <v>1</v>
      </c>
      <c r="F27" s="5">
        <v>16</v>
      </c>
      <c r="G27" s="5">
        <v>17</v>
      </c>
    </row>
    <row r="28" spans="1:7">
      <c r="A28" s="5">
        <v>27</v>
      </c>
      <c r="B28" s="5">
        <v>0.42420000000000002</v>
      </c>
      <c r="C28" s="5">
        <v>1</v>
      </c>
      <c r="D28" s="5">
        <v>0.28360000000000002</v>
      </c>
      <c r="E28" s="5">
        <v>1</v>
      </c>
      <c r="F28" s="5">
        <v>8</v>
      </c>
      <c r="G28" s="5">
        <v>9</v>
      </c>
    </row>
    <row r="29" spans="1:7">
      <c r="A29" s="5">
        <v>28</v>
      </c>
      <c r="B29" s="5">
        <v>0.45450000000000002</v>
      </c>
      <c r="C29" s="5">
        <v>0.94</v>
      </c>
      <c r="D29" s="5">
        <v>0.19400000000000001</v>
      </c>
      <c r="E29" s="5">
        <v>2</v>
      </c>
      <c r="F29" s="5">
        <v>4</v>
      </c>
      <c r="G29" s="5">
        <v>6</v>
      </c>
    </row>
    <row r="30" spans="1:7">
      <c r="A30" s="5">
        <v>29</v>
      </c>
      <c r="B30" s="42">
        <v>0</v>
      </c>
      <c r="C30" s="5">
        <v>0.94</v>
      </c>
      <c r="D30" s="5">
        <v>0.19400000000000001</v>
      </c>
      <c r="E30" s="5">
        <v>2</v>
      </c>
      <c r="F30" s="5">
        <v>1</v>
      </c>
      <c r="G30" s="5">
        <v>3</v>
      </c>
    </row>
    <row r="31" spans="1:7">
      <c r="A31" s="5">
        <v>30</v>
      </c>
      <c r="B31" s="5">
        <v>0.42420000000000002</v>
      </c>
      <c r="C31" s="5">
        <v>0.77</v>
      </c>
      <c r="D31" s="5">
        <v>0.29849999999999999</v>
      </c>
      <c r="E31" s="5">
        <v>0</v>
      </c>
      <c r="F31" s="5">
        <v>2</v>
      </c>
      <c r="G31" s="5">
        <v>2</v>
      </c>
    </row>
    <row r="32" spans="1:7">
      <c r="A32" s="5">
        <v>31</v>
      </c>
      <c r="B32" s="5">
        <v>0.40910000000000002</v>
      </c>
      <c r="C32" s="5">
        <v>0.76</v>
      </c>
      <c r="D32" s="5">
        <v>0.19400000000000001</v>
      </c>
      <c r="E32" s="5">
        <v>0</v>
      </c>
      <c r="F32" s="5">
        <v>1</v>
      </c>
      <c r="G32" s="5">
        <v>1</v>
      </c>
    </row>
    <row r="33" spans="1:7">
      <c r="A33" s="5">
        <v>32</v>
      </c>
      <c r="B33" s="5">
        <v>0.40910000000000002</v>
      </c>
      <c r="C33" s="5">
        <v>0.71</v>
      </c>
      <c r="D33" s="5">
        <v>0.22389999999999999</v>
      </c>
      <c r="E33" s="5">
        <v>0</v>
      </c>
      <c r="F33" s="5">
        <v>8</v>
      </c>
      <c r="G33" s="5">
        <v>8</v>
      </c>
    </row>
    <row r="34" spans="1:7">
      <c r="A34" s="5">
        <v>33</v>
      </c>
      <c r="B34" s="42">
        <v>0</v>
      </c>
      <c r="C34" s="5">
        <v>0.76</v>
      </c>
      <c r="D34" s="5">
        <v>0.22389999999999999</v>
      </c>
      <c r="E34" s="5">
        <v>1</v>
      </c>
      <c r="F34" s="5">
        <v>19</v>
      </c>
      <c r="G34" s="5">
        <v>20</v>
      </c>
    </row>
    <row r="35" spans="1:7">
      <c r="A35" s="5">
        <v>34</v>
      </c>
      <c r="B35" s="5">
        <v>0.34849999999999998</v>
      </c>
      <c r="C35" s="5">
        <v>0.81</v>
      </c>
      <c r="D35" s="5">
        <v>0.22389999999999999</v>
      </c>
      <c r="E35" s="5">
        <v>7</v>
      </c>
      <c r="F35" s="5">
        <v>46</v>
      </c>
      <c r="G35" s="5">
        <v>53</v>
      </c>
    </row>
    <row r="36" spans="1:7">
      <c r="A36" s="5">
        <v>35</v>
      </c>
      <c r="B36" s="5">
        <v>0.33329999999999999</v>
      </c>
      <c r="C36" s="5">
        <v>0.71</v>
      </c>
      <c r="D36" s="5">
        <v>0.25369999999999998</v>
      </c>
      <c r="E36" s="5">
        <v>16</v>
      </c>
      <c r="F36" s="5">
        <v>54</v>
      </c>
      <c r="G36" s="5">
        <v>70</v>
      </c>
    </row>
    <row r="37" spans="1:7">
      <c r="A37" s="5">
        <v>36</v>
      </c>
      <c r="B37" s="5">
        <v>0.33329999999999999</v>
      </c>
      <c r="C37" s="5">
        <v>0.66</v>
      </c>
      <c r="D37" s="5">
        <v>0.29849999999999999</v>
      </c>
      <c r="E37" s="5">
        <v>20</v>
      </c>
      <c r="F37" s="5">
        <v>73</v>
      </c>
      <c r="G37" s="5">
        <v>93</v>
      </c>
    </row>
    <row r="38" spans="1:7">
      <c r="A38" s="5">
        <v>37</v>
      </c>
      <c r="B38" s="5">
        <v>0.34849999999999998</v>
      </c>
      <c r="C38" s="5">
        <v>0.66</v>
      </c>
      <c r="D38" s="5">
        <v>0.1343</v>
      </c>
      <c r="E38" s="5">
        <v>11</v>
      </c>
      <c r="F38" s="5">
        <v>64</v>
      </c>
      <c r="G38" s="5">
        <v>75</v>
      </c>
    </row>
    <row r="39" spans="1:7">
      <c r="A39" s="5">
        <v>38</v>
      </c>
      <c r="B39" s="41">
        <v>0</v>
      </c>
      <c r="C39" s="5">
        <v>0.76</v>
      </c>
      <c r="D39" s="5">
        <v>0.19400000000000001</v>
      </c>
      <c r="E39" s="5">
        <v>4</v>
      </c>
      <c r="F39" s="5">
        <v>55</v>
      </c>
      <c r="G39" s="5">
        <v>59</v>
      </c>
    </row>
    <row r="40" spans="1:7">
      <c r="A40" s="5">
        <v>39</v>
      </c>
      <c r="B40" s="5">
        <v>0.33329999999999999</v>
      </c>
      <c r="C40" s="5">
        <v>0.81</v>
      </c>
      <c r="D40" s="5">
        <v>0.16420000000000001</v>
      </c>
      <c r="E40" s="5">
        <v>19</v>
      </c>
      <c r="F40" s="5">
        <v>55</v>
      </c>
      <c r="G40" s="5">
        <v>74</v>
      </c>
    </row>
    <row r="41" spans="1:7">
      <c r="A41" s="5">
        <v>40</v>
      </c>
      <c r="B41" s="5">
        <v>0.33329999999999999</v>
      </c>
      <c r="C41" s="5">
        <v>0.71</v>
      </c>
      <c r="D41" s="5">
        <v>0.16420000000000001</v>
      </c>
      <c r="E41" s="5">
        <v>9</v>
      </c>
      <c r="F41" s="5">
        <v>67</v>
      </c>
      <c r="G41" s="5">
        <v>76</v>
      </c>
    </row>
    <row r="42" spans="1:7">
      <c r="A42" s="5">
        <v>41</v>
      </c>
      <c r="B42" s="5">
        <v>0.33329999999999999</v>
      </c>
      <c r="C42" s="5">
        <v>0.56999999999999995</v>
      </c>
      <c r="D42" s="5">
        <v>0.19400000000000001</v>
      </c>
      <c r="E42" s="5">
        <v>7</v>
      </c>
      <c r="F42" s="5">
        <v>58</v>
      </c>
      <c r="G42" s="5">
        <v>65</v>
      </c>
    </row>
    <row r="43" spans="1:7">
      <c r="A43" s="5">
        <v>42</v>
      </c>
      <c r="B43" s="5">
        <v>0.33329999999999999</v>
      </c>
      <c r="C43" s="5">
        <v>0.46</v>
      </c>
      <c r="D43" s="5">
        <v>0.32840000000000003</v>
      </c>
      <c r="E43" s="5">
        <v>10</v>
      </c>
      <c r="F43" s="5">
        <v>43</v>
      </c>
      <c r="G43" s="5">
        <v>53</v>
      </c>
    </row>
    <row r="44" spans="1:7">
      <c r="A44" s="5">
        <v>43</v>
      </c>
      <c r="B44" s="5">
        <v>0.28789999999999999</v>
      </c>
      <c r="C44" s="5">
        <v>0.42</v>
      </c>
      <c r="D44" s="5">
        <v>0.44779999999999998</v>
      </c>
      <c r="E44" s="5">
        <v>1</v>
      </c>
      <c r="F44" s="5">
        <v>29</v>
      </c>
      <c r="G44" s="5">
        <v>30</v>
      </c>
    </row>
    <row r="45" spans="1:7">
      <c r="A45" s="5">
        <v>44</v>
      </c>
      <c r="B45" s="41">
        <v>0</v>
      </c>
      <c r="C45" s="5">
        <v>0.39</v>
      </c>
      <c r="D45" s="5">
        <v>0.35820000000000002</v>
      </c>
      <c r="E45" s="5">
        <v>5</v>
      </c>
      <c r="F45" s="5">
        <v>17</v>
      </c>
      <c r="G45" s="5">
        <v>22</v>
      </c>
    </row>
    <row r="46" spans="1:7">
      <c r="A46" s="5">
        <v>45</v>
      </c>
      <c r="B46" s="5">
        <v>0.2273</v>
      </c>
      <c r="C46" s="5">
        <v>0.44</v>
      </c>
      <c r="D46" s="5">
        <v>0.32840000000000003</v>
      </c>
      <c r="E46" s="5">
        <v>11</v>
      </c>
      <c r="F46" s="5">
        <v>20</v>
      </c>
      <c r="G46" s="5">
        <v>31</v>
      </c>
    </row>
    <row r="47" spans="1:7">
      <c r="A47" s="5">
        <v>46</v>
      </c>
      <c r="B47" s="5">
        <v>0.21210000000000001</v>
      </c>
      <c r="C47" s="5">
        <v>0.44</v>
      </c>
      <c r="D47" s="5">
        <v>0.29849999999999999</v>
      </c>
      <c r="E47" s="5">
        <v>0</v>
      </c>
      <c r="F47" s="5">
        <v>9</v>
      </c>
      <c r="G47" s="5">
        <v>9</v>
      </c>
    </row>
    <row r="48" spans="1:7">
      <c r="A48" s="5">
        <v>47</v>
      </c>
      <c r="B48" s="5">
        <v>0.2273</v>
      </c>
      <c r="C48" s="5">
        <v>0.47</v>
      </c>
      <c r="D48" s="5">
        <v>0.16420000000000001</v>
      </c>
      <c r="E48" s="5">
        <v>0</v>
      </c>
      <c r="F48" s="5">
        <v>8</v>
      </c>
      <c r="G48" s="5">
        <v>8</v>
      </c>
    </row>
    <row r="49" spans="1:7">
      <c r="A49" s="5">
        <v>48</v>
      </c>
      <c r="B49" s="5">
        <v>0.19700000000000001</v>
      </c>
      <c r="C49" s="5">
        <v>0.44</v>
      </c>
      <c r="D49" s="5">
        <v>0.35820000000000002</v>
      </c>
      <c r="E49" s="5">
        <v>0</v>
      </c>
      <c r="F49" s="5">
        <v>5</v>
      </c>
      <c r="G49" s="5">
        <v>5</v>
      </c>
    </row>
    <row r="50" spans="1:7">
      <c r="A50" s="5">
        <v>49</v>
      </c>
      <c r="B50" s="42">
        <v>0</v>
      </c>
      <c r="C50" s="5">
        <v>0.44</v>
      </c>
      <c r="D50" s="5">
        <v>0.41789999999999999</v>
      </c>
      <c r="E50" s="5">
        <v>0</v>
      </c>
      <c r="F50" s="5">
        <v>2</v>
      </c>
      <c r="G50" s="5">
        <v>2</v>
      </c>
    </row>
    <row r="51" spans="1:7">
      <c r="A51" s="5">
        <v>50</v>
      </c>
      <c r="B51" s="5">
        <v>0.13639999999999999</v>
      </c>
      <c r="C51" s="5">
        <v>0.47</v>
      </c>
      <c r="D51" s="5">
        <v>0.3881</v>
      </c>
      <c r="E51" s="5">
        <v>0</v>
      </c>
      <c r="F51" s="5">
        <v>1</v>
      </c>
      <c r="G51" s="5">
        <v>1</v>
      </c>
    </row>
    <row r="52" spans="1:7">
      <c r="A52" s="5">
        <v>51</v>
      </c>
      <c r="B52" s="5">
        <v>0.13639999999999999</v>
      </c>
      <c r="C52" s="5">
        <v>0.47</v>
      </c>
      <c r="D52" s="5">
        <v>0.28360000000000002</v>
      </c>
      <c r="E52" s="5">
        <v>0</v>
      </c>
      <c r="F52" s="5">
        <v>3</v>
      </c>
      <c r="G52" s="5">
        <v>3</v>
      </c>
    </row>
    <row r="53" spans="1:7">
      <c r="A53" s="5">
        <v>52</v>
      </c>
      <c r="B53" s="5">
        <v>0.1061</v>
      </c>
      <c r="C53" s="5">
        <v>0.5</v>
      </c>
      <c r="D53" s="5">
        <v>0.3881</v>
      </c>
      <c r="E53" s="5">
        <v>0</v>
      </c>
      <c r="F53" s="5">
        <v>30</v>
      </c>
      <c r="G53" s="5">
        <v>30</v>
      </c>
    </row>
    <row r="54" spans="1:7">
      <c r="A54" s="5">
        <v>53</v>
      </c>
      <c r="B54" s="5">
        <v>0.13639999999999999</v>
      </c>
      <c r="C54" s="5">
        <v>0.5</v>
      </c>
      <c r="D54" s="5">
        <v>0.19400000000000001</v>
      </c>
      <c r="E54" s="5">
        <v>1</v>
      </c>
      <c r="F54" s="5">
        <v>63</v>
      </c>
      <c r="G54" s="5">
        <v>64</v>
      </c>
    </row>
    <row r="55" spans="1:7">
      <c r="A55" s="5">
        <v>54</v>
      </c>
      <c r="B55" s="5">
        <v>0.1212</v>
      </c>
      <c r="C55" s="5">
        <v>0.5</v>
      </c>
      <c r="D55" s="5">
        <v>0.28360000000000002</v>
      </c>
      <c r="E55" s="5">
        <v>1</v>
      </c>
      <c r="F55" s="5">
        <v>153</v>
      </c>
      <c r="G55" s="5">
        <v>154</v>
      </c>
    </row>
    <row r="56" spans="1:7">
      <c r="A56" s="5">
        <v>55</v>
      </c>
      <c r="B56" s="5">
        <v>0.13639999999999999</v>
      </c>
      <c r="C56" s="5">
        <v>0.43</v>
      </c>
      <c r="D56" s="5">
        <v>0.3881</v>
      </c>
      <c r="E56" s="5">
        <v>7</v>
      </c>
      <c r="F56" s="5">
        <v>81</v>
      </c>
      <c r="G56" s="5">
        <v>88</v>
      </c>
    </row>
    <row r="57" spans="1:7">
      <c r="A57" s="5">
        <v>56</v>
      </c>
      <c r="B57" s="5">
        <v>0.16669999999999999</v>
      </c>
      <c r="C57" s="5">
        <v>0.43</v>
      </c>
      <c r="D57" s="5">
        <v>0.25369999999999998</v>
      </c>
      <c r="E57" s="5">
        <v>11</v>
      </c>
      <c r="F57" s="5">
        <v>33</v>
      </c>
      <c r="G57" s="5">
        <v>44</v>
      </c>
    </row>
    <row r="58" spans="1:7">
      <c r="A58" s="5">
        <v>57</v>
      </c>
      <c r="B58" s="5">
        <v>0.18179999999999999</v>
      </c>
      <c r="C58" s="5">
        <v>0.4</v>
      </c>
      <c r="D58" s="5">
        <v>0.32840000000000003</v>
      </c>
      <c r="E58" s="5">
        <v>10</v>
      </c>
      <c r="F58" s="5">
        <v>41</v>
      </c>
      <c r="G58" s="5">
        <v>51</v>
      </c>
    </row>
    <row r="59" spans="1:7">
      <c r="A59" s="5">
        <v>58</v>
      </c>
      <c r="B59" s="5">
        <v>0.21210000000000001</v>
      </c>
      <c r="C59" s="5">
        <v>0.35</v>
      </c>
      <c r="D59" s="5">
        <v>0.29849999999999999</v>
      </c>
      <c r="E59" s="5">
        <v>13</v>
      </c>
      <c r="F59" s="5">
        <v>48</v>
      </c>
      <c r="G59" s="5">
        <v>61</v>
      </c>
    </row>
    <row r="60" spans="1:7">
      <c r="A60" s="5">
        <v>59</v>
      </c>
      <c r="B60" s="42">
        <v>0</v>
      </c>
      <c r="C60" s="5">
        <v>0.35</v>
      </c>
      <c r="D60" s="5">
        <v>0.28360000000000002</v>
      </c>
      <c r="E60" s="5">
        <v>8</v>
      </c>
      <c r="F60" s="5">
        <v>53</v>
      </c>
      <c r="G60" s="5">
        <v>61</v>
      </c>
    </row>
    <row r="61" spans="1:7">
      <c r="A61" s="5">
        <v>60</v>
      </c>
      <c r="B61" s="5">
        <v>0.2424</v>
      </c>
      <c r="C61" s="5">
        <v>0.3</v>
      </c>
      <c r="D61" s="5">
        <v>0.28360000000000002</v>
      </c>
      <c r="E61" s="5">
        <v>11</v>
      </c>
      <c r="F61" s="5">
        <v>66</v>
      </c>
      <c r="G61" s="5">
        <v>77</v>
      </c>
    </row>
    <row r="62" spans="1:7">
      <c r="A62" s="5">
        <v>61</v>
      </c>
      <c r="B62" s="5">
        <v>0.2424</v>
      </c>
      <c r="C62" s="5">
        <v>0.3</v>
      </c>
      <c r="D62" s="5">
        <v>0.25369999999999998</v>
      </c>
      <c r="E62" s="5">
        <v>14</v>
      </c>
      <c r="F62" s="5">
        <v>58</v>
      </c>
      <c r="G62" s="5">
        <v>72</v>
      </c>
    </row>
    <row r="63" spans="1:7">
      <c r="A63" s="5">
        <v>62</v>
      </c>
      <c r="B63" s="5">
        <v>0.2424</v>
      </c>
      <c r="C63" s="5">
        <v>0.3</v>
      </c>
      <c r="D63" s="5">
        <v>0.25369999999999998</v>
      </c>
      <c r="E63" s="5">
        <v>9</v>
      </c>
      <c r="F63" s="5">
        <v>67</v>
      </c>
      <c r="G63" s="5">
        <v>76</v>
      </c>
    </row>
    <row r="64" spans="1:7">
      <c r="A64" s="5">
        <v>63</v>
      </c>
      <c r="B64" s="5">
        <v>0.2273</v>
      </c>
      <c r="C64" s="5">
        <v>0.3</v>
      </c>
      <c r="D64" s="5">
        <v>0.22389999999999999</v>
      </c>
      <c r="E64" s="5">
        <v>11</v>
      </c>
      <c r="F64" s="5">
        <v>146</v>
      </c>
      <c r="G64" s="5">
        <v>157</v>
      </c>
    </row>
    <row r="65" spans="1:7">
      <c r="A65" s="5">
        <v>64</v>
      </c>
      <c r="B65" s="5">
        <v>0.2576</v>
      </c>
      <c r="C65" s="5">
        <v>0.32</v>
      </c>
      <c r="D65" s="5">
        <v>0.1045</v>
      </c>
      <c r="E65" s="5">
        <v>9</v>
      </c>
      <c r="F65" s="5">
        <v>148</v>
      </c>
      <c r="G65" s="5">
        <v>157</v>
      </c>
    </row>
    <row r="66" spans="1:7">
      <c r="A66" s="5">
        <v>65</v>
      </c>
      <c r="B66" s="5">
        <v>0.2576</v>
      </c>
      <c r="C66" s="5">
        <v>0.47</v>
      </c>
      <c r="D66" s="5">
        <v>0</v>
      </c>
      <c r="E66" s="5">
        <v>8</v>
      </c>
      <c r="F66" s="5">
        <v>102</v>
      </c>
      <c r="G66" s="5">
        <v>110</v>
      </c>
    </row>
    <row r="67" spans="1:7">
      <c r="A67" s="5">
        <v>66</v>
      </c>
      <c r="B67" s="41">
        <v>0</v>
      </c>
      <c r="C67" s="5">
        <v>0.47</v>
      </c>
      <c r="D67" s="5">
        <v>0.1045</v>
      </c>
      <c r="E67" s="5">
        <v>3</v>
      </c>
      <c r="F67" s="5">
        <v>49</v>
      </c>
      <c r="G67" s="5">
        <v>52</v>
      </c>
    </row>
    <row r="68" spans="1:7">
      <c r="A68" s="5">
        <v>67</v>
      </c>
      <c r="B68" s="5">
        <v>0.19700000000000001</v>
      </c>
      <c r="C68" s="5">
        <v>0.64</v>
      </c>
      <c r="D68" s="5">
        <v>0.1343</v>
      </c>
      <c r="E68" s="5">
        <v>3</v>
      </c>
      <c r="F68" s="5">
        <v>49</v>
      </c>
      <c r="G68" s="5">
        <v>52</v>
      </c>
    </row>
    <row r="69" spans="1:7">
      <c r="A69" s="5">
        <v>68</v>
      </c>
      <c r="B69" s="5">
        <v>0.1515</v>
      </c>
      <c r="C69" s="5">
        <v>0.69</v>
      </c>
      <c r="D69" s="5">
        <v>0.1343</v>
      </c>
      <c r="E69" s="5">
        <v>0</v>
      </c>
      <c r="F69" s="5">
        <v>20</v>
      </c>
      <c r="G69" s="5">
        <v>20</v>
      </c>
    </row>
    <row r="70" spans="1:7">
      <c r="A70" s="5">
        <v>69</v>
      </c>
      <c r="B70" s="5">
        <v>0.21210000000000001</v>
      </c>
      <c r="C70" s="5">
        <v>0.55000000000000004</v>
      </c>
      <c r="D70" s="5">
        <v>0.1045</v>
      </c>
      <c r="E70" s="5">
        <v>1</v>
      </c>
      <c r="F70" s="5">
        <v>11</v>
      </c>
      <c r="G70" s="5">
        <v>12</v>
      </c>
    </row>
    <row r="71" spans="1:7">
      <c r="A71" s="5">
        <v>70</v>
      </c>
      <c r="B71" s="41">
        <v>0</v>
      </c>
      <c r="C71" s="5">
        <v>0.55000000000000004</v>
      </c>
      <c r="D71" s="5">
        <v>0.1045</v>
      </c>
      <c r="E71" s="5">
        <v>0</v>
      </c>
      <c r="F71" s="5">
        <v>5</v>
      </c>
      <c r="G71" s="5">
        <v>5</v>
      </c>
    </row>
    <row r="72" spans="1:7">
      <c r="A72" s="5">
        <v>71</v>
      </c>
      <c r="B72" s="5">
        <v>0.18179999999999999</v>
      </c>
      <c r="C72" s="5">
        <v>0.59</v>
      </c>
      <c r="D72" s="5">
        <v>0.1045</v>
      </c>
      <c r="E72" s="5">
        <v>0</v>
      </c>
      <c r="F72" s="5">
        <v>2</v>
      </c>
      <c r="G72" s="5">
        <v>2</v>
      </c>
    </row>
    <row r="73" spans="1:7">
      <c r="A73" s="5">
        <v>72</v>
      </c>
      <c r="B73" s="5">
        <v>0.1515</v>
      </c>
      <c r="C73" s="5">
        <v>0.63</v>
      </c>
      <c r="D73" s="5">
        <v>0.1343</v>
      </c>
      <c r="E73" s="5">
        <v>0</v>
      </c>
      <c r="F73" s="5">
        <v>1</v>
      </c>
      <c r="G73" s="5">
        <v>1</v>
      </c>
    </row>
    <row r="74" spans="1:7">
      <c r="A74" s="5">
        <v>73</v>
      </c>
      <c r="B74" s="5">
        <v>0.18179999999999999</v>
      </c>
      <c r="C74" s="5">
        <v>0.63</v>
      </c>
      <c r="D74" s="5">
        <v>8.9599999999999999E-2</v>
      </c>
      <c r="E74" s="5">
        <v>0</v>
      </c>
      <c r="F74" s="5">
        <v>2</v>
      </c>
      <c r="G74" s="5">
        <v>2</v>
      </c>
    </row>
    <row r="75" spans="1:7">
      <c r="A75" s="5">
        <v>74</v>
      </c>
      <c r="B75" s="5">
        <v>0.1515</v>
      </c>
      <c r="C75" s="5">
        <v>0.68</v>
      </c>
      <c r="D75" s="5">
        <v>0.1045</v>
      </c>
      <c r="E75" s="5">
        <v>0</v>
      </c>
      <c r="F75" s="5">
        <v>4</v>
      </c>
      <c r="G75" s="5">
        <v>4</v>
      </c>
    </row>
    <row r="76" spans="1:7">
      <c r="A76" s="5">
        <v>75</v>
      </c>
      <c r="B76" s="5">
        <v>0.1515</v>
      </c>
      <c r="C76" s="5">
        <v>0.74</v>
      </c>
      <c r="D76" s="5">
        <v>0.1045</v>
      </c>
      <c r="E76" s="5">
        <v>0</v>
      </c>
      <c r="F76" s="5">
        <v>36</v>
      </c>
      <c r="G76" s="5">
        <v>36</v>
      </c>
    </row>
    <row r="77" spans="1:7">
      <c r="A77" s="5">
        <v>76</v>
      </c>
      <c r="B77" s="5">
        <v>0.1515</v>
      </c>
      <c r="C77" s="5">
        <v>0.74</v>
      </c>
      <c r="D77" s="5">
        <v>0.1343</v>
      </c>
      <c r="E77" s="5">
        <v>2</v>
      </c>
      <c r="F77" s="5">
        <v>92</v>
      </c>
      <c r="G77" s="5">
        <v>94</v>
      </c>
    </row>
    <row r="78" spans="1:7">
      <c r="A78" s="5">
        <v>77</v>
      </c>
      <c r="B78" s="5">
        <v>0.1515</v>
      </c>
      <c r="C78" s="5">
        <v>0.69</v>
      </c>
      <c r="D78" s="5">
        <v>0.16420000000000001</v>
      </c>
      <c r="E78" s="5">
        <v>2</v>
      </c>
      <c r="F78" s="5">
        <v>177</v>
      </c>
      <c r="G78" s="5">
        <v>179</v>
      </c>
    </row>
    <row r="79" spans="1:7">
      <c r="A79" s="5">
        <v>78</v>
      </c>
      <c r="B79" s="5">
        <v>0.1515</v>
      </c>
      <c r="C79" s="5">
        <v>0.64</v>
      </c>
      <c r="D79" s="5">
        <v>0.22389999999999999</v>
      </c>
      <c r="E79" s="5">
        <v>2</v>
      </c>
      <c r="F79" s="5">
        <v>98</v>
      </c>
      <c r="G79" s="5">
        <v>100</v>
      </c>
    </row>
    <row r="80" spans="1:7">
      <c r="A80" s="5">
        <v>79</v>
      </c>
      <c r="B80" s="5">
        <v>0.13639999999999999</v>
      </c>
      <c r="C80" s="5">
        <v>0.69</v>
      </c>
      <c r="D80" s="5">
        <v>0.32840000000000003</v>
      </c>
      <c r="E80" s="5">
        <v>5</v>
      </c>
      <c r="F80" s="5">
        <v>37</v>
      </c>
      <c r="G80" s="5">
        <v>42</v>
      </c>
    </row>
    <row r="81" spans="1:7">
      <c r="A81" s="5">
        <v>80</v>
      </c>
      <c r="B81" s="5">
        <v>0.21210000000000001</v>
      </c>
      <c r="C81" s="5">
        <v>0.51</v>
      </c>
      <c r="D81" s="5">
        <v>0.29849999999999999</v>
      </c>
      <c r="E81" s="5">
        <v>7</v>
      </c>
      <c r="F81" s="5">
        <v>50</v>
      </c>
      <c r="G81" s="5">
        <v>57</v>
      </c>
    </row>
    <row r="82" spans="1:7">
      <c r="A82" s="5">
        <v>81</v>
      </c>
      <c r="B82" s="5">
        <v>0.2273</v>
      </c>
      <c r="C82" s="5">
        <v>0.51</v>
      </c>
      <c r="D82" s="5">
        <v>0.16420000000000001</v>
      </c>
      <c r="E82" s="5">
        <v>12</v>
      </c>
      <c r="F82" s="5">
        <v>66</v>
      </c>
      <c r="G82" s="5">
        <v>78</v>
      </c>
    </row>
    <row r="83" spans="1:7">
      <c r="A83" s="5">
        <v>82</v>
      </c>
      <c r="B83" s="5">
        <v>0.2273</v>
      </c>
      <c r="C83" s="5">
        <v>0.56000000000000005</v>
      </c>
      <c r="D83" s="5">
        <v>0.19400000000000001</v>
      </c>
      <c r="E83" s="5">
        <v>18</v>
      </c>
      <c r="F83" s="5">
        <v>79</v>
      </c>
      <c r="G83" s="5">
        <v>97</v>
      </c>
    </row>
    <row r="84" spans="1:7">
      <c r="A84" s="5">
        <v>83</v>
      </c>
      <c r="B84" s="5">
        <v>0.2576</v>
      </c>
      <c r="C84" s="5">
        <v>0.52</v>
      </c>
      <c r="D84" s="5">
        <v>0.22389999999999999</v>
      </c>
      <c r="E84" s="5">
        <v>9</v>
      </c>
      <c r="F84" s="5">
        <v>54</v>
      </c>
      <c r="G84" s="5">
        <v>63</v>
      </c>
    </row>
    <row r="85" spans="1:7">
      <c r="A85" s="5">
        <v>84</v>
      </c>
      <c r="B85" s="5">
        <v>0.2727</v>
      </c>
      <c r="C85" s="5">
        <v>0.52</v>
      </c>
      <c r="D85" s="5">
        <v>0.25369999999999998</v>
      </c>
      <c r="E85" s="5">
        <v>17</v>
      </c>
      <c r="F85" s="5">
        <v>48</v>
      </c>
      <c r="G85" s="5">
        <v>65</v>
      </c>
    </row>
    <row r="86" spans="1:7">
      <c r="A86" s="5">
        <v>85</v>
      </c>
      <c r="B86" s="5">
        <v>0.28789999999999999</v>
      </c>
      <c r="C86" s="5">
        <v>0.49</v>
      </c>
      <c r="D86" s="5">
        <v>0.25369999999999998</v>
      </c>
      <c r="E86" s="5">
        <v>15</v>
      </c>
      <c r="F86" s="5">
        <v>68</v>
      </c>
      <c r="G86" s="5">
        <v>83</v>
      </c>
    </row>
    <row r="87" spans="1:7">
      <c r="A87" s="5">
        <v>86</v>
      </c>
      <c r="B87" s="5">
        <v>0.2727</v>
      </c>
      <c r="C87" s="5">
        <v>0.48</v>
      </c>
      <c r="D87" s="5">
        <v>0.22389999999999999</v>
      </c>
      <c r="E87" s="5">
        <v>10</v>
      </c>
      <c r="F87" s="5">
        <v>202</v>
      </c>
      <c r="G87" s="5">
        <v>212</v>
      </c>
    </row>
    <row r="88" spans="1:7">
      <c r="A88" s="5">
        <v>87</v>
      </c>
      <c r="B88" s="5">
        <v>0.2576</v>
      </c>
      <c r="C88" s="5">
        <v>0.48</v>
      </c>
      <c r="D88" s="5">
        <v>0.19400000000000001</v>
      </c>
      <c r="E88" s="5">
        <v>3</v>
      </c>
      <c r="F88" s="5">
        <v>179</v>
      </c>
      <c r="G88" s="5">
        <v>182</v>
      </c>
    </row>
    <row r="89" spans="1:7">
      <c r="A89" s="5">
        <v>88</v>
      </c>
      <c r="B89" s="5">
        <v>0.2576</v>
      </c>
      <c r="C89" s="5">
        <v>0.48</v>
      </c>
      <c r="D89" s="5">
        <v>0.1045</v>
      </c>
      <c r="E89" s="5">
        <v>2</v>
      </c>
      <c r="F89" s="5">
        <v>110</v>
      </c>
      <c r="G89" s="5">
        <v>112</v>
      </c>
    </row>
    <row r="90" spans="1:7">
      <c r="A90" s="5">
        <v>89</v>
      </c>
      <c r="B90" s="5">
        <v>0.2576</v>
      </c>
      <c r="C90" s="5">
        <v>0.48</v>
      </c>
      <c r="D90" s="5">
        <v>0.1045</v>
      </c>
      <c r="E90" s="5">
        <v>1</v>
      </c>
      <c r="F90" s="5">
        <v>53</v>
      </c>
      <c r="G90" s="5">
        <v>54</v>
      </c>
    </row>
    <row r="91" spans="1:7">
      <c r="A91" s="5">
        <v>90</v>
      </c>
      <c r="B91" s="5">
        <v>0.2727</v>
      </c>
      <c r="C91" s="5">
        <v>0.64</v>
      </c>
      <c r="D91" s="5">
        <v>0</v>
      </c>
      <c r="E91" s="5">
        <v>0</v>
      </c>
      <c r="F91" s="5">
        <v>48</v>
      </c>
      <c r="G91" s="5">
        <v>48</v>
      </c>
    </row>
    <row r="92" spans="1:7">
      <c r="A92" s="5">
        <v>91</v>
      </c>
      <c r="B92" s="5">
        <v>0.2576</v>
      </c>
      <c r="C92" s="5">
        <v>0.64</v>
      </c>
      <c r="D92" s="5">
        <v>8.9599999999999999E-2</v>
      </c>
      <c r="E92" s="5">
        <v>1</v>
      </c>
      <c r="F92" s="5">
        <v>34</v>
      </c>
      <c r="G92" s="5">
        <v>35</v>
      </c>
    </row>
    <row r="93" spans="1:7">
      <c r="A93" s="5">
        <v>92</v>
      </c>
      <c r="B93" s="5">
        <v>0.2273</v>
      </c>
      <c r="C93" s="5">
        <v>0.69</v>
      </c>
      <c r="D93" s="5">
        <v>8.9599999999999999E-2</v>
      </c>
      <c r="E93" s="5">
        <v>2</v>
      </c>
      <c r="F93" s="5">
        <v>9</v>
      </c>
      <c r="G93" s="5">
        <v>11</v>
      </c>
    </row>
    <row r="94" spans="1:7">
      <c r="A94" s="5">
        <v>93</v>
      </c>
      <c r="B94" s="5">
        <v>0.2576</v>
      </c>
      <c r="C94" s="5">
        <v>0.64</v>
      </c>
      <c r="D94" s="5">
        <v>0</v>
      </c>
      <c r="E94" s="5">
        <v>0</v>
      </c>
      <c r="F94" s="5">
        <v>6</v>
      </c>
      <c r="G94" s="5">
        <v>6</v>
      </c>
    </row>
    <row r="95" spans="1:7">
      <c r="A95" s="5">
        <v>94</v>
      </c>
      <c r="B95" s="5">
        <v>0.19700000000000001</v>
      </c>
      <c r="C95" s="5">
        <v>0.74</v>
      </c>
      <c r="D95" s="5">
        <v>8.9599999999999999E-2</v>
      </c>
      <c r="E95" s="5">
        <v>0</v>
      </c>
      <c r="F95" s="5">
        <v>6</v>
      </c>
      <c r="G95" s="5">
        <v>6</v>
      </c>
    </row>
    <row r="96" spans="1:7">
      <c r="A96" s="5">
        <v>95</v>
      </c>
      <c r="B96" s="5">
        <v>0.19700000000000001</v>
      </c>
      <c r="C96" s="5">
        <v>0.74</v>
      </c>
      <c r="D96" s="5">
        <v>8.9599999999999999E-2</v>
      </c>
      <c r="E96" s="5">
        <v>0</v>
      </c>
      <c r="F96" s="5">
        <v>2</v>
      </c>
      <c r="G96" s="5">
        <v>2</v>
      </c>
    </row>
    <row r="97" spans="1:7">
      <c r="A97" s="5">
        <v>96</v>
      </c>
      <c r="B97" s="5">
        <v>0.2273</v>
      </c>
      <c r="C97" s="5">
        <v>0.48</v>
      </c>
      <c r="D97" s="5">
        <v>0.22389999999999999</v>
      </c>
      <c r="E97" s="5">
        <v>0</v>
      </c>
      <c r="F97" s="5">
        <v>2</v>
      </c>
      <c r="G97" s="5">
        <v>2</v>
      </c>
    </row>
    <row r="98" spans="1:7">
      <c r="A98" s="5">
        <v>97</v>
      </c>
      <c r="B98" s="5">
        <v>0.2273</v>
      </c>
      <c r="C98" s="5">
        <v>0.47</v>
      </c>
      <c r="D98" s="5">
        <v>0.16420000000000001</v>
      </c>
      <c r="E98" s="5">
        <v>0</v>
      </c>
      <c r="F98" s="5">
        <v>3</v>
      </c>
      <c r="G98" s="5">
        <v>3</v>
      </c>
    </row>
    <row r="99" spans="1:7">
      <c r="A99" s="5">
        <v>98</v>
      </c>
      <c r="B99" s="5">
        <v>0.19700000000000001</v>
      </c>
      <c r="C99" s="5">
        <v>0.47</v>
      </c>
      <c r="D99" s="5">
        <v>0.22389999999999999</v>
      </c>
      <c r="E99" s="5">
        <v>0</v>
      </c>
      <c r="F99" s="5">
        <v>33</v>
      </c>
      <c r="G99" s="5">
        <v>33</v>
      </c>
    </row>
    <row r="100" spans="1:7">
      <c r="A100" s="5">
        <v>99</v>
      </c>
      <c r="B100" s="5">
        <v>0.18179999999999999</v>
      </c>
      <c r="C100" s="5">
        <v>0.43</v>
      </c>
      <c r="D100" s="5">
        <v>0.19400000000000001</v>
      </c>
      <c r="E100" s="5">
        <v>1</v>
      </c>
      <c r="F100" s="5">
        <v>87</v>
      </c>
      <c r="G100" s="5">
        <v>88</v>
      </c>
    </row>
    <row r="101" spans="1:7">
      <c r="A101" s="5">
        <v>100</v>
      </c>
      <c r="B101" s="5">
        <v>0.18179999999999999</v>
      </c>
      <c r="C101" s="5">
        <v>0.4</v>
      </c>
      <c r="D101" s="5">
        <v>0.29849999999999999</v>
      </c>
      <c r="E101" s="5">
        <v>3</v>
      </c>
      <c r="F101" s="5">
        <v>192</v>
      </c>
      <c r="G101" s="5">
        <v>195</v>
      </c>
    </row>
    <row r="102" spans="1:7">
      <c r="A102" s="5">
        <v>101</v>
      </c>
      <c r="B102" s="5">
        <v>0.19700000000000001</v>
      </c>
      <c r="C102" s="5">
        <v>0.37</v>
      </c>
      <c r="D102" s="5">
        <v>0.32840000000000003</v>
      </c>
      <c r="E102" s="5">
        <v>6</v>
      </c>
      <c r="F102" s="5">
        <v>109</v>
      </c>
      <c r="G102" s="5">
        <v>115</v>
      </c>
    </row>
    <row r="103" spans="1:7">
      <c r="A103" s="5">
        <v>102</v>
      </c>
      <c r="B103" s="5">
        <v>0.19700000000000001</v>
      </c>
      <c r="C103" s="5">
        <v>0.37</v>
      </c>
      <c r="D103" s="5">
        <v>0.32840000000000003</v>
      </c>
      <c r="E103" s="5">
        <v>4</v>
      </c>
      <c r="F103" s="5">
        <v>53</v>
      </c>
      <c r="G103" s="5">
        <v>57</v>
      </c>
    </row>
    <row r="104" spans="1:7">
      <c r="A104" s="5">
        <v>103</v>
      </c>
      <c r="B104" s="5">
        <v>0.2273</v>
      </c>
      <c r="C104" s="5">
        <v>0.33</v>
      </c>
      <c r="D104" s="5">
        <v>0.32840000000000003</v>
      </c>
      <c r="E104" s="5">
        <v>12</v>
      </c>
      <c r="F104" s="5">
        <v>34</v>
      </c>
      <c r="G104" s="5">
        <v>46</v>
      </c>
    </row>
    <row r="105" spans="1:7">
      <c r="A105" s="5">
        <v>104</v>
      </c>
      <c r="B105" s="5">
        <v>0.2273</v>
      </c>
      <c r="C105" s="5">
        <v>0.33</v>
      </c>
      <c r="D105" s="5">
        <v>0.32840000000000003</v>
      </c>
      <c r="E105" s="5">
        <v>5</v>
      </c>
      <c r="F105" s="5">
        <v>74</v>
      </c>
      <c r="G105" s="5">
        <v>79</v>
      </c>
    </row>
    <row r="106" spans="1:7">
      <c r="A106" s="5">
        <v>105</v>
      </c>
      <c r="B106" s="5">
        <v>0.2576</v>
      </c>
      <c r="C106" s="5">
        <v>0.3</v>
      </c>
      <c r="D106" s="5">
        <v>0.29849999999999999</v>
      </c>
      <c r="E106" s="5">
        <v>6</v>
      </c>
      <c r="F106" s="5">
        <v>65</v>
      </c>
      <c r="G106" s="5">
        <v>71</v>
      </c>
    </row>
    <row r="107" spans="1:7">
      <c r="A107" s="5">
        <v>106</v>
      </c>
      <c r="B107" s="5">
        <v>0.28789999999999999</v>
      </c>
      <c r="C107" s="5">
        <v>0.28000000000000003</v>
      </c>
      <c r="D107" s="5">
        <v>0.19400000000000001</v>
      </c>
      <c r="E107" s="5">
        <v>10</v>
      </c>
      <c r="F107" s="5">
        <v>52</v>
      </c>
      <c r="G107" s="5">
        <v>62</v>
      </c>
    </row>
    <row r="108" spans="1:7">
      <c r="A108" s="5">
        <v>107</v>
      </c>
      <c r="B108" s="5">
        <v>0.28789999999999999</v>
      </c>
      <c r="C108" s="5">
        <v>0.28000000000000003</v>
      </c>
      <c r="D108" s="5">
        <v>0.19400000000000001</v>
      </c>
      <c r="E108" s="5">
        <v>7</v>
      </c>
      <c r="F108" s="5">
        <v>55</v>
      </c>
      <c r="G108" s="5">
        <v>62</v>
      </c>
    </row>
    <row r="109" spans="1:7">
      <c r="A109" s="5">
        <v>108</v>
      </c>
      <c r="B109" s="5">
        <v>0.31819999999999998</v>
      </c>
      <c r="C109" s="5">
        <v>0.28000000000000003</v>
      </c>
      <c r="D109" s="5">
        <v>8.9599999999999999E-2</v>
      </c>
      <c r="E109" s="5">
        <v>4</v>
      </c>
      <c r="F109" s="5">
        <v>85</v>
      </c>
      <c r="G109" s="5">
        <v>89</v>
      </c>
    </row>
    <row r="110" spans="1:7">
      <c r="A110" s="5">
        <v>109</v>
      </c>
      <c r="B110" s="5">
        <v>0.2273</v>
      </c>
      <c r="C110" s="5">
        <v>0.38</v>
      </c>
      <c r="D110" s="5">
        <v>0.19400000000000001</v>
      </c>
      <c r="E110" s="5">
        <v>4</v>
      </c>
      <c r="F110" s="5">
        <v>186</v>
      </c>
      <c r="G110" s="5">
        <v>190</v>
      </c>
    </row>
    <row r="111" spans="1:7">
      <c r="A111" s="5">
        <v>110</v>
      </c>
      <c r="B111" s="5">
        <v>0.2424</v>
      </c>
      <c r="C111" s="5">
        <v>0.38</v>
      </c>
      <c r="D111" s="5">
        <v>0.1343</v>
      </c>
      <c r="E111" s="5">
        <v>3</v>
      </c>
      <c r="F111" s="5">
        <v>166</v>
      </c>
      <c r="G111" s="5">
        <v>169</v>
      </c>
    </row>
    <row r="112" spans="1:7">
      <c r="A112" s="5">
        <v>111</v>
      </c>
      <c r="B112" s="5">
        <v>0.2576</v>
      </c>
      <c r="C112" s="5">
        <v>0.38</v>
      </c>
      <c r="D112" s="5">
        <v>0.1045</v>
      </c>
      <c r="E112" s="5">
        <v>5</v>
      </c>
      <c r="F112" s="5">
        <v>127</v>
      </c>
      <c r="G112" s="5">
        <v>132</v>
      </c>
    </row>
    <row r="113" spans="1:7">
      <c r="A113" s="5">
        <v>112</v>
      </c>
      <c r="B113" s="5">
        <v>0.2273</v>
      </c>
      <c r="C113" s="5">
        <v>0.47</v>
      </c>
      <c r="D113" s="5">
        <v>0.16420000000000001</v>
      </c>
      <c r="E113" s="5">
        <v>7</v>
      </c>
      <c r="F113" s="5">
        <v>82</v>
      </c>
      <c r="G113" s="5">
        <v>89</v>
      </c>
    </row>
    <row r="114" spans="1:7">
      <c r="A114" s="5">
        <v>113</v>
      </c>
      <c r="B114" s="5">
        <v>0.19700000000000001</v>
      </c>
      <c r="C114" s="5">
        <v>0.51</v>
      </c>
      <c r="D114" s="5">
        <v>0.19400000000000001</v>
      </c>
      <c r="E114" s="5">
        <v>3</v>
      </c>
      <c r="F114" s="5">
        <v>40</v>
      </c>
      <c r="G114" s="5">
        <v>43</v>
      </c>
    </row>
    <row r="115" spans="1:7">
      <c r="A115" s="5">
        <v>114</v>
      </c>
      <c r="B115" s="5">
        <v>0.19700000000000001</v>
      </c>
      <c r="C115" s="5">
        <v>0.55000000000000004</v>
      </c>
      <c r="D115" s="5">
        <v>0.1343</v>
      </c>
      <c r="E115" s="5">
        <v>1</v>
      </c>
      <c r="F115" s="5">
        <v>41</v>
      </c>
      <c r="G115" s="5">
        <v>42</v>
      </c>
    </row>
    <row r="116" spans="1:7">
      <c r="A116" s="5">
        <v>115</v>
      </c>
      <c r="B116" s="5">
        <v>0.2576</v>
      </c>
      <c r="C116" s="5">
        <v>0.47</v>
      </c>
      <c r="D116" s="5">
        <v>0</v>
      </c>
      <c r="E116" s="5">
        <v>1</v>
      </c>
      <c r="F116" s="5">
        <v>18</v>
      </c>
      <c r="G116" s="5">
        <v>19</v>
      </c>
    </row>
    <row r="117" spans="1:7">
      <c r="A117" s="5">
        <v>116</v>
      </c>
      <c r="B117" s="5">
        <v>0.2424</v>
      </c>
      <c r="C117" s="5">
        <v>0.55000000000000004</v>
      </c>
      <c r="D117" s="5">
        <v>0</v>
      </c>
      <c r="E117" s="5">
        <v>0</v>
      </c>
      <c r="F117" s="5">
        <v>11</v>
      </c>
      <c r="G117" s="5">
        <v>11</v>
      </c>
    </row>
    <row r="118" spans="1:7">
      <c r="A118" s="5">
        <v>117</v>
      </c>
      <c r="B118" s="5">
        <v>0.2273</v>
      </c>
      <c r="C118" s="5">
        <v>0.64</v>
      </c>
      <c r="D118" s="5">
        <v>0</v>
      </c>
      <c r="E118" s="5">
        <v>0</v>
      </c>
      <c r="F118" s="5">
        <v>4</v>
      </c>
      <c r="G118" s="5">
        <v>4</v>
      </c>
    </row>
    <row r="119" spans="1:7">
      <c r="A119" s="5">
        <v>118</v>
      </c>
      <c r="B119" s="5">
        <v>0.2273</v>
      </c>
      <c r="C119" s="5">
        <v>0.64</v>
      </c>
      <c r="D119" s="5">
        <v>0</v>
      </c>
      <c r="E119" s="5">
        <v>0</v>
      </c>
      <c r="F119" s="5">
        <v>2</v>
      </c>
      <c r="G119" s="5">
        <v>2</v>
      </c>
    </row>
    <row r="120" spans="1:7">
      <c r="A120" s="5">
        <v>119</v>
      </c>
      <c r="B120" s="5">
        <v>0.19700000000000001</v>
      </c>
      <c r="C120" s="5">
        <v>0.64</v>
      </c>
      <c r="D120" s="5">
        <v>8.9599999999999999E-2</v>
      </c>
      <c r="E120" s="5">
        <v>0</v>
      </c>
      <c r="F120" s="5">
        <v>1</v>
      </c>
      <c r="G120" s="5">
        <v>1</v>
      </c>
    </row>
    <row r="121" spans="1:7">
      <c r="A121" s="5">
        <v>120</v>
      </c>
      <c r="B121" s="5">
        <v>0.18179999999999999</v>
      </c>
      <c r="C121" s="5">
        <v>0.69</v>
      </c>
      <c r="D121" s="5">
        <v>8.9599999999999999E-2</v>
      </c>
      <c r="E121" s="5">
        <v>0</v>
      </c>
      <c r="F121" s="5">
        <v>4</v>
      </c>
      <c r="G121" s="5">
        <v>4</v>
      </c>
    </row>
    <row r="122" spans="1:7">
      <c r="A122" s="5">
        <v>121</v>
      </c>
      <c r="B122" s="5">
        <v>0.16669999999999999</v>
      </c>
      <c r="C122" s="5">
        <v>0.63</v>
      </c>
      <c r="D122" s="5">
        <v>0.1045</v>
      </c>
      <c r="E122" s="5">
        <v>0</v>
      </c>
      <c r="F122" s="5">
        <v>36</v>
      </c>
      <c r="G122" s="5">
        <v>36</v>
      </c>
    </row>
    <row r="123" spans="1:7">
      <c r="A123" s="5">
        <v>122</v>
      </c>
      <c r="B123" s="5">
        <v>0.2273</v>
      </c>
      <c r="C123" s="5">
        <v>0.59</v>
      </c>
      <c r="D123" s="5">
        <v>0</v>
      </c>
      <c r="E123" s="5">
        <v>0</v>
      </c>
      <c r="F123" s="5">
        <v>95</v>
      </c>
      <c r="G123" s="5">
        <v>95</v>
      </c>
    </row>
    <row r="124" spans="1:7">
      <c r="A124" s="5">
        <v>123</v>
      </c>
      <c r="B124" s="5">
        <v>0.2273</v>
      </c>
      <c r="C124" s="5">
        <v>0.59</v>
      </c>
      <c r="D124" s="5">
        <v>0</v>
      </c>
      <c r="E124" s="5">
        <v>3</v>
      </c>
      <c r="F124" s="5">
        <v>216</v>
      </c>
      <c r="G124" s="5">
        <v>219</v>
      </c>
    </row>
    <row r="125" spans="1:7">
      <c r="A125" s="5">
        <v>124</v>
      </c>
      <c r="B125" s="5">
        <v>0.2424</v>
      </c>
      <c r="C125" s="5">
        <v>0.51</v>
      </c>
      <c r="D125" s="5">
        <v>0</v>
      </c>
      <c r="E125" s="5">
        <v>6</v>
      </c>
      <c r="F125" s="5">
        <v>116</v>
      </c>
      <c r="G125" s="5">
        <v>122</v>
      </c>
    </row>
    <row r="126" spans="1:7">
      <c r="A126" s="5">
        <v>125</v>
      </c>
      <c r="B126" s="5">
        <v>0.2576</v>
      </c>
      <c r="C126" s="5">
        <v>0.47</v>
      </c>
      <c r="D126" s="5">
        <v>0</v>
      </c>
      <c r="E126" s="5">
        <v>3</v>
      </c>
      <c r="F126" s="5">
        <v>42</v>
      </c>
      <c r="G126" s="5">
        <v>45</v>
      </c>
    </row>
    <row r="127" spans="1:7">
      <c r="A127" s="5">
        <v>126</v>
      </c>
      <c r="B127" s="5">
        <v>0.2576</v>
      </c>
      <c r="C127" s="5">
        <v>0.44</v>
      </c>
      <c r="D127" s="5">
        <v>8.9599999999999999E-2</v>
      </c>
      <c r="E127" s="5">
        <v>2</v>
      </c>
      <c r="F127" s="5">
        <v>57</v>
      </c>
      <c r="G127" s="5">
        <v>59</v>
      </c>
    </row>
    <row r="128" spans="1:7">
      <c r="A128" s="5">
        <v>127</v>
      </c>
      <c r="B128" s="5">
        <v>0.28789999999999999</v>
      </c>
      <c r="C128" s="5">
        <v>0.35</v>
      </c>
      <c r="D128" s="5">
        <v>0</v>
      </c>
      <c r="E128" s="5">
        <v>6</v>
      </c>
      <c r="F128" s="5">
        <v>78</v>
      </c>
      <c r="G128" s="5">
        <v>84</v>
      </c>
    </row>
    <row r="129" spans="1:7">
      <c r="A129" s="5">
        <v>128</v>
      </c>
      <c r="B129" s="5">
        <v>0.2727</v>
      </c>
      <c r="C129" s="5">
        <v>0.35</v>
      </c>
      <c r="D129" s="5">
        <v>0.1045</v>
      </c>
      <c r="E129" s="5">
        <v>12</v>
      </c>
      <c r="F129" s="5">
        <v>55</v>
      </c>
      <c r="G129" s="5">
        <v>67</v>
      </c>
    </row>
    <row r="130" spans="1:7">
      <c r="A130" s="5">
        <v>129</v>
      </c>
      <c r="B130" s="5">
        <v>0.2727</v>
      </c>
      <c r="C130" s="5">
        <v>0.36</v>
      </c>
      <c r="D130" s="5">
        <v>0.16420000000000001</v>
      </c>
      <c r="E130" s="5">
        <v>11</v>
      </c>
      <c r="F130" s="5">
        <v>59</v>
      </c>
      <c r="G130" s="5">
        <v>70</v>
      </c>
    </row>
    <row r="131" spans="1:7">
      <c r="A131" s="5">
        <v>130</v>
      </c>
      <c r="B131" s="5">
        <v>0.2727</v>
      </c>
      <c r="C131" s="5">
        <v>0.36</v>
      </c>
      <c r="D131" s="5">
        <v>0</v>
      </c>
      <c r="E131" s="5">
        <v>8</v>
      </c>
      <c r="F131" s="5">
        <v>54</v>
      </c>
      <c r="G131" s="5">
        <v>62</v>
      </c>
    </row>
    <row r="132" spans="1:7">
      <c r="A132" s="5">
        <v>131</v>
      </c>
      <c r="B132" s="5">
        <v>0.2576</v>
      </c>
      <c r="C132" s="5">
        <v>0.38</v>
      </c>
      <c r="D132" s="5">
        <v>0.16420000000000001</v>
      </c>
      <c r="E132" s="5">
        <v>12</v>
      </c>
      <c r="F132" s="5">
        <v>74</v>
      </c>
      <c r="G132" s="5">
        <v>86</v>
      </c>
    </row>
    <row r="133" spans="1:7">
      <c r="A133" s="5">
        <v>132</v>
      </c>
      <c r="B133" s="5">
        <v>0.2273</v>
      </c>
      <c r="C133" s="5">
        <v>0.51</v>
      </c>
      <c r="D133" s="5">
        <v>0.16420000000000001</v>
      </c>
      <c r="E133" s="5">
        <v>9</v>
      </c>
      <c r="F133" s="5">
        <v>163</v>
      </c>
      <c r="G133" s="5">
        <v>172</v>
      </c>
    </row>
    <row r="134" spans="1:7">
      <c r="A134" s="5">
        <v>133</v>
      </c>
      <c r="B134" s="5">
        <v>0.2273</v>
      </c>
      <c r="C134" s="5">
        <v>0.51</v>
      </c>
      <c r="D134" s="5">
        <v>0.1343</v>
      </c>
      <c r="E134" s="5">
        <v>5</v>
      </c>
      <c r="F134" s="5">
        <v>158</v>
      </c>
      <c r="G134" s="5">
        <v>163</v>
      </c>
    </row>
    <row r="135" spans="1:7">
      <c r="A135" s="5">
        <v>134</v>
      </c>
      <c r="B135" s="5">
        <v>0.2576</v>
      </c>
      <c r="C135" s="5">
        <v>0.55000000000000004</v>
      </c>
      <c r="D135" s="5">
        <v>8.9599999999999999E-2</v>
      </c>
      <c r="E135" s="5">
        <v>3</v>
      </c>
      <c r="F135" s="5">
        <v>109</v>
      </c>
      <c r="G135" s="5">
        <v>112</v>
      </c>
    </row>
    <row r="136" spans="1:7">
      <c r="A136" s="5">
        <v>135</v>
      </c>
      <c r="B136" s="5">
        <v>0.21210000000000001</v>
      </c>
      <c r="C136" s="5">
        <v>0.51</v>
      </c>
      <c r="D136" s="5">
        <v>0.16420000000000001</v>
      </c>
      <c r="E136" s="5">
        <v>3</v>
      </c>
      <c r="F136" s="5">
        <v>66</v>
      </c>
      <c r="G136" s="5">
        <v>69</v>
      </c>
    </row>
    <row r="137" spans="1:7">
      <c r="A137" s="5">
        <v>136</v>
      </c>
      <c r="B137" s="5">
        <v>0.21210000000000001</v>
      </c>
      <c r="C137" s="5">
        <v>0.55000000000000004</v>
      </c>
      <c r="D137" s="5">
        <v>0.22389999999999999</v>
      </c>
      <c r="E137" s="5">
        <v>0</v>
      </c>
      <c r="F137" s="5">
        <v>48</v>
      </c>
      <c r="G137" s="5">
        <v>48</v>
      </c>
    </row>
    <row r="138" spans="1:7">
      <c r="A138" s="5">
        <v>137</v>
      </c>
      <c r="B138" s="5">
        <v>0.21210000000000001</v>
      </c>
      <c r="C138" s="5">
        <v>0.51</v>
      </c>
      <c r="D138" s="5">
        <v>0.28360000000000002</v>
      </c>
      <c r="E138" s="5">
        <v>1</v>
      </c>
      <c r="F138" s="5">
        <v>51</v>
      </c>
      <c r="G138" s="5">
        <v>52</v>
      </c>
    </row>
    <row r="139" spans="1:7">
      <c r="A139" s="5">
        <v>138</v>
      </c>
      <c r="B139" s="5">
        <v>0.19700000000000001</v>
      </c>
      <c r="C139" s="5">
        <v>0.59</v>
      </c>
      <c r="D139" s="5">
        <v>0.19400000000000001</v>
      </c>
      <c r="E139" s="5">
        <v>4</v>
      </c>
      <c r="F139" s="5">
        <v>19</v>
      </c>
      <c r="G139" s="5">
        <v>23</v>
      </c>
    </row>
    <row r="140" spans="1:7">
      <c r="A140" s="5">
        <v>139</v>
      </c>
      <c r="B140" s="5">
        <v>0.19700000000000001</v>
      </c>
      <c r="C140" s="5">
        <v>0.64</v>
      </c>
      <c r="D140" s="5">
        <v>0.19400000000000001</v>
      </c>
      <c r="E140" s="5">
        <v>4</v>
      </c>
      <c r="F140" s="5">
        <v>13</v>
      </c>
      <c r="G140" s="5">
        <v>17</v>
      </c>
    </row>
    <row r="141" spans="1:7">
      <c r="A141" s="5">
        <v>140</v>
      </c>
      <c r="B141" s="5">
        <v>0.19700000000000001</v>
      </c>
      <c r="C141" s="5">
        <v>0.69</v>
      </c>
      <c r="D141" s="5">
        <v>0.22389999999999999</v>
      </c>
      <c r="E141" s="5">
        <v>2</v>
      </c>
      <c r="F141" s="5">
        <v>5</v>
      </c>
      <c r="G141" s="5">
        <v>7</v>
      </c>
    </row>
    <row r="142" spans="1:7">
      <c r="A142" s="5">
        <v>141</v>
      </c>
      <c r="B142" s="5">
        <v>0.19700000000000001</v>
      </c>
      <c r="C142" s="5">
        <v>0.69</v>
      </c>
      <c r="D142" s="5">
        <v>0.22389999999999999</v>
      </c>
      <c r="E142" s="5">
        <v>0</v>
      </c>
      <c r="F142" s="5">
        <v>1</v>
      </c>
      <c r="G142" s="5">
        <v>1</v>
      </c>
    </row>
    <row r="143" spans="1:7">
      <c r="A143" s="5">
        <v>142</v>
      </c>
      <c r="B143" s="5">
        <v>0.21210000000000001</v>
      </c>
      <c r="C143" s="5">
        <v>0.69</v>
      </c>
      <c r="D143" s="5">
        <v>0.1343</v>
      </c>
      <c r="E143" s="5">
        <v>0</v>
      </c>
      <c r="F143" s="5">
        <v>1</v>
      </c>
      <c r="G143" s="5">
        <v>1</v>
      </c>
    </row>
    <row r="144" spans="1:7">
      <c r="A144" s="5">
        <v>143</v>
      </c>
      <c r="B144" s="5">
        <v>0.2727</v>
      </c>
      <c r="C144" s="5">
        <v>0.55000000000000004</v>
      </c>
      <c r="D144" s="5">
        <v>0</v>
      </c>
      <c r="E144" s="5">
        <v>0</v>
      </c>
      <c r="F144" s="5">
        <v>5</v>
      </c>
      <c r="G144" s="5">
        <v>5</v>
      </c>
    </row>
    <row r="145" spans="1:7">
      <c r="A145" s="5">
        <v>144</v>
      </c>
      <c r="B145" s="5">
        <v>0.2576</v>
      </c>
      <c r="C145" s="5">
        <v>0.69</v>
      </c>
      <c r="D145" s="5">
        <v>0</v>
      </c>
      <c r="E145" s="5">
        <v>8</v>
      </c>
      <c r="F145" s="5">
        <v>26</v>
      </c>
      <c r="G145" s="5">
        <v>34</v>
      </c>
    </row>
    <row r="146" spans="1:7">
      <c r="A146" s="5">
        <v>145</v>
      </c>
      <c r="B146" s="5">
        <v>0.21210000000000001</v>
      </c>
      <c r="C146" s="5">
        <v>0.69</v>
      </c>
      <c r="D146" s="5">
        <v>0.1343</v>
      </c>
      <c r="E146" s="5">
        <v>8</v>
      </c>
      <c r="F146" s="5">
        <v>76</v>
      </c>
      <c r="G146" s="5">
        <v>84</v>
      </c>
    </row>
    <row r="147" spans="1:7">
      <c r="A147" s="5">
        <v>146</v>
      </c>
      <c r="B147" s="5">
        <v>0.19700000000000001</v>
      </c>
      <c r="C147" s="5">
        <v>0.51</v>
      </c>
      <c r="D147" s="5">
        <v>0.25369999999999998</v>
      </c>
      <c r="E147" s="5">
        <v>20</v>
      </c>
      <c r="F147" s="5">
        <v>190</v>
      </c>
      <c r="G147" s="5">
        <v>210</v>
      </c>
    </row>
    <row r="148" spans="1:7">
      <c r="A148" s="5">
        <v>147</v>
      </c>
      <c r="B148" s="5">
        <v>0.18179999999999999</v>
      </c>
      <c r="C148" s="5">
        <v>0.47</v>
      </c>
      <c r="D148" s="5">
        <v>0.29849999999999999</v>
      </c>
      <c r="E148" s="5">
        <v>9</v>
      </c>
      <c r="F148" s="5">
        <v>125</v>
      </c>
      <c r="G148" s="5">
        <v>134</v>
      </c>
    </row>
    <row r="149" spans="1:7">
      <c r="A149" s="5">
        <v>148</v>
      </c>
      <c r="B149" s="5">
        <v>0.19700000000000001</v>
      </c>
      <c r="C149" s="5">
        <v>0.37</v>
      </c>
      <c r="D149" s="5">
        <v>0.32840000000000003</v>
      </c>
      <c r="E149" s="5">
        <v>16</v>
      </c>
      <c r="F149" s="5">
        <v>47</v>
      </c>
      <c r="G149" s="5">
        <v>63</v>
      </c>
    </row>
    <row r="150" spans="1:7">
      <c r="A150" s="5">
        <v>149</v>
      </c>
      <c r="B150" s="5">
        <v>0.19700000000000001</v>
      </c>
      <c r="C150" s="5">
        <v>0.4</v>
      </c>
      <c r="D150" s="5">
        <v>0.22389999999999999</v>
      </c>
      <c r="E150" s="5">
        <v>19</v>
      </c>
      <c r="F150" s="5">
        <v>48</v>
      </c>
      <c r="G150" s="5">
        <v>67</v>
      </c>
    </row>
    <row r="151" spans="1:7">
      <c r="A151" s="5">
        <v>150</v>
      </c>
      <c r="B151" s="5">
        <v>0.19700000000000001</v>
      </c>
      <c r="C151" s="5">
        <v>0.37</v>
      </c>
      <c r="D151" s="5">
        <v>0.25369999999999998</v>
      </c>
      <c r="E151" s="5">
        <v>9</v>
      </c>
      <c r="F151" s="5">
        <v>50</v>
      </c>
      <c r="G151" s="5">
        <v>59</v>
      </c>
    </row>
    <row r="152" spans="1:7">
      <c r="A152" s="5">
        <v>151</v>
      </c>
      <c r="B152" s="5">
        <v>0.18179999999999999</v>
      </c>
      <c r="C152" s="5">
        <v>0.37</v>
      </c>
      <c r="D152" s="5">
        <v>0.28360000000000002</v>
      </c>
      <c r="E152" s="5">
        <v>9</v>
      </c>
      <c r="F152" s="5">
        <v>64</v>
      </c>
      <c r="G152" s="5">
        <v>73</v>
      </c>
    </row>
    <row r="153" spans="1:7">
      <c r="A153" s="5">
        <v>152</v>
      </c>
      <c r="B153" s="5">
        <v>0.19700000000000001</v>
      </c>
      <c r="C153" s="5">
        <v>0.4</v>
      </c>
      <c r="D153" s="5">
        <v>0.25369999999999998</v>
      </c>
      <c r="E153" s="5">
        <v>7</v>
      </c>
      <c r="F153" s="5">
        <v>43</v>
      </c>
      <c r="G153" s="5">
        <v>50</v>
      </c>
    </row>
    <row r="154" spans="1:7">
      <c r="A154" s="5">
        <v>153</v>
      </c>
      <c r="B154" s="5">
        <v>0.21210000000000001</v>
      </c>
      <c r="C154" s="5">
        <v>0.37</v>
      </c>
      <c r="D154" s="5">
        <v>0.16420000000000001</v>
      </c>
      <c r="E154" s="5">
        <v>9</v>
      </c>
      <c r="F154" s="5">
        <v>63</v>
      </c>
      <c r="G154" s="5">
        <v>72</v>
      </c>
    </row>
    <row r="155" spans="1:7">
      <c r="A155" s="5">
        <v>154</v>
      </c>
      <c r="B155" s="5">
        <v>0.21210000000000001</v>
      </c>
      <c r="C155" s="5">
        <v>0.37</v>
      </c>
      <c r="D155" s="5">
        <v>0.16420000000000001</v>
      </c>
      <c r="E155" s="5">
        <v>5</v>
      </c>
      <c r="F155" s="5">
        <v>82</v>
      </c>
      <c r="G155" s="5">
        <v>87</v>
      </c>
    </row>
    <row r="156" spans="1:7">
      <c r="A156" s="5">
        <v>155</v>
      </c>
      <c r="B156" s="5">
        <v>0.2576</v>
      </c>
      <c r="C156" s="5">
        <v>0.37</v>
      </c>
      <c r="D156" s="5">
        <v>0</v>
      </c>
      <c r="E156" s="5">
        <v>9</v>
      </c>
      <c r="F156" s="5">
        <v>178</v>
      </c>
      <c r="G156" s="5">
        <v>187</v>
      </c>
    </row>
    <row r="157" spans="1:7">
      <c r="A157" s="5">
        <v>156</v>
      </c>
      <c r="B157" s="5">
        <v>0.2273</v>
      </c>
      <c r="C157" s="5">
        <v>0.4</v>
      </c>
      <c r="D157" s="5">
        <v>8.9599999999999999E-2</v>
      </c>
      <c r="E157" s="5">
        <v>7</v>
      </c>
      <c r="F157" s="5">
        <v>116</v>
      </c>
      <c r="G157" s="5">
        <v>123</v>
      </c>
    </row>
    <row r="158" spans="1:7">
      <c r="A158" s="5">
        <v>157</v>
      </c>
      <c r="B158" s="5">
        <v>0.19700000000000001</v>
      </c>
      <c r="C158" s="5">
        <v>0.55000000000000004</v>
      </c>
      <c r="D158" s="5">
        <v>8.9599999999999999E-2</v>
      </c>
      <c r="E158" s="5">
        <v>3</v>
      </c>
      <c r="F158" s="5">
        <v>92</v>
      </c>
      <c r="G158" s="5">
        <v>95</v>
      </c>
    </row>
    <row r="159" spans="1:7">
      <c r="A159" s="5">
        <v>158</v>
      </c>
      <c r="B159" s="5">
        <v>0.21210000000000001</v>
      </c>
      <c r="C159" s="5">
        <v>0.47</v>
      </c>
      <c r="D159" s="5">
        <v>0.1045</v>
      </c>
      <c r="E159" s="5">
        <v>1</v>
      </c>
      <c r="F159" s="5">
        <v>50</v>
      </c>
      <c r="G159" s="5">
        <v>51</v>
      </c>
    </row>
    <row r="160" spans="1:7">
      <c r="A160" s="5">
        <v>159</v>
      </c>
      <c r="B160" s="5">
        <v>0.19700000000000001</v>
      </c>
      <c r="C160" s="5">
        <v>0.47</v>
      </c>
      <c r="D160" s="5">
        <v>0.1343</v>
      </c>
      <c r="E160" s="5">
        <v>0</v>
      </c>
      <c r="F160" s="5">
        <v>39</v>
      </c>
      <c r="G160" s="5">
        <v>39</v>
      </c>
    </row>
    <row r="161" spans="1:7">
      <c r="A161" s="5">
        <v>160</v>
      </c>
      <c r="B161" s="5">
        <v>0.19700000000000001</v>
      </c>
      <c r="C161" s="5">
        <v>0.43</v>
      </c>
      <c r="D161" s="5">
        <v>0.16420000000000001</v>
      </c>
      <c r="E161" s="5">
        <v>2</v>
      </c>
      <c r="F161" s="5">
        <v>34</v>
      </c>
      <c r="G161" s="5">
        <v>36</v>
      </c>
    </row>
    <row r="162" spans="1:7">
      <c r="A162" s="5">
        <v>161</v>
      </c>
      <c r="B162" s="5">
        <v>0.19700000000000001</v>
      </c>
      <c r="C162" s="5">
        <v>0.51</v>
      </c>
      <c r="D162" s="5">
        <v>0.16420000000000001</v>
      </c>
      <c r="E162" s="5">
        <v>1</v>
      </c>
      <c r="F162" s="5">
        <v>14</v>
      </c>
      <c r="G162" s="5">
        <v>15</v>
      </c>
    </row>
    <row r="163" spans="1:7">
      <c r="A163" s="5">
        <v>162</v>
      </c>
      <c r="B163" s="5">
        <v>0.19700000000000001</v>
      </c>
      <c r="C163" s="5">
        <v>0.51</v>
      </c>
      <c r="D163" s="5">
        <v>0.16420000000000001</v>
      </c>
      <c r="E163" s="5">
        <v>1</v>
      </c>
      <c r="F163" s="5">
        <v>24</v>
      </c>
      <c r="G163" s="5">
        <v>25</v>
      </c>
    </row>
    <row r="164" spans="1:7">
      <c r="A164" s="5">
        <v>163</v>
      </c>
      <c r="B164" s="5">
        <v>0.21210000000000001</v>
      </c>
      <c r="C164" s="5">
        <v>0.55000000000000004</v>
      </c>
      <c r="D164" s="5">
        <v>8.9599999999999999E-2</v>
      </c>
      <c r="E164" s="5">
        <v>1</v>
      </c>
      <c r="F164" s="5">
        <v>15</v>
      </c>
      <c r="G164" s="5">
        <v>16</v>
      </c>
    </row>
    <row r="165" spans="1:7">
      <c r="A165" s="5">
        <v>164</v>
      </c>
      <c r="B165" s="5">
        <v>0.2424</v>
      </c>
      <c r="C165" s="5">
        <v>0.55000000000000004</v>
      </c>
      <c r="D165" s="5">
        <v>0</v>
      </c>
      <c r="E165" s="5">
        <v>3</v>
      </c>
      <c r="F165" s="5">
        <v>13</v>
      </c>
      <c r="G165" s="5">
        <v>16</v>
      </c>
    </row>
    <row r="166" spans="1:7">
      <c r="A166" s="5">
        <v>165</v>
      </c>
      <c r="B166" s="5">
        <v>0.19700000000000001</v>
      </c>
      <c r="C166" s="5">
        <v>0.55000000000000004</v>
      </c>
      <c r="D166" s="5">
        <v>0.16420000000000001</v>
      </c>
      <c r="E166" s="5">
        <v>0</v>
      </c>
      <c r="F166" s="5">
        <v>7</v>
      </c>
      <c r="G166" s="5">
        <v>7</v>
      </c>
    </row>
    <row r="167" spans="1:7">
      <c r="A167" s="5">
        <v>166</v>
      </c>
      <c r="B167" s="5">
        <v>0.19700000000000001</v>
      </c>
      <c r="C167" s="5">
        <v>0.55000000000000004</v>
      </c>
      <c r="D167" s="5">
        <v>0.16420000000000001</v>
      </c>
      <c r="E167" s="5">
        <v>0</v>
      </c>
      <c r="F167" s="5">
        <v>1</v>
      </c>
      <c r="G167" s="5">
        <v>1</v>
      </c>
    </row>
    <row r="168" spans="1:7">
      <c r="A168" s="5">
        <v>167</v>
      </c>
      <c r="B168" s="5">
        <v>0.16669999999999999</v>
      </c>
      <c r="C168" s="5">
        <v>0.74</v>
      </c>
      <c r="D168" s="5">
        <v>0.16420000000000001</v>
      </c>
      <c r="E168" s="5">
        <v>0</v>
      </c>
      <c r="F168" s="5">
        <v>5</v>
      </c>
      <c r="G168" s="5">
        <v>5</v>
      </c>
    </row>
    <row r="169" spans="1:7">
      <c r="A169" s="5">
        <v>168</v>
      </c>
      <c r="B169" s="5">
        <v>0.16669999999999999</v>
      </c>
      <c r="C169" s="5">
        <v>0.74</v>
      </c>
      <c r="D169" s="5">
        <v>0.16420000000000001</v>
      </c>
      <c r="E169" s="5">
        <v>0</v>
      </c>
      <c r="F169" s="5">
        <v>2</v>
      </c>
      <c r="G169" s="5">
        <v>2</v>
      </c>
    </row>
    <row r="170" spans="1:7">
      <c r="A170" s="5">
        <v>169</v>
      </c>
      <c r="B170" s="5">
        <v>0.18179999999999999</v>
      </c>
      <c r="C170" s="5">
        <v>0.74</v>
      </c>
      <c r="D170" s="5">
        <v>0.1045</v>
      </c>
      <c r="E170" s="5">
        <v>1</v>
      </c>
      <c r="F170" s="5">
        <v>8</v>
      </c>
      <c r="G170" s="5">
        <v>9</v>
      </c>
    </row>
    <row r="171" spans="1:7">
      <c r="A171" s="5">
        <v>170</v>
      </c>
      <c r="B171" s="5">
        <v>0.18179999999999999</v>
      </c>
      <c r="C171" s="5">
        <v>0.93</v>
      </c>
      <c r="D171" s="5">
        <v>0.1045</v>
      </c>
      <c r="E171" s="5">
        <v>0</v>
      </c>
      <c r="F171" s="5">
        <v>15</v>
      </c>
      <c r="G171" s="5">
        <v>15</v>
      </c>
    </row>
    <row r="172" spans="1:7">
      <c r="A172" s="5">
        <v>171</v>
      </c>
      <c r="B172" s="5">
        <v>0.18179999999999999</v>
      </c>
      <c r="C172" s="5">
        <v>0.93</v>
      </c>
      <c r="D172" s="5">
        <v>0.1045</v>
      </c>
      <c r="E172" s="5">
        <v>0</v>
      </c>
      <c r="F172" s="5">
        <v>20</v>
      </c>
      <c r="G172" s="5">
        <v>20</v>
      </c>
    </row>
    <row r="173" spans="1:7">
      <c r="A173" s="5">
        <v>172</v>
      </c>
      <c r="B173" s="5">
        <v>0.19700000000000001</v>
      </c>
      <c r="C173" s="5">
        <v>0.8</v>
      </c>
      <c r="D173" s="5">
        <v>0.16420000000000001</v>
      </c>
      <c r="E173" s="5">
        <v>5</v>
      </c>
      <c r="F173" s="5">
        <v>56</v>
      </c>
      <c r="G173" s="5">
        <v>61</v>
      </c>
    </row>
    <row r="174" spans="1:7">
      <c r="A174" s="5">
        <v>173</v>
      </c>
      <c r="B174" s="5">
        <v>0.18179999999999999</v>
      </c>
      <c r="C174" s="5">
        <v>0.69</v>
      </c>
      <c r="D174" s="5">
        <v>0.3881</v>
      </c>
      <c r="E174" s="5">
        <v>2</v>
      </c>
      <c r="F174" s="5">
        <v>60</v>
      </c>
      <c r="G174" s="5">
        <v>62</v>
      </c>
    </row>
    <row r="175" spans="1:7">
      <c r="A175" s="5">
        <v>174</v>
      </c>
      <c r="B175" s="5">
        <v>0.18179999999999999</v>
      </c>
      <c r="C175" s="5">
        <v>0.59</v>
      </c>
      <c r="D175" s="5">
        <v>0.35820000000000002</v>
      </c>
      <c r="E175" s="5">
        <v>8</v>
      </c>
      <c r="F175" s="5">
        <v>90</v>
      </c>
      <c r="G175" s="5">
        <v>98</v>
      </c>
    </row>
    <row r="176" spans="1:7">
      <c r="A176" s="5">
        <v>175</v>
      </c>
      <c r="B176" s="5">
        <v>0.18179999999999999</v>
      </c>
      <c r="C176" s="5">
        <v>0.44</v>
      </c>
      <c r="D176" s="5">
        <v>0.32840000000000003</v>
      </c>
      <c r="E176" s="5">
        <v>7</v>
      </c>
      <c r="F176" s="5">
        <v>95</v>
      </c>
      <c r="G176" s="5">
        <v>102</v>
      </c>
    </row>
    <row r="177" spans="1:7">
      <c r="A177" s="5">
        <v>176</v>
      </c>
      <c r="B177" s="5">
        <v>0.16669999999999999</v>
      </c>
      <c r="C177" s="5">
        <v>0.32</v>
      </c>
      <c r="D177" s="5">
        <v>0.49249999999999999</v>
      </c>
      <c r="E177" s="5">
        <v>12</v>
      </c>
      <c r="F177" s="5">
        <v>83</v>
      </c>
      <c r="G177" s="5">
        <v>95</v>
      </c>
    </row>
    <row r="178" spans="1:7">
      <c r="A178" s="5">
        <v>177</v>
      </c>
      <c r="B178" s="5">
        <v>0.16669999999999999</v>
      </c>
      <c r="C178" s="5">
        <v>0.32</v>
      </c>
      <c r="D178" s="5">
        <v>0.44779999999999998</v>
      </c>
      <c r="E178" s="5">
        <v>5</v>
      </c>
      <c r="F178" s="5">
        <v>69</v>
      </c>
      <c r="G178" s="5">
        <v>74</v>
      </c>
    </row>
    <row r="179" spans="1:7">
      <c r="A179" s="5">
        <v>178</v>
      </c>
      <c r="B179" s="5">
        <v>0.13639999999999999</v>
      </c>
      <c r="C179" s="5">
        <v>0.28999999999999998</v>
      </c>
      <c r="D179" s="5">
        <v>0.44779999999999998</v>
      </c>
      <c r="E179" s="5">
        <v>8</v>
      </c>
      <c r="F179" s="5">
        <v>68</v>
      </c>
      <c r="G179" s="5">
        <v>76</v>
      </c>
    </row>
    <row r="180" spans="1:7">
      <c r="A180" s="5">
        <v>179</v>
      </c>
      <c r="B180" s="5">
        <v>0.1212</v>
      </c>
      <c r="C180" s="5">
        <v>0.37</v>
      </c>
      <c r="D180" s="5">
        <v>0.55220000000000002</v>
      </c>
      <c r="E180" s="5">
        <v>5</v>
      </c>
      <c r="F180" s="5">
        <v>64</v>
      </c>
      <c r="G180" s="5">
        <v>69</v>
      </c>
    </row>
    <row r="181" spans="1:7">
      <c r="A181" s="5">
        <v>180</v>
      </c>
      <c r="B181" s="5">
        <v>0.1212</v>
      </c>
      <c r="C181" s="5">
        <v>0.39</v>
      </c>
      <c r="D181" s="5">
        <v>0.29849999999999999</v>
      </c>
      <c r="E181" s="5">
        <v>3</v>
      </c>
      <c r="F181" s="5">
        <v>52</v>
      </c>
      <c r="G181" s="5">
        <v>55</v>
      </c>
    </row>
    <row r="182" spans="1:7">
      <c r="A182" s="5">
        <v>181</v>
      </c>
      <c r="B182" s="5">
        <v>0.1212</v>
      </c>
      <c r="C182" s="5">
        <v>0.36</v>
      </c>
      <c r="D182" s="5">
        <v>0.25369999999999998</v>
      </c>
      <c r="E182" s="5">
        <v>4</v>
      </c>
      <c r="F182" s="5">
        <v>26</v>
      </c>
      <c r="G182" s="5">
        <v>30</v>
      </c>
    </row>
    <row r="183" spans="1:7">
      <c r="A183" s="5">
        <v>182</v>
      </c>
      <c r="B183" s="5">
        <v>0.1212</v>
      </c>
      <c r="C183" s="5">
        <v>0.36</v>
      </c>
      <c r="D183" s="5">
        <v>0.25369999999999998</v>
      </c>
      <c r="E183" s="5">
        <v>0</v>
      </c>
      <c r="F183" s="5">
        <v>28</v>
      </c>
      <c r="G183" s="5">
        <v>28</v>
      </c>
    </row>
    <row r="184" spans="1:7">
      <c r="A184" s="5">
        <v>183</v>
      </c>
      <c r="B184" s="5">
        <v>0.1061</v>
      </c>
      <c r="C184" s="5">
        <v>0.39</v>
      </c>
      <c r="D184" s="5">
        <v>0.35820000000000002</v>
      </c>
      <c r="E184" s="5">
        <v>2</v>
      </c>
      <c r="F184" s="5">
        <v>35</v>
      </c>
      <c r="G184" s="5">
        <v>37</v>
      </c>
    </row>
    <row r="185" spans="1:7">
      <c r="A185" s="5">
        <v>184</v>
      </c>
      <c r="B185" s="5">
        <v>0.1061</v>
      </c>
      <c r="C185" s="5">
        <v>0.36</v>
      </c>
      <c r="D185" s="5">
        <v>0.3881</v>
      </c>
      <c r="E185" s="5">
        <v>1</v>
      </c>
      <c r="F185" s="5">
        <v>33</v>
      </c>
      <c r="G185" s="5">
        <v>34</v>
      </c>
    </row>
    <row r="186" spans="1:7">
      <c r="A186" s="5">
        <v>185</v>
      </c>
      <c r="B186" s="5">
        <v>6.0600000000000001E-2</v>
      </c>
      <c r="C186" s="5">
        <v>0.39</v>
      </c>
      <c r="D186" s="5">
        <v>0.44779999999999998</v>
      </c>
      <c r="E186" s="5">
        <v>0</v>
      </c>
      <c r="F186" s="5">
        <v>22</v>
      </c>
      <c r="G186" s="5">
        <v>22</v>
      </c>
    </row>
    <row r="187" spans="1:7">
      <c r="A187" s="5">
        <v>186</v>
      </c>
      <c r="B187" s="5">
        <v>7.5800000000000006E-2</v>
      </c>
      <c r="C187" s="5">
        <v>0.42</v>
      </c>
      <c r="D187" s="5">
        <v>0.3881</v>
      </c>
      <c r="E187" s="5">
        <v>1</v>
      </c>
      <c r="F187" s="5">
        <v>24</v>
      </c>
      <c r="G187" s="5">
        <v>25</v>
      </c>
    </row>
    <row r="188" spans="1:7">
      <c r="A188" s="5">
        <v>187</v>
      </c>
      <c r="B188" s="5">
        <v>6.0600000000000001E-2</v>
      </c>
      <c r="C188" s="5">
        <v>0.42</v>
      </c>
      <c r="D188" s="5">
        <v>0.4627</v>
      </c>
      <c r="E188" s="5">
        <v>0</v>
      </c>
      <c r="F188" s="5">
        <v>12</v>
      </c>
      <c r="G188" s="5">
        <v>12</v>
      </c>
    </row>
    <row r="189" spans="1:7">
      <c r="A189" s="5">
        <v>188</v>
      </c>
      <c r="B189" s="5">
        <v>6.0600000000000001E-2</v>
      </c>
      <c r="C189" s="5">
        <v>0.46</v>
      </c>
      <c r="D189" s="5">
        <v>0.4627</v>
      </c>
      <c r="E189" s="5">
        <v>0</v>
      </c>
      <c r="F189" s="5">
        <v>11</v>
      </c>
      <c r="G189" s="5">
        <v>11</v>
      </c>
    </row>
    <row r="190" spans="1:7">
      <c r="A190" s="5">
        <v>189</v>
      </c>
      <c r="B190" s="5">
        <v>7.5800000000000006E-2</v>
      </c>
      <c r="C190" s="5">
        <v>0.46</v>
      </c>
      <c r="D190" s="5">
        <v>0.41789999999999999</v>
      </c>
      <c r="E190" s="5">
        <v>0</v>
      </c>
      <c r="F190" s="5">
        <v>4</v>
      </c>
      <c r="G190" s="5">
        <v>4</v>
      </c>
    </row>
    <row r="191" spans="1:7">
      <c r="A191" s="5">
        <v>190</v>
      </c>
      <c r="B191" s="5">
        <v>9.0899999999999995E-2</v>
      </c>
      <c r="C191" s="5">
        <v>0.53</v>
      </c>
      <c r="D191" s="5">
        <v>0.19400000000000001</v>
      </c>
      <c r="E191" s="5">
        <v>0</v>
      </c>
      <c r="F191" s="5">
        <v>1</v>
      </c>
      <c r="G191" s="5">
        <v>1</v>
      </c>
    </row>
    <row r="192" spans="1:7">
      <c r="A192" s="5">
        <v>191</v>
      </c>
      <c r="B192" s="5">
        <v>9.0899999999999995E-2</v>
      </c>
      <c r="C192" s="5">
        <v>0.53</v>
      </c>
      <c r="D192" s="5">
        <v>0.19400000000000001</v>
      </c>
      <c r="E192" s="5">
        <v>0</v>
      </c>
      <c r="F192" s="5">
        <v>1</v>
      </c>
      <c r="G192" s="5">
        <v>1</v>
      </c>
    </row>
    <row r="193" spans="1:7">
      <c r="A193" s="5">
        <v>192</v>
      </c>
      <c r="B193" s="5">
        <v>9.0899999999999995E-2</v>
      </c>
      <c r="C193" s="5">
        <v>0.49</v>
      </c>
      <c r="D193" s="5">
        <v>0.28360000000000002</v>
      </c>
      <c r="E193" s="5">
        <v>0</v>
      </c>
      <c r="F193" s="5">
        <v>1</v>
      </c>
      <c r="G193" s="5">
        <v>1</v>
      </c>
    </row>
    <row r="194" spans="1:7">
      <c r="A194" s="5">
        <v>193</v>
      </c>
      <c r="B194" s="5">
        <v>9.0899999999999995E-2</v>
      </c>
      <c r="C194" s="5">
        <v>0.53</v>
      </c>
      <c r="D194" s="5">
        <v>0.19400000000000001</v>
      </c>
      <c r="E194" s="5">
        <v>1</v>
      </c>
      <c r="F194" s="5">
        <v>5</v>
      </c>
      <c r="G194" s="5">
        <v>6</v>
      </c>
    </row>
    <row r="195" spans="1:7">
      <c r="A195" s="5">
        <v>194</v>
      </c>
      <c r="B195" s="5">
        <v>9.0899999999999995E-2</v>
      </c>
      <c r="C195" s="5">
        <v>0.49</v>
      </c>
      <c r="D195" s="5">
        <v>0.28360000000000002</v>
      </c>
      <c r="E195" s="5">
        <v>0</v>
      </c>
      <c r="F195" s="5">
        <v>10</v>
      </c>
      <c r="G195" s="5">
        <v>10</v>
      </c>
    </row>
    <row r="196" spans="1:7">
      <c r="A196" s="5">
        <v>195</v>
      </c>
      <c r="B196" s="5">
        <v>7.5800000000000006E-2</v>
      </c>
      <c r="C196" s="5">
        <v>0.46</v>
      </c>
      <c r="D196" s="5">
        <v>0.52239999999999998</v>
      </c>
      <c r="E196" s="5">
        <v>0</v>
      </c>
      <c r="F196" s="5">
        <v>19</v>
      </c>
      <c r="G196" s="5">
        <v>19</v>
      </c>
    </row>
    <row r="197" spans="1:7">
      <c r="A197" s="5">
        <v>196</v>
      </c>
      <c r="B197" s="5">
        <v>0.1061</v>
      </c>
      <c r="C197" s="5">
        <v>0.43</v>
      </c>
      <c r="D197" s="5">
        <v>0.3881</v>
      </c>
      <c r="E197" s="5">
        <v>0</v>
      </c>
      <c r="F197" s="5">
        <v>49</v>
      </c>
      <c r="G197" s="5">
        <v>49</v>
      </c>
    </row>
    <row r="198" spans="1:7">
      <c r="A198" s="5">
        <v>197</v>
      </c>
      <c r="B198" s="5">
        <v>0.1212</v>
      </c>
      <c r="C198" s="5">
        <v>0.4</v>
      </c>
      <c r="D198" s="5">
        <v>0.52239999999999998</v>
      </c>
      <c r="E198" s="5">
        <v>2</v>
      </c>
      <c r="F198" s="5">
        <v>47</v>
      </c>
      <c r="G198" s="5">
        <v>49</v>
      </c>
    </row>
    <row r="199" spans="1:7">
      <c r="A199" s="5">
        <v>198</v>
      </c>
      <c r="B199" s="5">
        <v>0.13639999999999999</v>
      </c>
      <c r="C199" s="5">
        <v>0.37</v>
      </c>
      <c r="D199" s="5">
        <v>0.44779999999999998</v>
      </c>
      <c r="E199" s="5">
        <v>4</v>
      </c>
      <c r="F199" s="5">
        <v>79</v>
      </c>
      <c r="G199" s="5">
        <v>83</v>
      </c>
    </row>
    <row r="200" spans="1:7">
      <c r="A200" s="5">
        <v>199</v>
      </c>
      <c r="B200" s="5">
        <v>0.16669999999999999</v>
      </c>
      <c r="C200" s="5">
        <v>0.34</v>
      </c>
      <c r="D200" s="5">
        <v>0.44779999999999998</v>
      </c>
      <c r="E200" s="5">
        <v>6</v>
      </c>
      <c r="F200" s="5">
        <v>69</v>
      </c>
      <c r="G200" s="5">
        <v>75</v>
      </c>
    </row>
    <row r="201" spans="1:7">
      <c r="A201" s="5">
        <v>200</v>
      </c>
      <c r="B201" s="5">
        <v>0.18179999999999999</v>
      </c>
      <c r="C201" s="5">
        <v>0.32</v>
      </c>
      <c r="D201" s="5">
        <v>0.4627</v>
      </c>
      <c r="E201" s="5">
        <v>8</v>
      </c>
      <c r="F201" s="5">
        <v>64</v>
      </c>
      <c r="G201" s="5">
        <v>72</v>
      </c>
    </row>
    <row r="202" spans="1:7">
      <c r="A202" s="5">
        <v>201</v>
      </c>
      <c r="B202" s="5">
        <v>0.19700000000000001</v>
      </c>
      <c r="C202" s="5">
        <v>0.35</v>
      </c>
      <c r="D202" s="5">
        <v>0.35820000000000002</v>
      </c>
      <c r="E202" s="5">
        <v>5</v>
      </c>
      <c r="F202" s="5">
        <v>77</v>
      </c>
      <c r="G202" s="5">
        <v>82</v>
      </c>
    </row>
    <row r="203" spans="1:7">
      <c r="A203" s="5">
        <v>202</v>
      </c>
      <c r="B203" s="5">
        <v>0.16669999999999999</v>
      </c>
      <c r="C203" s="5">
        <v>0.34</v>
      </c>
      <c r="D203" s="5">
        <v>0.44779999999999998</v>
      </c>
      <c r="E203" s="5">
        <v>13</v>
      </c>
      <c r="F203" s="5">
        <v>79</v>
      </c>
      <c r="G203" s="5">
        <v>92</v>
      </c>
    </row>
    <row r="204" spans="1:7">
      <c r="A204" s="5">
        <v>203</v>
      </c>
      <c r="B204" s="5">
        <v>0.1515</v>
      </c>
      <c r="C204" s="5">
        <v>0.37</v>
      </c>
      <c r="D204" s="5">
        <v>0.3881</v>
      </c>
      <c r="E204" s="5">
        <v>3</v>
      </c>
      <c r="F204" s="5">
        <v>59</v>
      </c>
      <c r="G204" s="5">
        <v>62</v>
      </c>
    </row>
    <row r="205" spans="1:7">
      <c r="A205" s="5">
        <v>204</v>
      </c>
      <c r="B205" s="5">
        <v>0.13639999999999999</v>
      </c>
      <c r="C205" s="5">
        <v>0.4</v>
      </c>
      <c r="D205" s="5">
        <v>0.32840000000000003</v>
      </c>
      <c r="E205" s="5">
        <v>4</v>
      </c>
      <c r="F205" s="5">
        <v>44</v>
      </c>
      <c r="G205" s="5">
        <v>48</v>
      </c>
    </row>
    <row r="206" spans="1:7">
      <c r="A206" s="5">
        <v>205</v>
      </c>
      <c r="B206" s="5">
        <v>0.13639999999999999</v>
      </c>
      <c r="C206" s="5">
        <v>0.43</v>
      </c>
      <c r="D206" s="5">
        <v>0.32840000000000003</v>
      </c>
      <c r="E206" s="5">
        <v>1</v>
      </c>
      <c r="F206" s="5">
        <v>40</v>
      </c>
      <c r="G206" s="5">
        <v>41</v>
      </c>
    </row>
    <row r="207" spans="1:7">
      <c r="A207" s="5">
        <v>206</v>
      </c>
      <c r="B207" s="5">
        <v>0.1212</v>
      </c>
      <c r="C207" s="5">
        <v>0.46</v>
      </c>
      <c r="D207" s="5">
        <v>0.25369999999999998</v>
      </c>
      <c r="E207" s="5">
        <v>0</v>
      </c>
      <c r="F207" s="5">
        <v>38</v>
      </c>
      <c r="G207" s="5">
        <v>38</v>
      </c>
    </row>
    <row r="208" spans="1:7">
      <c r="A208" s="5">
        <v>207</v>
      </c>
      <c r="B208" s="5">
        <v>0.1061</v>
      </c>
      <c r="C208" s="5">
        <v>0.46</v>
      </c>
      <c r="D208" s="5">
        <v>0.41789999999999999</v>
      </c>
      <c r="E208" s="5">
        <v>1</v>
      </c>
      <c r="F208" s="5">
        <v>19</v>
      </c>
      <c r="G208" s="5">
        <v>20</v>
      </c>
    </row>
    <row r="209" spans="1:7">
      <c r="A209" s="5">
        <v>208</v>
      </c>
      <c r="B209" s="5">
        <v>0.1212</v>
      </c>
      <c r="C209" s="5">
        <v>0.46</v>
      </c>
      <c r="D209" s="5">
        <v>0.29849999999999999</v>
      </c>
      <c r="E209" s="5">
        <v>5</v>
      </c>
      <c r="F209" s="5">
        <v>10</v>
      </c>
      <c r="G209" s="5">
        <v>15</v>
      </c>
    </row>
    <row r="210" spans="1:7">
      <c r="A210" s="5">
        <v>209</v>
      </c>
      <c r="B210" s="5">
        <v>0.13639999999999999</v>
      </c>
      <c r="C210" s="5">
        <v>0.5</v>
      </c>
      <c r="D210" s="5">
        <v>0.19400000000000001</v>
      </c>
      <c r="E210" s="5">
        <v>0</v>
      </c>
      <c r="F210" s="5">
        <v>6</v>
      </c>
      <c r="G210" s="5">
        <v>6</v>
      </c>
    </row>
    <row r="211" spans="1:7">
      <c r="A211" s="5">
        <v>210</v>
      </c>
      <c r="B211" s="5">
        <v>0.1212</v>
      </c>
      <c r="C211" s="5">
        <v>0.5</v>
      </c>
      <c r="D211" s="5">
        <v>0.28360000000000002</v>
      </c>
      <c r="E211" s="5">
        <v>2</v>
      </c>
      <c r="F211" s="5">
        <v>3</v>
      </c>
      <c r="G211" s="5">
        <v>5</v>
      </c>
    </row>
    <row r="212" spans="1:7">
      <c r="A212" s="5">
        <v>211</v>
      </c>
      <c r="B212" s="5">
        <v>0.1212</v>
      </c>
      <c r="C212" s="5">
        <v>0.5</v>
      </c>
      <c r="D212" s="5">
        <v>0.28360000000000002</v>
      </c>
      <c r="E212" s="5">
        <v>1</v>
      </c>
      <c r="F212" s="5">
        <v>0</v>
      </c>
      <c r="G212" s="5">
        <v>1</v>
      </c>
    </row>
    <row r="213" spans="1:7">
      <c r="A213" s="5">
        <v>212</v>
      </c>
      <c r="B213" s="5">
        <v>0.1212</v>
      </c>
      <c r="C213" s="5">
        <v>0.5</v>
      </c>
      <c r="D213" s="5">
        <v>0.22389999999999999</v>
      </c>
      <c r="E213" s="5">
        <v>0</v>
      </c>
      <c r="F213" s="5">
        <v>3</v>
      </c>
      <c r="G213" s="5">
        <v>3</v>
      </c>
    </row>
    <row r="214" spans="1:7">
      <c r="A214" s="5">
        <v>213</v>
      </c>
      <c r="B214" s="5">
        <v>0.1212</v>
      </c>
      <c r="C214" s="5">
        <v>0.5</v>
      </c>
      <c r="D214" s="5">
        <v>0.22389999999999999</v>
      </c>
      <c r="E214" s="5">
        <v>0</v>
      </c>
      <c r="F214" s="5">
        <v>1</v>
      </c>
      <c r="G214" s="5">
        <v>1</v>
      </c>
    </row>
    <row r="215" spans="1:7">
      <c r="A215" s="5">
        <v>214</v>
      </c>
      <c r="B215" s="5">
        <v>0.1212</v>
      </c>
      <c r="C215" s="5">
        <v>0.54</v>
      </c>
      <c r="D215" s="5">
        <v>0.1343</v>
      </c>
      <c r="E215" s="5">
        <v>1</v>
      </c>
      <c r="F215" s="5">
        <v>2</v>
      </c>
      <c r="G215" s="5">
        <v>3</v>
      </c>
    </row>
    <row r="216" spans="1:7">
      <c r="A216" s="5">
        <v>215</v>
      </c>
      <c r="B216" s="5">
        <v>0.1061</v>
      </c>
      <c r="C216" s="5">
        <v>0.54</v>
      </c>
      <c r="D216" s="5">
        <v>0.25369999999999998</v>
      </c>
      <c r="E216" s="5">
        <v>0</v>
      </c>
      <c r="F216" s="5">
        <v>3</v>
      </c>
      <c r="G216" s="5">
        <v>3</v>
      </c>
    </row>
    <row r="217" spans="1:7">
      <c r="A217" s="5">
        <v>216</v>
      </c>
      <c r="B217" s="5">
        <v>0.1212</v>
      </c>
      <c r="C217" s="5">
        <v>0.5</v>
      </c>
      <c r="D217" s="5">
        <v>0.28360000000000002</v>
      </c>
      <c r="E217" s="5">
        <v>0</v>
      </c>
      <c r="F217" s="5">
        <v>31</v>
      </c>
      <c r="G217" s="5">
        <v>31</v>
      </c>
    </row>
    <row r="218" spans="1:7">
      <c r="A218" s="5">
        <v>217</v>
      </c>
      <c r="B218" s="5">
        <v>0.1212</v>
      </c>
      <c r="C218" s="5">
        <v>0.5</v>
      </c>
      <c r="D218" s="5">
        <v>0.22389999999999999</v>
      </c>
      <c r="E218" s="5">
        <v>2</v>
      </c>
      <c r="F218" s="5">
        <v>75</v>
      </c>
      <c r="G218" s="5">
        <v>77</v>
      </c>
    </row>
    <row r="219" spans="1:7">
      <c r="A219" s="5">
        <v>218</v>
      </c>
      <c r="B219" s="5">
        <v>0.1212</v>
      </c>
      <c r="C219" s="5">
        <v>0.5</v>
      </c>
      <c r="D219" s="5">
        <v>0.28360000000000002</v>
      </c>
      <c r="E219" s="5">
        <v>4</v>
      </c>
      <c r="F219" s="5">
        <v>184</v>
      </c>
      <c r="G219" s="5">
        <v>188</v>
      </c>
    </row>
    <row r="220" spans="1:7">
      <c r="A220" s="5">
        <v>219</v>
      </c>
      <c r="B220" s="5">
        <v>0.1212</v>
      </c>
      <c r="C220" s="5">
        <v>0.5</v>
      </c>
      <c r="D220" s="5">
        <v>0.25369999999999998</v>
      </c>
      <c r="E220" s="5">
        <v>2</v>
      </c>
      <c r="F220" s="5">
        <v>92</v>
      </c>
      <c r="G220" s="5">
        <v>94</v>
      </c>
    </row>
    <row r="221" spans="1:7">
      <c r="A221" s="5">
        <v>220</v>
      </c>
      <c r="B221" s="5">
        <v>0.1212</v>
      </c>
      <c r="C221" s="5">
        <v>0.5</v>
      </c>
      <c r="D221" s="5">
        <v>0.29849999999999999</v>
      </c>
      <c r="E221" s="5">
        <v>0</v>
      </c>
      <c r="F221" s="5">
        <v>31</v>
      </c>
      <c r="G221" s="5">
        <v>31</v>
      </c>
    </row>
    <row r="222" spans="1:7">
      <c r="A222" s="5">
        <v>221</v>
      </c>
      <c r="B222" s="5">
        <v>0.13639999999999999</v>
      </c>
      <c r="C222" s="5">
        <v>0.47</v>
      </c>
      <c r="D222" s="5">
        <v>0.28360000000000002</v>
      </c>
      <c r="E222" s="5">
        <v>2</v>
      </c>
      <c r="F222" s="5">
        <v>28</v>
      </c>
      <c r="G222" s="5">
        <v>30</v>
      </c>
    </row>
    <row r="223" spans="1:7">
      <c r="A223" s="5">
        <v>222</v>
      </c>
      <c r="B223" s="5">
        <v>0.18179999999999999</v>
      </c>
      <c r="C223" s="5">
        <v>0.4</v>
      </c>
      <c r="D223" s="5">
        <v>0.28360000000000002</v>
      </c>
      <c r="E223" s="5">
        <v>5</v>
      </c>
      <c r="F223" s="5">
        <v>47</v>
      </c>
      <c r="G223" s="5">
        <v>52</v>
      </c>
    </row>
    <row r="224" spans="1:7">
      <c r="A224" s="5">
        <v>223</v>
      </c>
      <c r="B224" s="5">
        <v>0.18179999999999999</v>
      </c>
      <c r="C224" s="5">
        <v>0.4</v>
      </c>
      <c r="D224" s="5">
        <v>0.28360000000000002</v>
      </c>
      <c r="E224" s="5">
        <v>4</v>
      </c>
      <c r="F224" s="5">
        <v>50</v>
      </c>
      <c r="G224" s="5">
        <v>54</v>
      </c>
    </row>
    <row r="225" spans="1:7">
      <c r="A225" s="5">
        <v>224</v>
      </c>
      <c r="B225" s="5">
        <v>0.19700000000000001</v>
      </c>
      <c r="C225" s="5">
        <v>0.4</v>
      </c>
      <c r="D225" s="5">
        <v>0.22389999999999999</v>
      </c>
      <c r="E225" s="5">
        <v>0</v>
      </c>
      <c r="F225" s="5">
        <v>47</v>
      </c>
      <c r="G225" s="5">
        <v>47</v>
      </c>
    </row>
    <row r="226" spans="1:7">
      <c r="A226" s="5">
        <v>225</v>
      </c>
      <c r="B226" s="5">
        <v>0.19700000000000001</v>
      </c>
      <c r="C226" s="5">
        <v>0.4</v>
      </c>
      <c r="D226" s="5">
        <v>0.22389999999999999</v>
      </c>
      <c r="E226" s="5">
        <v>2</v>
      </c>
      <c r="F226" s="5">
        <v>43</v>
      </c>
      <c r="G226" s="5">
        <v>45</v>
      </c>
    </row>
    <row r="227" spans="1:7">
      <c r="A227" s="5">
        <v>226</v>
      </c>
      <c r="B227" s="5">
        <v>0.21210000000000001</v>
      </c>
      <c r="C227" s="5">
        <v>0.4</v>
      </c>
      <c r="D227" s="5">
        <v>0.1343</v>
      </c>
      <c r="E227" s="5">
        <v>4</v>
      </c>
      <c r="F227" s="5">
        <v>70</v>
      </c>
      <c r="G227" s="5">
        <v>74</v>
      </c>
    </row>
    <row r="228" spans="1:7">
      <c r="A228" s="5">
        <v>227</v>
      </c>
      <c r="B228" s="5">
        <v>0.2273</v>
      </c>
      <c r="C228" s="5">
        <v>0.4</v>
      </c>
      <c r="D228" s="5">
        <v>0.1045</v>
      </c>
      <c r="E228" s="5">
        <v>4</v>
      </c>
      <c r="F228" s="5">
        <v>174</v>
      </c>
      <c r="G228" s="5">
        <v>178</v>
      </c>
    </row>
    <row r="229" spans="1:7">
      <c r="A229" s="5">
        <v>228</v>
      </c>
      <c r="B229" s="5">
        <v>0.19700000000000001</v>
      </c>
      <c r="C229" s="5">
        <v>0.4</v>
      </c>
      <c r="D229" s="5">
        <v>0.22389999999999999</v>
      </c>
      <c r="E229" s="5">
        <v>1</v>
      </c>
      <c r="F229" s="5">
        <v>154</v>
      </c>
      <c r="G229" s="5">
        <v>155</v>
      </c>
    </row>
    <row r="230" spans="1:7">
      <c r="A230" s="5">
        <v>229</v>
      </c>
      <c r="B230" s="5">
        <v>0.16669999999999999</v>
      </c>
      <c r="C230" s="5">
        <v>0.47</v>
      </c>
      <c r="D230" s="5">
        <v>0.16420000000000001</v>
      </c>
      <c r="E230" s="5">
        <v>3</v>
      </c>
      <c r="F230" s="5">
        <v>92</v>
      </c>
      <c r="G230" s="5">
        <v>95</v>
      </c>
    </row>
    <row r="231" spans="1:7">
      <c r="A231" s="5">
        <v>230</v>
      </c>
      <c r="B231" s="5">
        <v>0.16669999999999999</v>
      </c>
      <c r="C231" s="5">
        <v>0.5</v>
      </c>
      <c r="D231" s="5">
        <v>0.16420000000000001</v>
      </c>
      <c r="E231" s="5">
        <v>1</v>
      </c>
      <c r="F231" s="5">
        <v>73</v>
      </c>
      <c r="G231" s="5">
        <v>74</v>
      </c>
    </row>
    <row r="232" spans="1:7">
      <c r="A232" s="5">
        <v>231</v>
      </c>
      <c r="B232" s="5">
        <v>0.13639999999999999</v>
      </c>
      <c r="C232" s="5">
        <v>0.59</v>
      </c>
      <c r="D232" s="5">
        <v>0.19400000000000001</v>
      </c>
      <c r="E232" s="5">
        <v>1</v>
      </c>
      <c r="F232" s="5">
        <v>37</v>
      </c>
      <c r="G232" s="5">
        <v>38</v>
      </c>
    </row>
    <row r="233" spans="1:7">
      <c r="A233" s="5">
        <v>232</v>
      </c>
      <c r="B233" s="5">
        <v>0.1515</v>
      </c>
      <c r="C233" s="5">
        <v>0.59</v>
      </c>
      <c r="D233" s="5">
        <v>0.16420000000000001</v>
      </c>
      <c r="E233" s="5">
        <v>2</v>
      </c>
      <c r="F233" s="5">
        <v>22</v>
      </c>
      <c r="G233" s="5">
        <v>24</v>
      </c>
    </row>
    <row r="234" spans="1:7">
      <c r="A234" s="5">
        <v>233</v>
      </c>
      <c r="B234" s="5">
        <v>0.1515</v>
      </c>
      <c r="C234" s="5">
        <v>0.59</v>
      </c>
      <c r="D234" s="5">
        <v>0.16420000000000001</v>
      </c>
      <c r="E234" s="5">
        <v>0</v>
      </c>
      <c r="F234" s="5">
        <v>18</v>
      </c>
      <c r="G234" s="5">
        <v>18</v>
      </c>
    </row>
    <row r="235" spans="1:7">
      <c r="A235" s="5">
        <v>234</v>
      </c>
      <c r="B235" s="5">
        <v>0.16669999999999999</v>
      </c>
      <c r="C235" s="5">
        <v>0.59</v>
      </c>
      <c r="D235" s="5">
        <v>0.1045</v>
      </c>
      <c r="E235" s="5">
        <v>2</v>
      </c>
      <c r="F235" s="5">
        <v>10</v>
      </c>
      <c r="G235" s="5">
        <v>12</v>
      </c>
    </row>
    <row r="236" spans="1:7">
      <c r="A236" s="5">
        <v>235</v>
      </c>
      <c r="B236" s="5">
        <v>0.1515</v>
      </c>
      <c r="C236" s="5">
        <v>0.59</v>
      </c>
      <c r="D236" s="5">
        <v>0.16420000000000001</v>
      </c>
      <c r="E236" s="5">
        <v>0</v>
      </c>
      <c r="F236" s="5">
        <v>3</v>
      </c>
      <c r="G236" s="5">
        <v>3</v>
      </c>
    </row>
    <row r="237" spans="1:7">
      <c r="A237" s="5">
        <v>236</v>
      </c>
      <c r="B237" s="5">
        <v>0.1515</v>
      </c>
      <c r="C237" s="5">
        <v>0.55000000000000004</v>
      </c>
      <c r="D237" s="5">
        <v>0.19400000000000001</v>
      </c>
      <c r="E237" s="5">
        <v>0</v>
      </c>
      <c r="F237" s="5">
        <v>3</v>
      </c>
      <c r="G237" s="5">
        <v>3</v>
      </c>
    </row>
    <row r="238" spans="1:7">
      <c r="A238" s="5">
        <v>237</v>
      </c>
      <c r="B238" s="5">
        <v>0.18179999999999999</v>
      </c>
      <c r="C238" s="5">
        <v>0.55000000000000004</v>
      </c>
      <c r="D238" s="5">
        <v>0.1343</v>
      </c>
      <c r="E238" s="5">
        <v>0</v>
      </c>
      <c r="F238" s="5">
        <v>6</v>
      </c>
      <c r="G238" s="5">
        <v>6</v>
      </c>
    </row>
    <row r="239" spans="1:7">
      <c r="A239" s="5">
        <v>238</v>
      </c>
      <c r="B239" s="5">
        <v>0.18179999999999999</v>
      </c>
      <c r="C239" s="5">
        <v>0.55000000000000004</v>
      </c>
      <c r="D239" s="5">
        <v>0.1343</v>
      </c>
      <c r="E239" s="5">
        <v>0</v>
      </c>
      <c r="F239" s="5">
        <v>27</v>
      </c>
      <c r="G239" s="5">
        <v>27</v>
      </c>
    </row>
    <row r="240" spans="1:7">
      <c r="A240" s="5">
        <v>239</v>
      </c>
      <c r="B240" s="5">
        <v>0.2273</v>
      </c>
      <c r="C240" s="5">
        <v>0.55000000000000004</v>
      </c>
      <c r="D240" s="5">
        <v>0</v>
      </c>
      <c r="E240" s="5">
        <v>2</v>
      </c>
      <c r="F240" s="5">
        <v>97</v>
      </c>
      <c r="G240" s="5">
        <v>99</v>
      </c>
    </row>
    <row r="241" spans="1:7">
      <c r="A241" s="5">
        <v>240</v>
      </c>
      <c r="B241" s="5">
        <v>0.21210000000000001</v>
      </c>
      <c r="C241" s="5">
        <v>0.51</v>
      </c>
      <c r="D241" s="5">
        <v>8.9599999999999999E-2</v>
      </c>
      <c r="E241" s="5">
        <v>3</v>
      </c>
      <c r="F241" s="5">
        <v>214</v>
      </c>
      <c r="G241" s="5">
        <v>217</v>
      </c>
    </row>
    <row r="242" spans="1:7">
      <c r="A242" s="5">
        <v>241</v>
      </c>
      <c r="B242" s="5">
        <v>0.19700000000000001</v>
      </c>
      <c r="C242" s="5">
        <v>0.51</v>
      </c>
      <c r="D242" s="5">
        <v>0.16420000000000001</v>
      </c>
      <c r="E242" s="5">
        <v>3</v>
      </c>
      <c r="F242" s="5">
        <v>127</v>
      </c>
      <c r="G242" s="5">
        <v>130</v>
      </c>
    </row>
    <row r="243" spans="1:7">
      <c r="A243" s="5">
        <v>242</v>
      </c>
      <c r="B243" s="5">
        <v>0.21210000000000001</v>
      </c>
      <c r="C243" s="5">
        <v>0.51</v>
      </c>
      <c r="D243" s="5">
        <v>0.16420000000000001</v>
      </c>
      <c r="E243" s="5">
        <v>3</v>
      </c>
      <c r="F243" s="5">
        <v>51</v>
      </c>
      <c r="G243" s="5">
        <v>54</v>
      </c>
    </row>
    <row r="244" spans="1:7">
      <c r="A244" s="5">
        <v>243</v>
      </c>
      <c r="B244" s="5">
        <v>0.21210000000000001</v>
      </c>
      <c r="C244" s="5">
        <v>0.47</v>
      </c>
      <c r="D244" s="5">
        <v>0.1343</v>
      </c>
      <c r="E244" s="5">
        <v>4</v>
      </c>
      <c r="F244" s="5">
        <v>31</v>
      </c>
      <c r="G244" s="5">
        <v>35</v>
      </c>
    </row>
    <row r="245" spans="1:7">
      <c r="A245" s="5">
        <v>244</v>
      </c>
      <c r="B245" s="5">
        <v>0.2273</v>
      </c>
      <c r="C245" s="5">
        <v>0.51</v>
      </c>
      <c r="D245" s="5">
        <v>0.1045</v>
      </c>
      <c r="E245" s="5">
        <v>2</v>
      </c>
      <c r="F245" s="5">
        <v>55</v>
      </c>
      <c r="G245" s="5">
        <v>57</v>
      </c>
    </row>
    <row r="246" spans="1:7">
      <c r="A246" s="5">
        <v>245</v>
      </c>
      <c r="B246" s="5">
        <v>0.2273</v>
      </c>
      <c r="C246" s="5">
        <v>0.59</v>
      </c>
      <c r="D246" s="5">
        <v>8.9599999999999999E-2</v>
      </c>
      <c r="E246" s="5">
        <v>6</v>
      </c>
      <c r="F246" s="5">
        <v>46</v>
      </c>
      <c r="G246" s="5">
        <v>52</v>
      </c>
    </row>
    <row r="247" spans="1:7">
      <c r="A247" s="5">
        <v>246</v>
      </c>
      <c r="B247" s="5">
        <v>0.2273</v>
      </c>
      <c r="C247" s="5">
        <v>0.59</v>
      </c>
      <c r="D247" s="5">
        <v>8.9599999999999999E-2</v>
      </c>
      <c r="E247" s="5">
        <v>3</v>
      </c>
      <c r="F247" s="5">
        <v>60</v>
      </c>
      <c r="G247" s="5">
        <v>63</v>
      </c>
    </row>
    <row r="248" spans="1:7">
      <c r="A248" s="5">
        <v>247</v>
      </c>
      <c r="B248" s="5">
        <v>0.19700000000000001</v>
      </c>
      <c r="C248" s="5">
        <v>0.8</v>
      </c>
      <c r="D248" s="5">
        <v>8.9599999999999999E-2</v>
      </c>
      <c r="E248" s="5">
        <v>2</v>
      </c>
      <c r="F248" s="5">
        <v>45</v>
      </c>
      <c r="G248" s="5">
        <v>47</v>
      </c>
    </row>
    <row r="249" spans="1:7">
      <c r="A249" s="5">
        <v>248</v>
      </c>
      <c r="B249" s="5">
        <v>0.1515</v>
      </c>
      <c r="C249" s="5">
        <v>0.86</v>
      </c>
      <c r="D249" s="5">
        <v>0.22389999999999999</v>
      </c>
      <c r="E249" s="5">
        <v>4</v>
      </c>
      <c r="F249" s="5">
        <v>72</v>
      </c>
      <c r="G249" s="5">
        <v>76</v>
      </c>
    </row>
    <row r="250" spans="1:7">
      <c r="A250" s="5">
        <v>249</v>
      </c>
      <c r="B250" s="5">
        <v>0.1515</v>
      </c>
      <c r="C250" s="5">
        <v>0.86</v>
      </c>
      <c r="D250" s="5">
        <v>0.22389999999999999</v>
      </c>
      <c r="E250" s="5">
        <v>6</v>
      </c>
      <c r="F250" s="5">
        <v>130</v>
      </c>
      <c r="G250" s="5">
        <v>136</v>
      </c>
    </row>
    <row r="251" spans="1:7">
      <c r="A251" s="5">
        <v>250</v>
      </c>
      <c r="B251" s="5">
        <v>0.18179999999999999</v>
      </c>
      <c r="C251" s="5">
        <v>0.93</v>
      </c>
      <c r="D251" s="5">
        <v>0.1045</v>
      </c>
      <c r="E251" s="5">
        <v>1</v>
      </c>
      <c r="F251" s="5">
        <v>94</v>
      </c>
      <c r="G251" s="5">
        <v>95</v>
      </c>
    </row>
    <row r="252" spans="1:7">
      <c r="A252" s="5">
        <v>251</v>
      </c>
      <c r="B252" s="5">
        <v>0.2273</v>
      </c>
      <c r="C252" s="5">
        <v>0.93</v>
      </c>
      <c r="D252" s="5">
        <v>0</v>
      </c>
      <c r="E252" s="5">
        <v>0</v>
      </c>
      <c r="F252" s="5">
        <v>51</v>
      </c>
      <c r="G252" s="5">
        <v>51</v>
      </c>
    </row>
    <row r="253" spans="1:7">
      <c r="A253" s="5">
        <v>252</v>
      </c>
      <c r="B253" s="5">
        <v>0.1515</v>
      </c>
      <c r="C253" s="5">
        <v>0.93</v>
      </c>
      <c r="D253" s="5">
        <v>0.19400000000000001</v>
      </c>
      <c r="E253" s="5">
        <v>0</v>
      </c>
      <c r="F253" s="5">
        <v>32</v>
      </c>
      <c r="G253" s="5">
        <v>32</v>
      </c>
    </row>
    <row r="254" spans="1:7">
      <c r="A254" s="5">
        <v>253</v>
      </c>
      <c r="B254" s="5">
        <v>0.19700000000000001</v>
      </c>
      <c r="C254" s="5">
        <v>0.86</v>
      </c>
      <c r="D254" s="5">
        <v>8.9599999999999999E-2</v>
      </c>
      <c r="E254" s="5">
        <v>0</v>
      </c>
      <c r="F254" s="5">
        <v>20</v>
      </c>
      <c r="G254" s="5">
        <v>20</v>
      </c>
    </row>
    <row r="255" spans="1:7">
      <c r="A255" s="5">
        <v>254</v>
      </c>
      <c r="B255" s="5">
        <v>0.18179999999999999</v>
      </c>
      <c r="C255" s="5">
        <v>0.93</v>
      </c>
      <c r="D255" s="5">
        <v>0.1045</v>
      </c>
      <c r="E255" s="5">
        <v>1</v>
      </c>
      <c r="F255" s="5">
        <v>28</v>
      </c>
      <c r="G255" s="5">
        <v>29</v>
      </c>
    </row>
    <row r="256" spans="1:7">
      <c r="A256" s="5">
        <v>255</v>
      </c>
      <c r="B256" s="5">
        <v>0.19700000000000001</v>
      </c>
      <c r="C256" s="5">
        <v>0.93</v>
      </c>
      <c r="D256" s="5">
        <v>8.9599999999999999E-2</v>
      </c>
      <c r="E256" s="5">
        <v>1</v>
      </c>
      <c r="F256" s="5">
        <v>18</v>
      </c>
      <c r="G256" s="5">
        <v>19</v>
      </c>
    </row>
    <row r="257" spans="1:7">
      <c r="A257" s="5">
        <v>256</v>
      </c>
      <c r="B257" s="5">
        <v>0.19700000000000001</v>
      </c>
      <c r="C257" s="5">
        <v>0.86</v>
      </c>
      <c r="D257" s="5">
        <v>8.9599999999999999E-2</v>
      </c>
      <c r="E257" s="5">
        <v>0</v>
      </c>
      <c r="F257" s="5">
        <v>7</v>
      </c>
      <c r="G257" s="5">
        <v>7</v>
      </c>
    </row>
    <row r="258" spans="1:7">
      <c r="A258" s="5">
        <v>257</v>
      </c>
      <c r="B258" s="5">
        <v>0.18179999999999999</v>
      </c>
      <c r="C258" s="5">
        <v>0.86</v>
      </c>
      <c r="D258" s="5">
        <v>0.1045</v>
      </c>
      <c r="E258" s="5">
        <v>0</v>
      </c>
      <c r="F258" s="5">
        <v>6</v>
      </c>
      <c r="G258" s="5">
        <v>6</v>
      </c>
    </row>
    <row r="259" spans="1:7">
      <c r="A259" s="5">
        <v>258</v>
      </c>
      <c r="B259" s="5">
        <v>0.1515</v>
      </c>
      <c r="C259" s="5">
        <v>0.86</v>
      </c>
      <c r="D259" s="5">
        <v>0.1343</v>
      </c>
      <c r="E259" s="5">
        <v>0</v>
      </c>
      <c r="F259" s="5">
        <v>1</v>
      </c>
      <c r="G259" s="5">
        <v>1</v>
      </c>
    </row>
    <row r="260" spans="1:7">
      <c r="A260" s="5">
        <v>259</v>
      </c>
      <c r="B260" s="5">
        <v>0.1515</v>
      </c>
      <c r="C260" s="5">
        <v>0.86</v>
      </c>
      <c r="D260" s="5">
        <v>0.16420000000000001</v>
      </c>
      <c r="E260" s="5">
        <v>0</v>
      </c>
      <c r="F260" s="5">
        <v>5</v>
      </c>
      <c r="G260" s="5">
        <v>5</v>
      </c>
    </row>
    <row r="261" spans="1:7">
      <c r="A261" s="5">
        <v>260</v>
      </c>
      <c r="B261" s="5">
        <v>0.1515</v>
      </c>
      <c r="C261" s="5">
        <v>0.93</v>
      </c>
      <c r="D261" s="5">
        <v>0.1343</v>
      </c>
      <c r="E261" s="5">
        <v>0</v>
      </c>
      <c r="F261" s="5">
        <v>16</v>
      </c>
      <c r="G261" s="5">
        <v>16</v>
      </c>
    </row>
    <row r="262" spans="1:7">
      <c r="A262" s="5">
        <v>261</v>
      </c>
      <c r="B262" s="5">
        <v>0.1515</v>
      </c>
      <c r="C262" s="5">
        <v>0.69</v>
      </c>
      <c r="D262" s="5">
        <v>0.1343</v>
      </c>
      <c r="E262" s="5">
        <v>0</v>
      </c>
      <c r="F262" s="5">
        <v>54</v>
      </c>
      <c r="G262" s="5">
        <v>54</v>
      </c>
    </row>
    <row r="263" spans="1:7">
      <c r="A263" s="5">
        <v>262</v>
      </c>
      <c r="B263" s="5">
        <v>0.16669999999999999</v>
      </c>
      <c r="C263" s="5">
        <v>0.59</v>
      </c>
      <c r="D263" s="5">
        <v>0.16420000000000001</v>
      </c>
      <c r="E263" s="5">
        <v>3</v>
      </c>
      <c r="F263" s="5">
        <v>125</v>
      </c>
      <c r="G263" s="5">
        <v>128</v>
      </c>
    </row>
    <row r="264" spans="1:7">
      <c r="A264" s="5">
        <v>263</v>
      </c>
      <c r="B264" s="5">
        <v>0.13639999999999999</v>
      </c>
      <c r="C264" s="5">
        <v>0.59</v>
      </c>
      <c r="D264" s="5">
        <v>0.32840000000000003</v>
      </c>
      <c r="E264" s="5">
        <v>3</v>
      </c>
      <c r="F264" s="5">
        <v>78</v>
      </c>
      <c r="G264" s="5">
        <v>81</v>
      </c>
    </row>
    <row r="265" spans="1:7">
      <c r="A265" s="5">
        <v>264</v>
      </c>
      <c r="B265" s="5">
        <v>0.18179999999999999</v>
      </c>
      <c r="C265" s="5">
        <v>0.55000000000000004</v>
      </c>
      <c r="D265" s="5">
        <v>0.22389999999999999</v>
      </c>
      <c r="E265" s="5">
        <v>0</v>
      </c>
      <c r="F265" s="5">
        <v>39</v>
      </c>
      <c r="G265" s="5">
        <v>39</v>
      </c>
    </row>
    <row r="266" spans="1:7">
      <c r="A266" s="5">
        <v>265</v>
      </c>
      <c r="B266" s="5">
        <v>0.18179999999999999</v>
      </c>
      <c r="C266" s="5">
        <v>0.51</v>
      </c>
      <c r="D266" s="5">
        <v>0.3881</v>
      </c>
      <c r="E266" s="5">
        <v>3</v>
      </c>
      <c r="F266" s="5">
        <v>32</v>
      </c>
      <c r="G266" s="5">
        <v>35</v>
      </c>
    </row>
    <row r="267" spans="1:7">
      <c r="A267" s="5">
        <v>266</v>
      </c>
      <c r="B267" s="5">
        <v>0.1515</v>
      </c>
      <c r="C267" s="5">
        <v>0.47</v>
      </c>
      <c r="D267" s="5">
        <v>0.58209999999999995</v>
      </c>
      <c r="E267" s="5">
        <v>3</v>
      </c>
      <c r="F267" s="5">
        <v>52</v>
      </c>
      <c r="G267" s="5">
        <v>55</v>
      </c>
    </row>
    <row r="268" spans="1:7">
      <c r="A268" s="5">
        <v>267</v>
      </c>
      <c r="B268" s="5">
        <v>0.19700000000000001</v>
      </c>
      <c r="C268" s="5">
        <v>0.44</v>
      </c>
      <c r="D268" s="5">
        <v>0.35820000000000002</v>
      </c>
      <c r="E268" s="5">
        <v>0</v>
      </c>
      <c r="F268" s="5">
        <v>49</v>
      </c>
      <c r="G268" s="5">
        <v>49</v>
      </c>
    </row>
    <row r="269" spans="1:7">
      <c r="A269" s="5">
        <v>268</v>
      </c>
      <c r="B269" s="5">
        <v>0.18179999999999999</v>
      </c>
      <c r="C269" s="5">
        <v>0.47</v>
      </c>
      <c r="D269" s="5">
        <v>0.32840000000000003</v>
      </c>
      <c r="E269" s="5">
        <v>0</v>
      </c>
      <c r="F269" s="5">
        <v>44</v>
      </c>
      <c r="G269" s="5">
        <v>44</v>
      </c>
    </row>
    <row r="270" spans="1:7">
      <c r="A270" s="5">
        <v>269</v>
      </c>
      <c r="B270" s="5">
        <v>0.16669999999999999</v>
      </c>
      <c r="C270" s="5">
        <v>0.47</v>
      </c>
      <c r="D270" s="5">
        <v>0.41789999999999999</v>
      </c>
      <c r="E270" s="5">
        <v>1</v>
      </c>
      <c r="F270" s="5">
        <v>48</v>
      </c>
      <c r="G270" s="5">
        <v>49</v>
      </c>
    </row>
    <row r="271" spans="1:7">
      <c r="A271" s="5">
        <v>270</v>
      </c>
      <c r="B271" s="5">
        <v>0.19700000000000001</v>
      </c>
      <c r="C271" s="5">
        <v>0.44</v>
      </c>
      <c r="D271" s="5">
        <v>0.32840000000000003</v>
      </c>
      <c r="E271" s="5">
        <v>5</v>
      </c>
      <c r="F271" s="5">
        <v>63</v>
      </c>
      <c r="G271" s="5">
        <v>68</v>
      </c>
    </row>
    <row r="272" spans="1:7">
      <c r="A272" s="5">
        <v>271</v>
      </c>
      <c r="B272" s="5">
        <v>0.18179999999999999</v>
      </c>
      <c r="C272" s="5">
        <v>0.47</v>
      </c>
      <c r="D272" s="5">
        <v>0.35820000000000002</v>
      </c>
      <c r="E272" s="5">
        <v>0</v>
      </c>
      <c r="F272" s="5">
        <v>139</v>
      </c>
      <c r="G272" s="5">
        <v>139</v>
      </c>
    </row>
    <row r="273" spans="1:7">
      <c r="A273" s="5">
        <v>272</v>
      </c>
      <c r="B273" s="5">
        <v>0.1515</v>
      </c>
      <c r="C273" s="5">
        <v>0.47</v>
      </c>
      <c r="D273" s="5">
        <v>0.52239999999999998</v>
      </c>
      <c r="E273" s="5">
        <v>2</v>
      </c>
      <c r="F273" s="5">
        <v>135</v>
      </c>
      <c r="G273" s="5">
        <v>137</v>
      </c>
    </row>
    <row r="274" spans="1:7">
      <c r="A274" s="5">
        <v>273</v>
      </c>
      <c r="B274" s="5">
        <v>0.1515</v>
      </c>
      <c r="C274" s="5">
        <v>0.47</v>
      </c>
      <c r="D274" s="5">
        <v>0.41789999999999999</v>
      </c>
      <c r="E274" s="5">
        <v>1</v>
      </c>
      <c r="F274" s="5">
        <v>82</v>
      </c>
      <c r="G274" s="5">
        <v>83</v>
      </c>
    </row>
    <row r="275" spans="1:7">
      <c r="A275" s="5">
        <v>274</v>
      </c>
      <c r="B275" s="5">
        <v>0.13639999999999999</v>
      </c>
      <c r="C275" s="5">
        <v>0.5</v>
      </c>
      <c r="D275" s="5">
        <v>0.32840000000000003</v>
      </c>
      <c r="E275" s="5">
        <v>2</v>
      </c>
      <c r="F275" s="5">
        <v>54</v>
      </c>
      <c r="G275" s="5">
        <v>56</v>
      </c>
    </row>
    <row r="276" spans="1:7">
      <c r="A276" s="5">
        <v>275</v>
      </c>
      <c r="B276" s="5">
        <v>0.13639999999999999</v>
      </c>
      <c r="C276" s="5">
        <v>0.55000000000000004</v>
      </c>
      <c r="D276" s="5">
        <v>0.32840000000000003</v>
      </c>
      <c r="E276" s="5">
        <v>0</v>
      </c>
      <c r="F276" s="5">
        <v>57</v>
      </c>
      <c r="G276" s="5">
        <v>57</v>
      </c>
    </row>
    <row r="277" spans="1:7">
      <c r="A277" s="5">
        <v>276</v>
      </c>
      <c r="B277" s="5">
        <v>0.1212</v>
      </c>
      <c r="C277" s="5">
        <v>0.55000000000000004</v>
      </c>
      <c r="D277" s="5">
        <v>0.44779999999999998</v>
      </c>
      <c r="E277" s="5">
        <v>1</v>
      </c>
      <c r="F277" s="5">
        <v>32</v>
      </c>
      <c r="G277" s="5">
        <v>33</v>
      </c>
    </row>
    <row r="278" spans="1:7">
      <c r="A278" s="5">
        <v>277</v>
      </c>
      <c r="B278" s="5">
        <v>0.1061</v>
      </c>
      <c r="C278" s="5">
        <v>0.59</v>
      </c>
      <c r="D278" s="5">
        <v>0.41789999999999999</v>
      </c>
      <c r="E278" s="5">
        <v>1</v>
      </c>
      <c r="F278" s="5">
        <v>19</v>
      </c>
      <c r="G278" s="5">
        <v>20</v>
      </c>
    </row>
    <row r="279" spans="1:7">
      <c r="A279" s="5">
        <v>278</v>
      </c>
      <c r="B279" s="5">
        <v>0.1212</v>
      </c>
      <c r="C279" s="5">
        <v>0.59</v>
      </c>
      <c r="D279" s="5">
        <v>0.28360000000000002</v>
      </c>
      <c r="E279" s="5">
        <v>1</v>
      </c>
      <c r="F279" s="5">
        <v>6</v>
      </c>
      <c r="G279" s="5">
        <v>7</v>
      </c>
    </row>
    <row r="280" spans="1:7">
      <c r="A280" s="5">
        <v>279</v>
      </c>
      <c r="B280" s="5">
        <v>0.1212</v>
      </c>
      <c r="C280" s="5">
        <v>0.5</v>
      </c>
      <c r="D280" s="5">
        <v>0.28360000000000002</v>
      </c>
      <c r="E280" s="5">
        <v>0</v>
      </c>
      <c r="F280" s="5">
        <v>2</v>
      </c>
      <c r="G280" s="5">
        <v>2</v>
      </c>
    </row>
    <row r="281" spans="1:7">
      <c r="A281" s="5">
        <v>280</v>
      </c>
      <c r="B281" s="5">
        <v>0.1212</v>
      </c>
      <c r="C281" s="5">
        <v>0.5</v>
      </c>
      <c r="D281" s="5">
        <v>0.35820000000000002</v>
      </c>
      <c r="E281" s="5">
        <v>0</v>
      </c>
      <c r="F281" s="5">
        <v>2</v>
      </c>
      <c r="G281" s="5">
        <v>2</v>
      </c>
    </row>
    <row r="282" spans="1:7">
      <c r="A282" s="5">
        <v>281</v>
      </c>
      <c r="B282" s="5">
        <v>0.1212</v>
      </c>
      <c r="C282" s="5">
        <v>0.5</v>
      </c>
      <c r="D282" s="5">
        <v>0.32840000000000003</v>
      </c>
      <c r="E282" s="5">
        <v>0</v>
      </c>
      <c r="F282" s="5">
        <v>3</v>
      </c>
      <c r="G282" s="5">
        <v>3</v>
      </c>
    </row>
    <row r="283" spans="1:7">
      <c r="A283" s="5">
        <v>282</v>
      </c>
      <c r="B283" s="5">
        <v>0.1212</v>
      </c>
      <c r="C283" s="5">
        <v>0.5</v>
      </c>
      <c r="D283" s="5">
        <v>0.25369999999999998</v>
      </c>
      <c r="E283" s="5">
        <v>0</v>
      </c>
      <c r="F283" s="5">
        <v>4</v>
      </c>
      <c r="G283" s="5">
        <v>4</v>
      </c>
    </row>
    <row r="284" spans="1:7">
      <c r="A284" s="5">
        <v>283</v>
      </c>
      <c r="B284" s="5">
        <v>0.1212</v>
      </c>
      <c r="C284" s="5">
        <v>0.5</v>
      </c>
      <c r="D284" s="5">
        <v>0.29849999999999999</v>
      </c>
      <c r="E284" s="5">
        <v>0</v>
      </c>
      <c r="F284" s="5">
        <v>3</v>
      </c>
      <c r="G284" s="5">
        <v>3</v>
      </c>
    </row>
    <row r="285" spans="1:7">
      <c r="A285" s="5">
        <v>284</v>
      </c>
      <c r="B285" s="5">
        <v>0.1515</v>
      </c>
      <c r="C285" s="5">
        <v>0.54</v>
      </c>
      <c r="D285" s="5">
        <v>0.1343</v>
      </c>
      <c r="E285" s="5">
        <v>0</v>
      </c>
      <c r="F285" s="5">
        <v>28</v>
      </c>
      <c r="G285" s="5">
        <v>28</v>
      </c>
    </row>
    <row r="286" spans="1:7">
      <c r="A286" s="5">
        <v>285</v>
      </c>
      <c r="B286" s="5">
        <v>0.1515</v>
      </c>
      <c r="C286" s="5">
        <v>0.54</v>
      </c>
      <c r="D286" s="5">
        <v>0.1343</v>
      </c>
      <c r="E286" s="5">
        <v>0</v>
      </c>
      <c r="F286" s="5">
        <v>72</v>
      </c>
      <c r="G286" s="5">
        <v>72</v>
      </c>
    </row>
    <row r="287" spans="1:7">
      <c r="A287" s="5">
        <v>286</v>
      </c>
      <c r="B287" s="5">
        <v>0.13639999999999999</v>
      </c>
      <c r="C287" s="5">
        <v>0.5</v>
      </c>
      <c r="D287" s="5">
        <v>0.19400000000000001</v>
      </c>
      <c r="E287" s="5">
        <v>5</v>
      </c>
      <c r="F287" s="5">
        <v>197</v>
      </c>
      <c r="G287" s="5">
        <v>202</v>
      </c>
    </row>
    <row r="288" spans="1:7">
      <c r="A288" s="5">
        <v>287</v>
      </c>
      <c r="B288" s="5">
        <v>0.1212</v>
      </c>
      <c r="C288" s="5">
        <v>0.5</v>
      </c>
      <c r="D288" s="5">
        <v>0.32840000000000003</v>
      </c>
      <c r="E288" s="5">
        <v>2</v>
      </c>
      <c r="F288" s="5">
        <v>137</v>
      </c>
      <c r="G288" s="5">
        <v>139</v>
      </c>
    </row>
    <row r="289" spans="1:7">
      <c r="A289" s="5">
        <v>288</v>
      </c>
      <c r="B289" s="5">
        <v>0.13639999999999999</v>
      </c>
      <c r="C289" s="5">
        <v>0.5</v>
      </c>
      <c r="D289" s="5">
        <v>0.35820000000000002</v>
      </c>
      <c r="E289" s="5">
        <v>2</v>
      </c>
      <c r="F289" s="5">
        <v>36</v>
      </c>
      <c r="G289" s="5">
        <v>38</v>
      </c>
    </row>
    <row r="290" spans="1:7">
      <c r="A290" s="5">
        <v>289</v>
      </c>
      <c r="B290" s="5">
        <v>0.16669999999999999</v>
      </c>
      <c r="C290" s="5">
        <v>0.44</v>
      </c>
      <c r="D290" s="5">
        <v>0.44779999999999998</v>
      </c>
      <c r="E290" s="5">
        <v>4</v>
      </c>
      <c r="F290" s="5">
        <v>33</v>
      </c>
      <c r="G290" s="5">
        <v>37</v>
      </c>
    </row>
    <row r="291" spans="1:7">
      <c r="A291" s="5">
        <v>290</v>
      </c>
      <c r="B291" s="5">
        <v>0.16669999999999999</v>
      </c>
      <c r="C291" s="5">
        <v>0.44</v>
      </c>
      <c r="D291" s="5">
        <v>0.41789999999999999</v>
      </c>
      <c r="E291" s="5">
        <v>3</v>
      </c>
      <c r="F291" s="5">
        <v>49</v>
      </c>
      <c r="G291" s="5">
        <v>52</v>
      </c>
    </row>
    <row r="292" spans="1:7">
      <c r="A292" s="5">
        <v>291</v>
      </c>
      <c r="B292" s="5">
        <v>0.19700000000000001</v>
      </c>
      <c r="C292" s="5">
        <v>0.41</v>
      </c>
      <c r="D292" s="5">
        <v>0.44779999999999998</v>
      </c>
      <c r="E292" s="5">
        <v>2</v>
      </c>
      <c r="F292" s="5">
        <v>81</v>
      </c>
      <c r="G292" s="5">
        <v>83</v>
      </c>
    </row>
    <row r="293" spans="1:7">
      <c r="A293" s="5">
        <v>292</v>
      </c>
      <c r="B293" s="5">
        <v>0.19700000000000001</v>
      </c>
      <c r="C293" s="5">
        <v>0.41</v>
      </c>
      <c r="D293" s="5">
        <v>0.3881</v>
      </c>
      <c r="E293" s="5">
        <v>3</v>
      </c>
      <c r="F293" s="5">
        <v>39</v>
      </c>
      <c r="G293" s="5">
        <v>42</v>
      </c>
    </row>
    <row r="294" spans="1:7">
      <c r="A294" s="5">
        <v>293</v>
      </c>
      <c r="B294" s="5">
        <v>0.21210000000000001</v>
      </c>
      <c r="C294" s="5">
        <v>0.38</v>
      </c>
      <c r="D294" s="5">
        <v>0.29849999999999999</v>
      </c>
      <c r="E294" s="5">
        <v>5</v>
      </c>
      <c r="F294" s="5">
        <v>55</v>
      </c>
      <c r="G294" s="5">
        <v>60</v>
      </c>
    </row>
    <row r="295" spans="1:7">
      <c r="A295" s="5">
        <v>294</v>
      </c>
      <c r="B295" s="5">
        <v>0.21210000000000001</v>
      </c>
      <c r="C295" s="5">
        <v>0.38</v>
      </c>
      <c r="D295" s="5">
        <v>0.35820000000000002</v>
      </c>
      <c r="E295" s="5">
        <v>2</v>
      </c>
      <c r="F295" s="5">
        <v>76</v>
      </c>
      <c r="G295" s="5">
        <v>78</v>
      </c>
    </row>
    <row r="296" spans="1:7">
      <c r="A296" s="5">
        <v>295</v>
      </c>
      <c r="B296" s="5">
        <v>0.18179999999999999</v>
      </c>
      <c r="C296" s="5">
        <v>0.4</v>
      </c>
      <c r="D296" s="5">
        <v>0.28360000000000002</v>
      </c>
      <c r="E296" s="5">
        <v>4</v>
      </c>
      <c r="F296" s="5">
        <v>158</v>
      </c>
      <c r="G296" s="5">
        <v>162</v>
      </c>
    </row>
    <row r="297" spans="1:7">
      <c r="A297" s="5">
        <v>296</v>
      </c>
      <c r="B297" s="5">
        <v>0.18179999999999999</v>
      </c>
      <c r="C297" s="5">
        <v>0.4</v>
      </c>
      <c r="D297" s="5">
        <v>0.32840000000000003</v>
      </c>
      <c r="E297" s="5">
        <v>3</v>
      </c>
      <c r="F297" s="5">
        <v>141</v>
      </c>
      <c r="G297" s="5">
        <v>144</v>
      </c>
    </row>
    <row r="298" spans="1:7">
      <c r="A298" s="5">
        <v>297</v>
      </c>
      <c r="B298" s="5">
        <v>0.1515</v>
      </c>
      <c r="C298" s="5">
        <v>0.47</v>
      </c>
      <c r="D298" s="5">
        <v>0.25369999999999998</v>
      </c>
      <c r="E298" s="5">
        <v>1</v>
      </c>
      <c r="F298" s="5">
        <v>98</v>
      </c>
      <c r="G298" s="5">
        <v>99</v>
      </c>
    </row>
    <row r="299" spans="1:7">
      <c r="A299" s="5">
        <v>298</v>
      </c>
      <c r="B299" s="5">
        <v>0.1515</v>
      </c>
      <c r="C299" s="5">
        <v>0.47</v>
      </c>
      <c r="D299" s="5">
        <v>0.22389999999999999</v>
      </c>
      <c r="E299" s="5">
        <v>0</v>
      </c>
      <c r="F299" s="5">
        <v>64</v>
      </c>
      <c r="G299" s="5">
        <v>64</v>
      </c>
    </row>
    <row r="300" spans="1:7">
      <c r="A300" s="5">
        <v>299</v>
      </c>
      <c r="B300" s="5">
        <v>0.1212</v>
      </c>
      <c r="C300" s="5">
        <v>0.46</v>
      </c>
      <c r="D300" s="5">
        <v>0.29849999999999999</v>
      </c>
      <c r="E300" s="5">
        <v>0</v>
      </c>
      <c r="F300" s="5">
        <v>40</v>
      </c>
      <c r="G300" s="5">
        <v>40</v>
      </c>
    </row>
    <row r="301" spans="1:7">
      <c r="A301" s="5">
        <v>300</v>
      </c>
      <c r="B301" s="5">
        <v>0.1212</v>
      </c>
      <c r="C301" s="5">
        <v>0.46</v>
      </c>
      <c r="D301" s="5">
        <v>0.32840000000000003</v>
      </c>
      <c r="E301" s="5">
        <v>0</v>
      </c>
      <c r="F301" s="5">
        <v>30</v>
      </c>
      <c r="G301" s="5">
        <v>30</v>
      </c>
    </row>
    <row r="302" spans="1:7">
      <c r="A302" s="5">
        <v>301</v>
      </c>
      <c r="B302" s="5">
        <v>0.13639999999999999</v>
      </c>
      <c r="C302" s="5">
        <v>0.5</v>
      </c>
      <c r="D302" s="5">
        <v>0.19400000000000001</v>
      </c>
      <c r="E302" s="5">
        <v>1</v>
      </c>
      <c r="F302" s="5">
        <v>14</v>
      </c>
      <c r="G302" s="5">
        <v>15</v>
      </c>
    </row>
    <row r="303" spans="1:7">
      <c r="A303" s="5">
        <v>302</v>
      </c>
      <c r="B303" s="5">
        <v>0.13639999999999999</v>
      </c>
      <c r="C303" s="5">
        <v>0.5</v>
      </c>
      <c r="D303" s="5">
        <v>0.19400000000000001</v>
      </c>
      <c r="E303" s="5">
        <v>0</v>
      </c>
      <c r="F303" s="5">
        <v>14</v>
      </c>
      <c r="G303" s="5">
        <v>14</v>
      </c>
    </row>
    <row r="304" spans="1:7">
      <c r="A304" s="5">
        <v>303</v>
      </c>
      <c r="B304" s="5">
        <v>0.1212</v>
      </c>
      <c r="C304" s="5">
        <v>0.54</v>
      </c>
      <c r="D304" s="5">
        <v>0.16420000000000001</v>
      </c>
      <c r="E304" s="5">
        <v>0</v>
      </c>
      <c r="F304" s="5">
        <v>5</v>
      </c>
      <c r="G304" s="5">
        <v>5</v>
      </c>
    </row>
    <row r="305" spans="1:7">
      <c r="A305" s="5">
        <v>304</v>
      </c>
      <c r="B305" s="5">
        <v>0.1212</v>
      </c>
      <c r="C305" s="5">
        <v>0.54</v>
      </c>
      <c r="D305" s="5">
        <v>0.1343</v>
      </c>
      <c r="E305" s="5">
        <v>0</v>
      </c>
      <c r="F305" s="5">
        <v>1</v>
      </c>
      <c r="G305" s="5">
        <v>1</v>
      </c>
    </row>
    <row r="306" spans="1:7">
      <c r="A306" s="5">
        <v>305</v>
      </c>
      <c r="B306" s="5">
        <v>0.13639999999999999</v>
      </c>
      <c r="C306" s="5">
        <v>0.54</v>
      </c>
      <c r="D306" s="5">
        <v>0.1045</v>
      </c>
      <c r="E306" s="5">
        <v>0</v>
      </c>
      <c r="F306" s="5">
        <v>1</v>
      </c>
      <c r="G306" s="5">
        <v>1</v>
      </c>
    </row>
    <row r="307" spans="1:7">
      <c r="A307" s="5">
        <v>306</v>
      </c>
      <c r="B307" s="5">
        <v>0.13639999999999999</v>
      </c>
      <c r="C307" s="5">
        <v>0.54</v>
      </c>
      <c r="D307" s="5">
        <v>8.9599999999999999E-2</v>
      </c>
      <c r="E307" s="5">
        <v>0</v>
      </c>
      <c r="F307" s="5">
        <v>8</v>
      </c>
      <c r="G307" s="5">
        <v>8</v>
      </c>
    </row>
    <row r="308" spans="1:7">
      <c r="A308" s="5">
        <v>307</v>
      </c>
      <c r="B308" s="5">
        <v>0.18179999999999999</v>
      </c>
      <c r="C308" s="5">
        <v>0.54</v>
      </c>
      <c r="D308" s="5">
        <v>0</v>
      </c>
      <c r="E308" s="5">
        <v>0</v>
      </c>
      <c r="F308" s="5">
        <v>17</v>
      </c>
      <c r="G308" s="5">
        <v>17</v>
      </c>
    </row>
    <row r="309" spans="1:7">
      <c r="A309" s="5">
        <v>308</v>
      </c>
      <c r="B309" s="5">
        <v>0.1212</v>
      </c>
      <c r="C309" s="5">
        <v>0.74</v>
      </c>
      <c r="D309" s="5">
        <v>0.16420000000000001</v>
      </c>
      <c r="E309" s="5">
        <v>0</v>
      </c>
      <c r="F309" s="5">
        <v>70</v>
      </c>
      <c r="G309" s="5">
        <v>70</v>
      </c>
    </row>
    <row r="310" spans="1:7">
      <c r="A310" s="5">
        <v>309</v>
      </c>
      <c r="B310" s="5">
        <v>0.16669999999999999</v>
      </c>
      <c r="C310" s="5">
        <v>0.68</v>
      </c>
      <c r="D310" s="5">
        <v>0</v>
      </c>
      <c r="E310" s="5">
        <v>2</v>
      </c>
      <c r="F310" s="5">
        <v>156</v>
      </c>
      <c r="G310" s="5">
        <v>158</v>
      </c>
    </row>
    <row r="311" spans="1:7">
      <c r="A311" s="5">
        <v>310</v>
      </c>
      <c r="B311" s="5">
        <v>0.1515</v>
      </c>
      <c r="C311" s="5">
        <v>0.69</v>
      </c>
      <c r="D311" s="5">
        <v>0.1343</v>
      </c>
      <c r="E311" s="5">
        <v>0</v>
      </c>
      <c r="F311" s="5">
        <v>117</v>
      </c>
      <c r="G311" s="5">
        <v>117</v>
      </c>
    </row>
    <row r="312" spans="1:7">
      <c r="A312" s="5">
        <v>311</v>
      </c>
      <c r="B312" s="5">
        <v>0.18179999999999999</v>
      </c>
      <c r="C312" s="5">
        <v>0.55000000000000004</v>
      </c>
      <c r="D312" s="5">
        <v>0.19400000000000001</v>
      </c>
      <c r="E312" s="5">
        <v>4</v>
      </c>
      <c r="F312" s="5">
        <v>40</v>
      </c>
      <c r="G312" s="5">
        <v>44</v>
      </c>
    </row>
    <row r="313" spans="1:7">
      <c r="A313" s="5">
        <v>312</v>
      </c>
      <c r="B313" s="5">
        <v>0.16669999999999999</v>
      </c>
      <c r="C313" s="5">
        <v>0.51</v>
      </c>
      <c r="D313" s="5">
        <v>0.28360000000000002</v>
      </c>
      <c r="E313" s="5">
        <v>6</v>
      </c>
      <c r="F313" s="5">
        <v>47</v>
      </c>
      <c r="G313" s="5">
        <v>53</v>
      </c>
    </row>
    <row r="314" spans="1:7">
      <c r="A314" s="5">
        <v>313</v>
      </c>
      <c r="B314" s="5">
        <v>0.19700000000000001</v>
      </c>
      <c r="C314" s="5">
        <v>0.44</v>
      </c>
      <c r="D314" s="5">
        <v>0.25369999999999998</v>
      </c>
      <c r="E314" s="5">
        <v>2</v>
      </c>
      <c r="F314" s="5">
        <v>59</v>
      </c>
      <c r="G314" s="5">
        <v>61</v>
      </c>
    </row>
    <row r="315" spans="1:7">
      <c r="A315" s="5">
        <v>314</v>
      </c>
      <c r="B315" s="5">
        <v>0.19700000000000001</v>
      </c>
      <c r="C315" s="5">
        <v>0.37</v>
      </c>
      <c r="D315" s="5">
        <v>0.3881</v>
      </c>
      <c r="E315" s="5">
        <v>4</v>
      </c>
      <c r="F315" s="5">
        <v>73</v>
      </c>
      <c r="G315" s="5">
        <v>77</v>
      </c>
    </row>
    <row r="316" spans="1:7">
      <c r="A316" s="5">
        <v>315</v>
      </c>
      <c r="B316" s="5">
        <v>0.21210000000000001</v>
      </c>
      <c r="C316" s="5">
        <v>0.41</v>
      </c>
      <c r="D316" s="5">
        <v>0.28360000000000002</v>
      </c>
      <c r="E316" s="5">
        <v>5</v>
      </c>
      <c r="F316" s="5">
        <v>59</v>
      </c>
      <c r="G316" s="5">
        <v>64</v>
      </c>
    </row>
    <row r="317" spans="1:7">
      <c r="A317" s="5">
        <v>316</v>
      </c>
      <c r="B317" s="5">
        <v>0.2424</v>
      </c>
      <c r="C317" s="5">
        <v>0.38</v>
      </c>
      <c r="D317" s="5">
        <v>0.16420000000000001</v>
      </c>
      <c r="E317" s="5">
        <v>9</v>
      </c>
      <c r="F317" s="5">
        <v>59</v>
      </c>
      <c r="G317" s="5">
        <v>68</v>
      </c>
    </row>
    <row r="318" spans="1:7">
      <c r="A318" s="5">
        <v>317</v>
      </c>
      <c r="B318" s="5">
        <v>0.2424</v>
      </c>
      <c r="C318" s="5">
        <v>0.41</v>
      </c>
      <c r="D318" s="5">
        <v>0.1045</v>
      </c>
      <c r="E318" s="5">
        <v>3</v>
      </c>
      <c r="F318" s="5">
        <v>87</v>
      </c>
      <c r="G318" s="5">
        <v>90</v>
      </c>
    </row>
    <row r="319" spans="1:7">
      <c r="A319" s="5">
        <v>318</v>
      </c>
      <c r="B319" s="5">
        <v>0.2273</v>
      </c>
      <c r="C319" s="5">
        <v>0.41</v>
      </c>
      <c r="D319" s="5">
        <v>0.16420000000000001</v>
      </c>
      <c r="E319" s="5">
        <v>4</v>
      </c>
      <c r="F319" s="5">
        <v>155</v>
      </c>
      <c r="G319" s="5">
        <v>159</v>
      </c>
    </row>
    <row r="320" spans="1:7">
      <c r="A320" s="5">
        <v>319</v>
      </c>
      <c r="B320" s="5">
        <v>0.2576</v>
      </c>
      <c r="C320" s="5">
        <v>0.47</v>
      </c>
      <c r="D320" s="5">
        <v>0</v>
      </c>
      <c r="E320" s="5">
        <v>5</v>
      </c>
      <c r="F320" s="5">
        <v>134</v>
      </c>
      <c r="G320" s="5">
        <v>139</v>
      </c>
    </row>
    <row r="321" spans="1:7">
      <c r="A321" s="5">
        <v>320</v>
      </c>
      <c r="B321" s="5">
        <v>0.19700000000000001</v>
      </c>
      <c r="C321" s="5">
        <v>0.59</v>
      </c>
      <c r="D321" s="5">
        <v>8.9599999999999999E-2</v>
      </c>
      <c r="E321" s="5">
        <v>3</v>
      </c>
      <c r="F321" s="5">
        <v>89</v>
      </c>
      <c r="G321" s="5">
        <v>92</v>
      </c>
    </row>
    <row r="322" spans="1:7">
      <c r="A322" s="5">
        <v>321</v>
      </c>
      <c r="B322" s="5">
        <v>0.2424</v>
      </c>
      <c r="C322" s="5">
        <v>0.59</v>
      </c>
      <c r="D322" s="5">
        <v>0</v>
      </c>
      <c r="E322" s="5">
        <v>0</v>
      </c>
      <c r="F322" s="5">
        <v>68</v>
      </c>
      <c r="G322" s="5">
        <v>68</v>
      </c>
    </row>
    <row r="323" spans="1:7">
      <c r="A323" s="5">
        <v>322</v>
      </c>
      <c r="B323" s="5">
        <v>0.2273</v>
      </c>
      <c r="C323" s="5">
        <v>0.69</v>
      </c>
      <c r="D323" s="5">
        <v>0</v>
      </c>
      <c r="E323" s="5">
        <v>4</v>
      </c>
      <c r="F323" s="5">
        <v>48</v>
      </c>
      <c r="G323" s="5">
        <v>52</v>
      </c>
    </row>
    <row r="324" spans="1:7">
      <c r="A324" s="5">
        <v>323</v>
      </c>
      <c r="B324" s="5">
        <v>0.2273</v>
      </c>
      <c r="C324" s="5">
        <v>0.69</v>
      </c>
      <c r="D324" s="5">
        <v>0</v>
      </c>
      <c r="E324" s="5">
        <v>2</v>
      </c>
      <c r="F324" s="5">
        <v>34</v>
      </c>
      <c r="G324" s="5">
        <v>36</v>
      </c>
    </row>
    <row r="325" spans="1:7">
      <c r="A325" s="5">
        <v>324</v>
      </c>
      <c r="B325" s="5">
        <v>0.2424</v>
      </c>
      <c r="C325" s="5">
        <v>0.55000000000000004</v>
      </c>
      <c r="D325" s="5">
        <v>0</v>
      </c>
      <c r="E325" s="5">
        <v>1</v>
      </c>
      <c r="F325" s="5">
        <v>26</v>
      </c>
      <c r="G325" s="5">
        <v>27</v>
      </c>
    </row>
    <row r="326" spans="1:7">
      <c r="A326" s="5">
        <v>325</v>
      </c>
      <c r="B326" s="5">
        <v>0.2424</v>
      </c>
      <c r="C326" s="5">
        <v>0.55000000000000004</v>
      </c>
      <c r="D326" s="5">
        <v>0</v>
      </c>
      <c r="E326" s="5">
        <v>3</v>
      </c>
      <c r="F326" s="5">
        <v>25</v>
      </c>
      <c r="G326" s="5">
        <v>28</v>
      </c>
    </row>
    <row r="327" spans="1:7">
      <c r="A327" s="5">
        <v>326</v>
      </c>
      <c r="B327" s="5">
        <v>0.19700000000000001</v>
      </c>
      <c r="C327" s="5">
        <v>0.59</v>
      </c>
      <c r="D327" s="5">
        <v>8.9599999999999999E-2</v>
      </c>
      <c r="E327" s="5">
        <v>2</v>
      </c>
      <c r="F327" s="5">
        <v>18</v>
      </c>
      <c r="G327" s="5">
        <v>20</v>
      </c>
    </row>
    <row r="328" spans="1:7">
      <c r="A328" s="5">
        <v>327</v>
      </c>
      <c r="B328" s="5">
        <v>0.19700000000000001</v>
      </c>
      <c r="C328" s="5">
        <v>0.59</v>
      </c>
      <c r="D328" s="5">
        <v>8.9599999999999999E-2</v>
      </c>
      <c r="E328" s="5">
        <v>0</v>
      </c>
      <c r="F328" s="5">
        <v>12</v>
      </c>
      <c r="G328" s="5">
        <v>12</v>
      </c>
    </row>
    <row r="329" spans="1:7">
      <c r="A329" s="5">
        <v>328</v>
      </c>
      <c r="B329" s="5">
        <v>0.2273</v>
      </c>
      <c r="C329" s="5">
        <v>0.59</v>
      </c>
      <c r="D329" s="5">
        <v>0</v>
      </c>
      <c r="E329" s="5">
        <v>1</v>
      </c>
      <c r="F329" s="5">
        <v>7</v>
      </c>
      <c r="G329" s="5">
        <v>8</v>
      </c>
    </row>
    <row r="330" spans="1:7">
      <c r="A330" s="5">
        <v>329</v>
      </c>
      <c r="B330" s="5">
        <v>0.2273</v>
      </c>
      <c r="C330" s="5">
        <v>0.59</v>
      </c>
      <c r="D330" s="5">
        <v>0</v>
      </c>
      <c r="E330" s="5">
        <v>0</v>
      </c>
      <c r="F330" s="5">
        <v>5</v>
      </c>
      <c r="G330" s="5">
        <v>5</v>
      </c>
    </row>
    <row r="331" spans="1:7">
      <c r="A331" s="5">
        <v>330</v>
      </c>
      <c r="B331" s="5">
        <v>0.2273</v>
      </c>
      <c r="C331" s="5">
        <v>0.59</v>
      </c>
      <c r="D331" s="5">
        <v>0</v>
      </c>
      <c r="E331" s="5">
        <v>0</v>
      </c>
      <c r="F331" s="5">
        <v>1</v>
      </c>
      <c r="G331" s="5">
        <v>1</v>
      </c>
    </row>
    <row r="332" spans="1:7">
      <c r="A332" s="5">
        <v>331</v>
      </c>
      <c r="B332" s="5">
        <v>0.16669999999999999</v>
      </c>
      <c r="C332" s="5">
        <v>0.63</v>
      </c>
      <c r="D332" s="5">
        <v>0.1045</v>
      </c>
      <c r="E332" s="5">
        <v>1</v>
      </c>
      <c r="F332" s="5">
        <v>2</v>
      </c>
      <c r="G332" s="5">
        <v>3</v>
      </c>
    </row>
    <row r="333" spans="1:7">
      <c r="A333" s="5">
        <v>332</v>
      </c>
      <c r="B333" s="5">
        <v>0.21210000000000001</v>
      </c>
      <c r="C333" s="5">
        <v>0.63</v>
      </c>
      <c r="D333" s="5">
        <v>0</v>
      </c>
      <c r="E333" s="5">
        <v>1</v>
      </c>
      <c r="F333" s="5">
        <v>9</v>
      </c>
      <c r="G333" s="5">
        <v>10</v>
      </c>
    </row>
    <row r="334" spans="1:7">
      <c r="A334" s="5">
        <v>333</v>
      </c>
      <c r="B334" s="5">
        <v>0.1515</v>
      </c>
      <c r="C334" s="5">
        <v>0.63</v>
      </c>
      <c r="D334" s="5">
        <v>0.1343</v>
      </c>
      <c r="E334" s="5">
        <v>1</v>
      </c>
      <c r="F334" s="5">
        <v>22</v>
      </c>
      <c r="G334" s="5">
        <v>23</v>
      </c>
    </row>
    <row r="335" spans="1:7">
      <c r="A335" s="5">
        <v>334</v>
      </c>
      <c r="B335" s="5">
        <v>0.18179999999999999</v>
      </c>
      <c r="C335" s="5">
        <v>0.64</v>
      </c>
      <c r="D335" s="5">
        <v>0.1343</v>
      </c>
      <c r="E335" s="5">
        <v>2</v>
      </c>
      <c r="F335" s="5">
        <v>31</v>
      </c>
      <c r="G335" s="5">
        <v>33</v>
      </c>
    </row>
    <row r="336" spans="1:7">
      <c r="A336" s="5">
        <v>335</v>
      </c>
      <c r="B336" s="5">
        <v>0.19700000000000001</v>
      </c>
      <c r="C336" s="5">
        <v>0.59</v>
      </c>
      <c r="D336" s="5">
        <v>0.16420000000000001</v>
      </c>
      <c r="E336" s="5">
        <v>2</v>
      </c>
      <c r="F336" s="5">
        <v>57</v>
      </c>
      <c r="G336" s="5">
        <v>59</v>
      </c>
    </row>
    <row r="337" spans="1:7">
      <c r="A337" s="5">
        <v>336</v>
      </c>
      <c r="B337" s="5">
        <v>0.19700000000000001</v>
      </c>
      <c r="C337" s="5">
        <v>0.55000000000000004</v>
      </c>
      <c r="D337" s="5">
        <v>0.22389999999999999</v>
      </c>
      <c r="E337" s="5">
        <v>18</v>
      </c>
      <c r="F337" s="5">
        <v>54</v>
      </c>
      <c r="G337" s="5">
        <v>72</v>
      </c>
    </row>
    <row r="338" spans="1:7">
      <c r="A338" s="5">
        <v>337</v>
      </c>
      <c r="B338" s="5">
        <v>0.2273</v>
      </c>
      <c r="C338" s="5">
        <v>0.48</v>
      </c>
      <c r="D338" s="5">
        <v>0.22389999999999999</v>
      </c>
      <c r="E338" s="5">
        <v>15</v>
      </c>
      <c r="F338" s="5">
        <v>74</v>
      </c>
      <c r="G338" s="5">
        <v>89</v>
      </c>
    </row>
    <row r="339" spans="1:7">
      <c r="A339" s="5">
        <v>338</v>
      </c>
      <c r="B339" s="5">
        <v>0.2576</v>
      </c>
      <c r="C339" s="5">
        <v>0.38</v>
      </c>
      <c r="D339" s="5">
        <v>0.29849999999999999</v>
      </c>
      <c r="E339" s="5">
        <v>21</v>
      </c>
      <c r="F339" s="5">
        <v>80</v>
      </c>
      <c r="G339" s="5">
        <v>101</v>
      </c>
    </row>
    <row r="340" spans="1:7">
      <c r="A340" s="5">
        <v>339</v>
      </c>
      <c r="B340" s="5">
        <v>0.28789999999999999</v>
      </c>
      <c r="C340" s="5">
        <v>0.39</v>
      </c>
      <c r="D340" s="5">
        <v>0.28360000000000002</v>
      </c>
      <c r="E340" s="5">
        <v>26</v>
      </c>
      <c r="F340" s="5">
        <v>92</v>
      </c>
      <c r="G340" s="5">
        <v>118</v>
      </c>
    </row>
    <row r="341" spans="1:7">
      <c r="A341" s="5">
        <v>340</v>
      </c>
      <c r="B341" s="5">
        <v>0.31819999999999998</v>
      </c>
      <c r="C341" s="5">
        <v>0.36</v>
      </c>
      <c r="D341" s="5">
        <v>0.19400000000000001</v>
      </c>
      <c r="E341" s="5">
        <v>21</v>
      </c>
      <c r="F341" s="5">
        <v>108</v>
      </c>
      <c r="G341" s="5">
        <v>129</v>
      </c>
    </row>
    <row r="342" spans="1:7">
      <c r="A342" s="5">
        <v>341</v>
      </c>
      <c r="B342" s="5">
        <v>0.33329999999999999</v>
      </c>
      <c r="C342" s="5">
        <v>0.34</v>
      </c>
      <c r="D342" s="5">
        <v>0.19400000000000001</v>
      </c>
      <c r="E342" s="5">
        <v>33</v>
      </c>
      <c r="F342" s="5">
        <v>95</v>
      </c>
      <c r="G342" s="5">
        <v>128</v>
      </c>
    </row>
    <row r="343" spans="1:7">
      <c r="A343" s="5">
        <v>342</v>
      </c>
      <c r="B343" s="5">
        <v>0.30299999999999999</v>
      </c>
      <c r="C343" s="5">
        <v>0.36</v>
      </c>
      <c r="D343" s="5">
        <v>0.28360000000000002</v>
      </c>
      <c r="E343" s="5">
        <v>29</v>
      </c>
      <c r="F343" s="5">
        <v>54</v>
      </c>
      <c r="G343" s="5">
        <v>83</v>
      </c>
    </row>
    <row r="344" spans="1:7">
      <c r="A344" s="5">
        <v>343</v>
      </c>
      <c r="B344" s="5">
        <v>0.28789999999999999</v>
      </c>
      <c r="C344" s="5">
        <v>0.45</v>
      </c>
      <c r="D344" s="5">
        <v>0.25369999999999998</v>
      </c>
      <c r="E344" s="5">
        <v>15</v>
      </c>
      <c r="F344" s="5">
        <v>69</v>
      </c>
      <c r="G344" s="5">
        <v>84</v>
      </c>
    </row>
    <row r="345" spans="1:7">
      <c r="A345" s="5">
        <v>344</v>
      </c>
      <c r="B345" s="5">
        <v>0.30299999999999999</v>
      </c>
      <c r="C345" s="5">
        <v>0.39</v>
      </c>
      <c r="D345" s="5">
        <v>0.25369999999999998</v>
      </c>
      <c r="E345" s="5">
        <v>14</v>
      </c>
      <c r="F345" s="5">
        <v>60</v>
      </c>
      <c r="G345" s="5">
        <v>74</v>
      </c>
    </row>
    <row r="346" spans="1:7">
      <c r="A346" s="5">
        <v>345</v>
      </c>
      <c r="B346" s="5">
        <v>0.30299999999999999</v>
      </c>
      <c r="C346" s="5">
        <v>0.39</v>
      </c>
      <c r="D346" s="5">
        <v>0.25369999999999998</v>
      </c>
      <c r="E346" s="5">
        <v>6</v>
      </c>
      <c r="F346" s="5">
        <v>35</v>
      </c>
      <c r="G346" s="5">
        <v>41</v>
      </c>
    </row>
    <row r="347" spans="1:7">
      <c r="A347" s="5">
        <v>346</v>
      </c>
      <c r="B347" s="5">
        <v>0.30299999999999999</v>
      </c>
      <c r="C347" s="5">
        <v>0.39</v>
      </c>
      <c r="D347" s="5">
        <v>0.22389999999999999</v>
      </c>
      <c r="E347" s="5">
        <v>6</v>
      </c>
      <c r="F347" s="5">
        <v>51</v>
      </c>
      <c r="G347" s="5">
        <v>57</v>
      </c>
    </row>
    <row r="348" spans="1:7">
      <c r="A348" s="5">
        <v>347</v>
      </c>
      <c r="B348" s="5">
        <v>0.31819999999999998</v>
      </c>
      <c r="C348" s="5">
        <v>0.42</v>
      </c>
      <c r="D348" s="5">
        <v>0.1045</v>
      </c>
      <c r="E348" s="5">
        <v>0</v>
      </c>
      <c r="F348" s="5">
        <v>26</v>
      </c>
      <c r="G348" s="5">
        <v>26</v>
      </c>
    </row>
    <row r="349" spans="1:7">
      <c r="A349" s="5">
        <v>348</v>
      </c>
      <c r="B349" s="5">
        <v>0.28789999999999999</v>
      </c>
      <c r="C349" s="5">
        <v>0.45</v>
      </c>
      <c r="D349" s="5">
        <v>0.28360000000000002</v>
      </c>
      <c r="E349" s="5">
        <v>5</v>
      </c>
      <c r="F349" s="5">
        <v>39</v>
      </c>
      <c r="G349" s="5">
        <v>44</v>
      </c>
    </row>
    <row r="350" spans="1:7">
      <c r="A350" s="5">
        <v>349</v>
      </c>
      <c r="B350" s="5">
        <v>0.30299999999999999</v>
      </c>
      <c r="C350" s="5">
        <v>0.56000000000000005</v>
      </c>
      <c r="D350" s="5">
        <v>0</v>
      </c>
      <c r="E350" s="5">
        <v>6</v>
      </c>
      <c r="F350" s="5">
        <v>33</v>
      </c>
      <c r="G350" s="5">
        <v>39</v>
      </c>
    </row>
    <row r="351" spans="1:7">
      <c r="A351" s="5">
        <v>350</v>
      </c>
      <c r="B351" s="5">
        <v>0.2727</v>
      </c>
      <c r="C351" s="5">
        <v>0.56000000000000005</v>
      </c>
      <c r="D351" s="5">
        <v>0.1343</v>
      </c>
      <c r="E351" s="5">
        <v>4</v>
      </c>
      <c r="F351" s="5">
        <v>19</v>
      </c>
      <c r="G351" s="5">
        <v>23</v>
      </c>
    </row>
    <row r="352" spans="1:7">
      <c r="A352" s="5">
        <v>351</v>
      </c>
      <c r="B352" s="5">
        <v>0.28789999999999999</v>
      </c>
      <c r="C352" s="5">
        <v>0.56000000000000005</v>
      </c>
      <c r="D352" s="5">
        <v>8.9599999999999999E-2</v>
      </c>
      <c r="E352" s="5">
        <v>3</v>
      </c>
      <c r="F352" s="5">
        <v>13</v>
      </c>
      <c r="G352" s="5">
        <v>16</v>
      </c>
    </row>
    <row r="353" spans="1:7">
      <c r="A353" s="5">
        <v>352</v>
      </c>
      <c r="B353" s="5">
        <v>0.2727</v>
      </c>
      <c r="C353" s="5">
        <v>0.69</v>
      </c>
      <c r="D353" s="5">
        <v>0</v>
      </c>
      <c r="E353" s="5">
        <v>9</v>
      </c>
      <c r="F353" s="5">
        <v>6</v>
      </c>
      <c r="G353" s="5">
        <v>15</v>
      </c>
    </row>
    <row r="354" spans="1:7">
      <c r="A354" s="5">
        <v>353</v>
      </c>
      <c r="B354" s="5">
        <v>0.2576</v>
      </c>
      <c r="C354" s="5">
        <v>0.56000000000000005</v>
      </c>
      <c r="D354" s="5">
        <v>0.16420000000000001</v>
      </c>
      <c r="E354" s="5">
        <v>0</v>
      </c>
      <c r="F354" s="5">
        <v>1</v>
      </c>
      <c r="G354" s="5">
        <v>1</v>
      </c>
    </row>
    <row r="355" spans="1:7">
      <c r="A355" s="5">
        <v>354</v>
      </c>
      <c r="B355" s="5">
        <v>0.2576</v>
      </c>
      <c r="C355" s="5">
        <v>0.56000000000000005</v>
      </c>
      <c r="D355" s="5">
        <v>0.16420000000000001</v>
      </c>
      <c r="E355" s="5">
        <v>1</v>
      </c>
      <c r="F355" s="5">
        <v>1</v>
      </c>
      <c r="G355" s="5">
        <v>2</v>
      </c>
    </row>
    <row r="356" spans="1:7">
      <c r="A356" s="5">
        <v>355</v>
      </c>
      <c r="B356" s="5">
        <v>0.2576</v>
      </c>
      <c r="C356" s="5">
        <v>0.56000000000000005</v>
      </c>
      <c r="D356" s="5">
        <v>0.16420000000000001</v>
      </c>
      <c r="E356" s="5">
        <v>0</v>
      </c>
      <c r="F356" s="5">
        <v>1</v>
      </c>
      <c r="G356" s="5">
        <v>1</v>
      </c>
    </row>
    <row r="357" spans="1:7">
      <c r="A357" s="5">
        <v>356</v>
      </c>
      <c r="B357" s="5">
        <v>0.21210000000000001</v>
      </c>
      <c r="C357" s="5">
        <v>0.56000000000000005</v>
      </c>
      <c r="D357" s="5">
        <v>0.29849999999999999</v>
      </c>
      <c r="E357" s="5">
        <v>0</v>
      </c>
      <c r="F357" s="5">
        <v>3</v>
      </c>
      <c r="G357" s="5">
        <v>3</v>
      </c>
    </row>
    <row r="358" spans="1:7">
      <c r="A358" s="5">
        <v>357</v>
      </c>
      <c r="B358" s="5">
        <v>0.21210000000000001</v>
      </c>
      <c r="C358" s="5">
        <v>0.55000000000000004</v>
      </c>
      <c r="D358" s="5">
        <v>0.28360000000000002</v>
      </c>
      <c r="E358" s="5">
        <v>0</v>
      </c>
      <c r="F358" s="5">
        <v>18</v>
      </c>
      <c r="G358" s="5">
        <v>18</v>
      </c>
    </row>
    <row r="359" spans="1:7">
      <c r="A359" s="5">
        <v>358</v>
      </c>
      <c r="B359" s="5">
        <v>0.21210000000000001</v>
      </c>
      <c r="C359" s="5">
        <v>0.51</v>
      </c>
      <c r="D359" s="5">
        <v>0.25369999999999998</v>
      </c>
      <c r="E359" s="5">
        <v>3</v>
      </c>
      <c r="F359" s="5">
        <v>29</v>
      </c>
      <c r="G359" s="5">
        <v>32</v>
      </c>
    </row>
    <row r="360" spans="1:7">
      <c r="A360" s="5">
        <v>359</v>
      </c>
      <c r="B360" s="5">
        <v>0.21210000000000001</v>
      </c>
      <c r="C360" s="5">
        <v>0.51</v>
      </c>
      <c r="D360" s="5">
        <v>0.28360000000000002</v>
      </c>
      <c r="E360" s="5">
        <v>8</v>
      </c>
      <c r="F360" s="5">
        <v>71</v>
      </c>
      <c r="G360" s="5">
        <v>79</v>
      </c>
    </row>
    <row r="361" spans="1:7">
      <c r="A361" s="5">
        <v>360</v>
      </c>
      <c r="B361" s="5">
        <v>0.2273</v>
      </c>
      <c r="C361" s="5">
        <v>0.44</v>
      </c>
      <c r="D361" s="5">
        <v>0.25369999999999998</v>
      </c>
      <c r="E361" s="5">
        <v>23</v>
      </c>
      <c r="F361" s="5">
        <v>70</v>
      </c>
      <c r="G361" s="5">
        <v>93</v>
      </c>
    </row>
    <row r="362" spans="1:7">
      <c r="A362" s="5">
        <v>361</v>
      </c>
      <c r="B362" s="5">
        <v>0.21210000000000001</v>
      </c>
      <c r="C362" s="5">
        <v>0.41</v>
      </c>
      <c r="D362" s="5">
        <v>0.28360000000000002</v>
      </c>
      <c r="E362" s="5">
        <v>29</v>
      </c>
      <c r="F362" s="5">
        <v>75</v>
      </c>
      <c r="G362" s="5">
        <v>104</v>
      </c>
    </row>
    <row r="363" spans="1:7">
      <c r="A363" s="5">
        <v>362</v>
      </c>
      <c r="B363" s="5">
        <v>0.2273</v>
      </c>
      <c r="C363" s="5">
        <v>0.35</v>
      </c>
      <c r="D363" s="5">
        <v>0.29849999999999999</v>
      </c>
      <c r="E363" s="5">
        <v>23</v>
      </c>
      <c r="F363" s="5">
        <v>95</v>
      </c>
      <c r="G363" s="5">
        <v>118</v>
      </c>
    </row>
    <row r="364" spans="1:7">
      <c r="A364" s="5">
        <v>363</v>
      </c>
      <c r="B364" s="5">
        <v>0.2727</v>
      </c>
      <c r="C364" s="5">
        <v>0.36</v>
      </c>
      <c r="D364" s="5">
        <v>0.25369999999999998</v>
      </c>
      <c r="E364" s="5">
        <v>22</v>
      </c>
      <c r="F364" s="5">
        <v>69</v>
      </c>
      <c r="G364" s="5">
        <v>91</v>
      </c>
    </row>
    <row r="365" spans="1:7">
      <c r="A365" s="5">
        <v>364</v>
      </c>
      <c r="B365" s="5">
        <v>0.2424</v>
      </c>
      <c r="C365" s="5">
        <v>0.38</v>
      </c>
      <c r="D365" s="5">
        <v>0.25369999999999998</v>
      </c>
      <c r="E365" s="5">
        <v>35</v>
      </c>
      <c r="F365" s="5">
        <v>78</v>
      </c>
      <c r="G365" s="5">
        <v>113</v>
      </c>
    </row>
    <row r="366" spans="1:7">
      <c r="A366" s="5">
        <v>365</v>
      </c>
      <c r="B366" s="5">
        <v>0.2273</v>
      </c>
      <c r="C366" s="5">
        <v>0.38</v>
      </c>
      <c r="D366" s="5">
        <v>0.22389999999999999</v>
      </c>
      <c r="E366" s="5">
        <v>22</v>
      </c>
      <c r="F366" s="5">
        <v>77</v>
      </c>
      <c r="G366" s="5">
        <v>99</v>
      </c>
    </row>
    <row r="367" spans="1:7">
      <c r="A367" s="5">
        <v>366</v>
      </c>
      <c r="B367" s="5">
        <v>0.21210000000000001</v>
      </c>
      <c r="C367" s="5">
        <v>0.37</v>
      </c>
      <c r="D367" s="5">
        <v>0.25369999999999998</v>
      </c>
      <c r="E367" s="5">
        <v>23</v>
      </c>
      <c r="F367" s="5">
        <v>82</v>
      </c>
      <c r="G367" s="5">
        <v>105</v>
      </c>
    </row>
    <row r="368" spans="1:7">
      <c r="A368" s="5">
        <v>367</v>
      </c>
      <c r="B368" s="5">
        <v>0.21210000000000001</v>
      </c>
      <c r="C368" s="5">
        <v>0.4</v>
      </c>
      <c r="D368" s="5">
        <v>0.16420000000000001</v>
      </c>
      <c r="E368" s="5">
        <v>11</v>
      </c>
      <c r="F368" s="5">
        <v>56</v>
      </c>
      <c r="G368" s="5">
        <v>67</v>
      </c>
    </row>
    <row r="369" spans="1:7">
      <c r="A369" s="5">
        <v>368</v>
      </c>
      <c r="B369" s="5">
        <v>0.19700000000000001</v>
      </c>
      <c r="C369" s="5">
        <v>0.47</v>
      </c>
      <c r="D369" s="5">
        <v>0.1343</v>
      </c>
      <c r="E369" s="5">
        <v>14</v>
      </c>
      <c r="F369" s="5">
        <v>47</v>
      </c>
      <c r="G369" s="5">
        <v>61</v>
      </c>
    </row>
    <row r="370" spans="1:7">
      <c r="A370" s="5">
        <v>369</v>
      </c>
      <c r="B370" s="5">
        <v>0.19700000000000001</v>
      </c>
      <c r="C370" s="5">
        <v>0.47</v>
      </c>
      <c r="D370" s="5">
        <v>0.16420000000000001</v>
      </c>
      <c r="E370" s="5">
        <v>7</v>
      </c>
      <c r="F370" s="5">
        <v>50</v>
      </c>
      <c r="G370" s="5">
        <v>57</v>
      </c>
    </row>
    <row r="371" spans="1:7">
      <c r="A371" s="5">
        <v>370</v>
      </c>
      <c r="B371" s="5">
        <v>0.19700000000000001</v>
      </c>
      <c r="C371" s="5">
        <v>0.51</v>
      </c>
      <c r="D371" s="5">
        <v>0.16420000000000001</v>
      </c>
      <c r="E371" s="5">
        <v>6</v>
      </c>
      <c r="F371" s="5">
        <v>22</v>
      </c>
      <c r="G371" s="5">
        <v>28</v>
      </c>
    </row>
    <row r="372" spans="1:7">
      <c r="A372" s="5">
        <v>371</v>
      </c>
      <c r="B372" s="5">
        <v>0.21210000000000001</v>
      </c>
      <c r="C372" s="5">
        <v>0.49</v>
      </c>
      <c r="D372" s="5">
        <v>0.1343</v>
      </c>
      <c r="E372" s="5">
        <v>2</v>
      </c>
      <c r="F372" s="5">
        <v>19</v>
      </c>
      <c r="G372" s="5">
        <v>21</v>
      </c>
    </row>
    <row r="373" spans="1:7">
      <c r="A373" s="5">
        <v>372</v>
      </c>
      <c r="B373" s="5">
        <v>0.2273</v>
      </c>
      <c r="C373" s="5">
        <v>0.4</v>
      </c>
      <c r="D373" s="5">
        <v>0.1045</v>
      </c>
      <c r="E373" s="5">
        <v>0</v>
      </c>
      <c r="F373" s="5">
        <v>18</v>
      </c>
      <c r="G373" s="5">
        <v>18</v>
      </c>
    </row>
    <row r="374" spans="1:7">
      <c r="A374" s="5">
        <v>373</v>
      </c>
      <c r="B374" s="5">
        <v>0.19700000000000001</v>
      </c>
      <c r="C374" s="5">
        <v>0.47</v>
      </c>
      <c r="D374" s="5">
        <v>0.22389999999999999</v>
      </c>
      <c r="E374" s="5">
        <v>1</v>
      </c>
      <c r="F374" s="5">
        <v>16</v>
      </c>
      <c r="G374" s="5">
        <v>17</v>
      </c>
    </row>
    <row r="375" spans="1:7">
      <c r="A375" s="5">
        <v>374</v>
      </c>
      <c r="B375" s="5">
        <v>0.19700000000000001</v>
      </c>
      <c r="C375" s="5">
        <v>0.44</v>
      </c>
      <c r="D375" s="5">
        <v>0.19400000000000001</v>
      </c>
      <c r="E375" s="5">
        <v>1</v>
      </c>
      <c r="F375" s="5">
        <v>15</v>
      </c>
      <c r="G375" s="5">
        <v>16</v>
      </c>
    </row>
    <row r="376" spans="1:7">
      <c r="A376" s="5">
        <v>375</v>
      </c>
      <c r="B376" s="5">
        <v>0.16669999999999999</v>
      </c>
      <c r="C376" s="5">
        <v>0.43</v>
      </c>
      <c r="D376" s="5">
        <v>0.25369999999999998</v>
      </c>
      <c r="E376" s="5">
        <v>0</v>
      </c>
      <c r="F376" s="5">
        <v>8</v>
      </c>
      <c r="G376" s="5">
        <v>8</v>
      </c>
    </row>
    <row r="377" spans="1:7">
      <c r="A377" s="5">
        <v>376</v>
      </c>
      <c r="B377" s="5">
        <v>0.18179999999999999</v>
      </c>
      <c r="C377" s="5">
        <v>0.43</v>
      </c>
      <c r="D377" s="5">
        <v>0.19400000000000001</v>
      </c>
      <c r="E377" s="5">
        <v>0</v>
      </c>
      <c r="F377" s="5">
        <v>2</v>
      </c>
      <c r="G377" s="5">
        <v>2</v>
      </c>
    </row>
    <row r="378" spans="1:7">
      <c r="A378" s="5">
        <v>377</v>
      </c>
      <c r="B378" s="5">
        <v>0.19700000000000001</v>
      </c>
      <c r="C378" s="5">
        <v>0.43</v>
      </c>
      <c r="D378" s="5">
        <v>0.1343</v>
      </c>
      <c r="E378" s="5">
        <v>1</v>
      </c>
      <c r="F378" s="5">
        <v>2</v>
      </c>
      <c r="G378" s="5">
        <v>3</v>
      </c>
    </row>
    <row r="379" spans="1:7">
      <c r="A379" s="5">
        <v>378</v>
      </c>
      <c r="B379" s="5">
        <v>0.19700000000000001</v>
      </c>
      <c r="C379" s="5">
        <v>0.43</v>
      </c>
      <c r="D379" s="5">
        <v>0.16420000000000001</v>
      </c>
      <c r="E379" s="5">
        <v>0</v>
      </c>
      <c r="F379" s="5">
        <v>1</v>
      </c>
      <c r="G379" s="5">
        <v>1</v>
      </c>
    </row>
    <row r="380" spans="1:7">
      <c r="A380" s="5">
        <v>379</v>
      </c>
      <c r="B380" s="5">
        <v>0.18179999999999999</v>
      </c>
      <c r="C380" s="5">
        <v>0.43</v>
      </c>
      <c r="D380" s="5">
        <v>0.19400000000000001</v>
      </c>
      <c r="E380" s="5">
        <v>0</v>
      </c>
      <c r="F380" s="5">
        <v>5</v>
      </c>
      <c r="G380" s="5">
        <v>5</v>
      </c>
    </row>
    <row r="381" spans="1:7">
      <c r="A381" s="5">
        <v>380</v>
      </c>
      <c r="B381" s="5">
        <v>0.18179999999999999</v>
      </c>
      <c r="C381" s="5">
        <v>0.5</v>
      </c>
      <c r="D381" s="5">
        <v>0.1343</v>
      </c>
      <c r="E381" s="5">
        <v>4</v>
      </c>
      <c r="F381" s="5">
        <v>9</v>
      </c>
      <c r="G381" s="5">
        <v>13</v>
      </c>
    </row>
    <row r="382" spans="1:7">
      <c r="A382" s="5">
        <v>381</v>
      </c>
      <c r="B382" s="5">
        <v>0.1515</v>
      </c>
      <c r="C382" s="5">
        <v>0.47</v>
      </c>
      <c r="D382" s="5">
        <v>0.22389999999999999</v>
      </c>
      <c r="E382" s="5">
        <v>3</v>
      </c>
      <c r="F382" s="5">
        <v>30</v>
      </c>
      <c r="G382" s="5">
        <v>33</v>
      </c>
    </row>
    <row r="383" spans="1:7">
      <c r="A383" s="5">
        <v>382</v>
      </c>
      <c r="B383" s="5">
        <v>0.1515</v>
      </c>
      <c r="C383" s="5">
        <v>0.47</v>
      </c>
      <c r="D383" s="5">
        <v>0.22389999999999999</v>
      </c>
      <c r="E383" s="5">
        <v>8</v>
      </c>
      <c r="F383" s="5">
        <v>39</v>
      </c>
      <c r="G383" s="5">
        <v>47</v>
      </c>
    </row>
    <row r="384" spans="1:7">
      <c r="A384" s="5">
        <v>383</v>
      </c>
      <c r="B384" s="5">
        <v>0.1515</v>
      </c>
      <c r="C384" s="5">
        <v>0.5</v>
      </c>
      <c r="D384" s="5">
        <v>0.25369999999999998</v>
      </c>
      <c r="E384" s="5">
        <v>7</v>
      </c>
      <c r="F384" s="5">
        <v>50</v>
      </c>
      <c r="G384" s="5">
        <v>57</v>
      </c>
    </row>
    <row r="385" spans="1:7">
      <c r="A385" s="5">
        <v>384</v>
      </c>
      <c r="B385" s="5">
        <v>0.1515</v>
      </c>
      <c r="C385" s="5">
        <v>0.55000000000000004</v>
      </c>
      <c r="D385" s="5">
        <v>0.19400000000000001</v>
      </c>
      <c r="E385" s="5">
        <v>9</v>
      </c>
      <c r="F385" s="5">
        <v>55</v>
      </c>
      <c r="G385" s="5">
        <v>64</v>
      </c>
    </row>
    <row r="386" spans="1:7">
      <c r="A386" s="5">
        <v>385</v>
      </c>
      <c r="B386" s="5">
        <v>0.19700000000000001</v>
      </c>
      <c r="C386" s="5">
        <v>0.47</v>
      </c>
      <c r="D386" s="5">
        <v>0.1343</v>
      </c>
      <c r="E386" s="5">
        <v>10</v>
      </c>
      <c r="F386" s="5">
        <v>70</v>
      </c>
      <c r="G386" s="5">
        <v>80</v>
      </c>
    </row>
    <row r="387" spans="1:7">
      <c r="A387" s="5">
        <v>386</v>
      </c>
      <c r="B387" s="5">
        <v>0.19700000000000001</v>
      </c>
      <c r="C387" s="5">
        <v>0.47</v>
      </c>
      <c r="D387" s="5">
        <v>0.1343</v>
      </c>
      <c r="E387" s="5">
        <v>13</v>
      </c>
      <c r="F387" s="5">
        <v>80</v>
      </c>
      <c r="G387" s="5">
        <v>93</v>
      </c>
    </row>
    <row r="388" spans="1:7">
      <c r="A388" s="5">
        <v>387</v>
      </c>
      <c r="B388" s="5">
        <v>0.21210000000000001</v>
      </c>
      <c r="C388" s="5">
        <v>0.43</v>
      </c>
      <c r="D388" s="5">
        <v>0.1045</v>
      </c>
      <c r="E388" s="5">
        <v>12</v>
      </c>
      <c r="F388" s="5">
        <v>74</v>
      </c>
      <c r="G388" s="5">
        <v>86</v>
      </c>
    </row>
    <row r="389" spans="1:7">
      <c r="A389" s="5">
        <v>388</v>
      </c>
      <c r="B389" s="5">
        <v>0.21210000000000001</v>
      </c>
      <c r="C389" s="5">
        <v>0.47</v>
      </c>
      <c r="D389" s="5">
        <v>0.16420000000000001</v>
      </c>
      <c r="E389" s="5">
        <v>21</v>
      </c>
      <c r="F389" s="5">
        <v>72</v>
      </c>
      <c r="G389" s="5">
        <v>93</v>
      </c>
    </row>
    <row r="390" spans="1:7">
      <c r="A390" s="5">
        <v>389</v>
      </c>
      <c r="B390" s="5">
        <v>0.21210000000000001</v>
      </c>
      <c r="C390" s="5">
        <v>0.47</v>
      </c>
      <c r="D390" s="5">
        <v>0.16420000000000001</v>
      </c>
      <c r="E390" s="5">
        <v>6</v>
      </c>
      <c r="F390" s="5">
        <v>76</v>
      </c>
      <c r="G390" s="5">
        <v>82</v>
      </c>
    </row>
    <row r="391" spans="1:7">
      <c r="A391" s="5">
        <v>390</v>
      </c>
      <c r="B391" s="5">
        <v>0.19700000000000001</v>
      </c>
      <c r="C391" s="5">
        <v>0.51</v>
      </c>
      <c r="D391" s="5">
        <v>0.19400000000000001</v>
      </c>
      <c r="E391" s="5">
        <v>4</v>
      </c>
      <c r="F391" s="5">
        <v>67</v>
      </c>
      <c r="G391" s="5">
        <v>71</v>
      </c>
    </row>
    <row r="392" spans="1:7">
      <c r="A392" s="5">
        <v>391</v>
      </c>
      <c r="B392" s="5">
        <v>0.16669999999999999</v>
      </c>
      <c r="C392" s="5">
        <v>0.55000000000000004</v>
      </c>
      <c r="D392" s="5">
        <v>0.25369999999999998</v>
      </c>
      <c r="E392" s="5">
        <v>7</v>
      </c>
      <c r="F392" s="5">
        <v>85</v>
      </c>
      <c r="G392" s="5">
        <v>92</v>
      </c>
    </row>
    <row r="393" spans="1:7">
      <c r="A393" s="5">
        <v>392</v>
      </c>
      <c r="B393" s="5">
        <v>0.18179999999999999</v>
      </c>
      <c r="C393" s="5">
        <v>0.59</v>
      </c>
      <c r="D393" s="5">
        <v>0.19400000000000001</v>
      </c>
      <c r="E393" s="5">
        <v>2</v>
      </c>
      <c r="F393" s="5">
        <v>58</v>
      </c>
      <c r="G393" s="5">
        <v>60</v>
      </c>
    </row>
    <row r="394" spans="1:7">
      <c r="A394" s="5">
        <v>393</v>
      </c>
      <c r="B394" s="5">
        <v>0.1515</v>
      </c>
      <c r="C394" s="5">
        <v>0.8</v>
      </c>
      <c r="D394" s="5">
        <v>0.19400000000000001</v>
      </c>
      <c r="E394" s="5">
        <v>4</v>
      </c>
      <c r="F394" s="5">
        <v>29</v>
      </c>
      <c r="G394" s="5">
        <v>33</v>
      </c>
    </row>
    <row r="395" spans="1:7">
      <c r="A395" s="5">
        <v>394</v>
      </c>
      <c r="B395" s="5">
        <v>0.1515</v>
      </c>
      <c r="C395" s="5">
        <v>0.8</v>
      </c>
      <c r="D395" s="5">
        <v>0.19400000000000001</v>
      </c>
      <c r="E395" s="5">
        <v>3</v>
      </c>
      <c r="F395" s="5">
        <v>24</v>
      </c>
      <c r="G395" s="5">
        <v>27</v>
      </c>
    </row>
    <row r="396" spans="1:7">
      <c r="A396" s="5">
        <v>395</v>
      </c>
      <c r="B396" s="5">
        <v>0.1212</v>
      </c>
      <c r="C396" s="5">
        <v>0.93</v>
      </c>
      <c r="D396" s="5">
        <v>0.25369999999999998</v>
      </c>
      <c r="E396" s="5">
        <v>0</v>
      </c>
      <c r="F396" s="5">
        <v>13</v>
      </c>
      <c r="G396" s="5">
        <v>13</v>
      </c>
    </row>
    <row r="397" spans="1:7">
      <c r="A397" s="5">
        <v>396</v>
      </c>
      <c r="B397" s="5">
        <v>0.13639999999999999</v>
      </c>
      <c r="C397" s="5">
        <v>0.86</v>
      </c>
      <c r="D397" s="5">
        <v>0.28360000000000002</v>
      </c>
      <c r="E397" s="5">
        <v>1</v>
      </c>
      <c r="F397" s="5">
        <v>3</v>
      </c>
      <c r="G397" s="5">
        <v>4</v>
      </c>
    </row>
    <row r="398" spans="1:7">
      <c r="A398" s="5">
        <v>397</v>
      </c>
      <c r="B398" s="5">
        <v>0.18179999999999999</v>
      </c>
      <c r="C398" s="5">
        <v>0.86</v>
      </c>
      <c r="D398" s="5">
        <v>0.32840000000000003</v>
      </c>
      <c r="E398" s="5">
        <v>0</v>
      </c>
      <c r="F398" s="5">
        <v>3</v>
      </c>
      <c r="G398" s="5">
        <v>3</v>
      </c>
    </row>
    <row r="399" spans="1:7">
      <c r="A399" s="5">
        <v>398</v>
      </c>
      <c r="B399" s="5">
        <v>0.19700000000000001</v>
      </c>
      <c r="C399" s="5">
        <v>0.86</v>
      </c>
      <c r="D399" s="5">
        <v>0.22389999999999999</v>
      </c>
      <c r="E399" s="5">
        <v>0</v>
      </c>
      <c r="F399" s="5">
        <v>22</v>
      </c>
      <c r="G399" s="5">
        <v>22</v>
      </c>
    </row>
    <row r="400" spans="1:7">
      <c r="A400" s="5">
        <v>399</v>
      </c>
      <c r="B400" s="5">
        <v>0.2273</v>
      </c>
      <c r="C400" s="5">
        <v>0.8</v>
      </c>
      <c r="D400" s="5">
        <v>0.16420000000000001</v>
      </c>
      <c r="E400" s="5">
        <v>2</v>
      </c>
      <c r="F400" s="5">
        <v>26</v>
      </c>
      <c r="G400" s="5">
        <v>28</v>
      </c>
    </row>
    <row r="401" spans="1:7">
      <c r="A401" s="5">
        <v>400</v>
      </c>
      <c r="B401" s="5">
        <v>0.2273</v>
      </c>
      <c r="C401" s="5">
        <v>0.87</v>
      </c>
      <c r="D401" s="5">
        <v>0.16420000000000001</v>
      </c>
      <c r="E401" s="5">
        <v>3</v>
      </c>
      <c r="F401" s="5">
        <v>32</v>
      </c>
      <c r="G401" s="5">
        <v>35</v>
      </c>
    </row>
    <row r="402" spans="1:7">
      <c r="A402" s="5">
        <v>401</v>
      </c>
      <c r="B402" s="5">
        <v>0.2273</v>
      </c>
      <c r="C402" s="5">
        <v>0.87</v>
      </c>
      <c r="D402" s="5">
        <v>0.19400000000000001</v>
      </c>
      <c r="E402" s="5">
        <v>0</v>
      </c>
      <c r="F402" s="5">
        <v>61</v>
      </c>
      <c r="G402" s="5">
        <v>61</v>
      </c>
    </row>
    <row r="403" spans="1:7">
      <c r="A403" s="5">
        <v>402</v>
      </c>
      <c r="B403" s="5">
        <v>0.2273</v>
      </c>
      <c r="C403" s="5">
        <v>0.82</v>
      </c>
      <c r="D403" s="5">
        <v>0.19400000000000001</v>
      </c>
      <c r="E403" s="5">
        <v>1</v>
      </c>
      <c r="F403" s="5">
        <v>124</v>
      </c>
      <c r="G403" s="5">
        <v>125</v>
      </c>
    </row>
    <row r="404" spans="1:7">
      <c r="A404" s="5">
        <v>403</v>
      </c>
      <c r="B404" s="5">
        <v>0.2273</v>
      </c>
      <c r="C404" s="5">
        <v>0.8</v>
      </c>
      <c r="D404" s="5">
        <v>0.16420000000000001</v>
      </c>
      <c r="E404" s="5">
        <v>1</v>
      </c>
      <c r="F404" s="5">
        <v>132</v>
      </c>
      <c r="G404" s="5">
        <v>133</v>
      </c>
    </row>
    <row r="405" spans="1:7">
      <c r="A405" s="5">
        <v>404</v>
      </c>
      <c r="B405" s="5">
        <v>0.2273</v>
      </c>
      <c r="C405" s="5">
        <v>0.8</v>
      </c>
      <c r="D405" s="5">
        <v>0.1343</v>
      </c>
      <c r="E405" s="5">
        <v>1</v>
      </c>
      <c r="F405" s="5">
        <v>98</v>
      </c>
      <c r="G405" s="5">
        <v>99</v>
      </c>
    </row>
    <row r="406" spans="1:7">
      <c r="A406" s="5">
        <v>405</v>
      </c>
      <c r="B406" s="5">
        <v>0.2727</v>
      </c>
      <c r="C406" s="5">
        <v>0.87</v>
      </c>
      <c r="D406" s="5">
        <v>0</v>
      </c>
      <c r="E406" s="5">
        <v>0</v>
      </c>
      <c r="F406" s="5">
        <v>83</v>
      </c>
      <c r="G406" s="5">
        <v>83</v>
      </c>
    </row>
    <row r="407" spans="1:7">
      <c r="A407" s="5">
        <v>406</v>
      </c>
      <c r="B407" s="5">
        <v>0.2424</v>
      </c>
      <c r="C407" s="5">
        <v>0.93</v>
      </c>
      <c r="D407" s="5">
        <v>0.1045</v>
      </c>
      <c r="E407" s="5">
        <v>0</v>
      </c>
      <c r="F407" s="5">
        <v>41</v>
      </c>
      <c r="G407" s="5">
        <v>41</v>
      </c>
    </row>
    <row r="408" spans="1:7">
      <c r="A408" s="5">
        <v>407</v>
      </c>
      <c r="B408" s="5">
        <v>0.2576</v>
      </c>
      <c r="C408" s="5">
        <v>0.93</v>
      </c>
      <c r="D408" s="5">
        <v>8.9599999999999999E-2</v>
      </c>
      <c r="E408" s="5">
        <v>0</v>
      </c>
      <c r="F408" s="5">
        <v>33</v>
      </c>
      <c r="G408" s="5">
        <v>33</v>
      </c>
    </row>
    <row r="409" spans="1:7">
      <c r="A409" s="5">
        <v>408</v>
      </c>
      <c r="B409" s="5">
        <v>0.2727</v>
      </c>
      <c r="C409" s="5">
        <v>0.93</v>
      </c>
      <c r="D409" s="5">
        <v>0</v>
      </c>
      <c r="E409" s="5">
        <v>1</v>
      </c>
      <c r="F409" s="5">
        <v>19</v>
      </c>
      <c r="G409" s="5">
        <v>20</v>
      </c>
    </row>
    <row r="410" spans="1:7">
      <c r="A410" s="5">
        <v>409</v>
      </c>
      <c r="B410" s="5">
        <v>0.2727</v>
      </c>
      <c r="C410" s="5">
        <v>0.93</v>
      </c>
      <c r="D410" s="5">
        <v>0</v>
      </c>
      <c r="E410" s="5">
        <v>0</v>
      </c>
      <c r="F410" s="5">
        <v>3</v>
      </c>
      <c r="G410" s="5">
        <v>3</v>
      </c>
    </row>
    <row r="411" spans="1:7">
      <c r="A411" s="5">
        <v>410</v>
      </c>
      <c r="B411" s="5">
        <v>0.2273</v>
      </c>
      <c r="C411" s="5">
        <v>0.93</v>
      </c>
      <c r="D411" s="5">
        <v>0.1343</v>
      </c>
      <c r="E411" s="5">
        <v>1</v>
      </c>
      <c r="F411" s="5">
        <v>6</v>
      </c>
      <c r="G411" s="5">
        <v>7</v>
      </c>
    </row>
    <row r="412" spans="1:7">
      <c r="A412" s="5">
        <v>411</v>
      </c>
      <c r="B412" s="5">
        <v>0.2273</v>
      </c>
      <c r="C412" s="5">
        <v>0.93</v>
      </c>
      <c r="D412" s="5">
        <v>0.1343</v>
      </c>
      <c r="E412" s="5">
        <v>0</v>
      </c>
      <c r="F412" s="5">
        <v>3</v>
      </c>
      <c r="G412" s="5">
        <v>3</v>
      </c>
    </row>
    <row r="413" spans="1:7">
      <c r="A413" s="5">
        <v>412</v>
      </c>
      <c r="B413" s="5">
        <v>0.2273</v>
      </c>
      <c r="C413" s="5">
        <v>0.93</v>
      </c>
      <c r="D413" s="5">
        <v>0.1343</v>
      </c>
      <c r="E413" s="5">
        <v>1</v>
      </c>
      <c r="F413" s="5">
        <v>1</v>
      </c>
      <c r="G413" s="5">
        <v>2</v>
      </c>
    </row>
    <row r="414" spans="1:7">
      <c r="A414" s="5">
        <v>413</v>
      </c>
      <c r="B414" s="5">
        <v>0.2576</v>
      </c>
      <c r="C414" s="5">
        <v>0.93</v>
      </c>
      <c r="D414" s="5">
        <v>8.9599999999999999E-2</v>
      </c>
      <c r="E414" s="5">
        <v>0</v>
      </c>
      <c r="F414" s="5">
        <v>7</v>
      </c>
      <c r="G414" s="5">
        <v>7</v>
      </c>
    </row>
    <row r="415" spans="1:7">
      <c r="A415" s="5">
        <v>414</v>
      </c>
      <c r="B415" s="5">
        <v>0.2576</v>
      </c>
      <c r="C415" s="5">
        <v>0.93</v>
      </c>
      <c r="D415" s="5">
        <v>8.9599999999999999E-2</v>
      </c>
      <c r="E415" s="5">
        <v>0</v>
      </c>
      <c r="F415" s="5">
        <v>32</v>
      </c>
      <c r="G415" s="5">
        <v>32</v>
      </c>
    </row>
    <row r="416" spans="1:7">
      <c r="A416" s="5">
        <v>415</v>
      </c>
      <c r="B416" s="5">
        <v>0.2576</v>
      </c>
      <c r="C416" s="5">
        <v>0.92</v>
      </c>
      <c r="D416" s="5">
        <v>0.1045</v>
      </c>
      <c r="E416" s="5">
        <v>1</v>
      </c>
      <c r="F416" s="5">
        <v>89</v>
      </c>
      <c r="G416" s="5">
        <v>90</v>
      </c>
    </row>
    <row r="417" spans="1:7">
      <c r="A417" s="5">
        <v>416</v>
      </c>
      <c r="B417" s="5">
        <v>0.2576</v>
      </c>
      <c r="C417" s="5">
        <v>0.93</v>
      </c>
      <c r="D417" s="5">
        <v>0.1045</v>
      </c>
      <c r="E417" s="5">
        <v>1</v>
      </c>
      <c r="F417" s="5">
        <v>196</v>
      </c>
      <c r="G417" s="5">
        <v>197</v>
      </c>
    </row>
    <row r="418" spans="1:7">
      <c r="A418" s="5">
        <v>417</v>
      </c>
      <c r="B418" s="5">
        <v>0.2576</v>
      </c>
      <c r="C418" s="5">
        <v>0.93</v>
      </c>
      <c r="D418" s="5">
        <v>0.1045</v>
      </c>
      <c r="E418" s="5">
        <v>2</v>
      </c>
      <c r="F418" s="5">
        <v>107</v>
      </c>
      <c r="G418" s="5">
        <v>109</v>
      </c>
    </row>
    <row r="419" spans="1:7">
      <c r="A419" s="5">
        <v>418</v>
      </c>
      <c r="B419" s="5">
        <v>0.2727</v>
      </c>
      <c r="C419" s="5">
        <v>0.93</v>
      </c>
      <c r="D419" s="5">
        <v>0.1343</v>
      </c>
      <c r="E419" s="5">
        <v>1</v>
      </c>
      <c r="F419" s="5">
        <v>46</v>
      </c>
      <c r="G419" s="5">
        <v>47</v>
      </c>
    </row>
    <row r="420" spans="1:7">
      <c r="A420" s="5">
        <v>419</v>
      </c>
      <c r="B420" s="5">
        <v>0.30299999999999999</v>
      </c>
      <c r="C420" s="5">
        <v>0.87</v>
      </c>
      <c r="D420" s="5">
        <v>8.9599999999999999E-2</v>
      </c>
      <c r="E420" s="5">
        <v>5</v>
      </c>
      <c r="F420" s="5">
        <v>47</v>
      </c>
      <c r="G420" s="5">
        <v>52</v>
      </c>
    </row>
    <row r="421" spans="1:7">
      <c r="A421" s="5">
        <v>420</v>
      </c>
      <c r="B421" s="5">
        <v>0.31819999999999998</v>
      </c>
      <c r="C421" s="5">
        <v>0.81</v>
      </c>
      <c r="D421" s="5">
        <v>8.9599999999999999E-2</v>
      </c>
      <c r="E421" s="5">
        <v>5</v>
      </c>
      <c r="F421" s="5">
        <v>65</v>
      </c>
      <c r="G421" s="5">
        <v>70</v>
      </c>
    </row>
    <row r="422" spans="1:7">
      <c r="A422" s="5">
        <v>421</v>
      </c>
      <c r="B422" s="5">
        <v>0.40910000000000002</v>
      </c>
      <c r="C422" s="5">
        <v>0.62</v>
      </c>
      <c r="D422" s="5">
        <v>0.28360000000000002</v>
      </c>
      <c r="E422" s="5">
        <v>11</v>
      </c>
      <c r="F422" s="5">
        <v>67</v>
      </c>
      <c r="G422" s="5">
        <v>78</v>
      </c>
    </row>
    <row r="423" spans="1:7">
      <c r="A423" s="5">
        <v>422</v>
      </c>
      <c r="B423" s="5">
        <v>0.40910000000000002</v>
      </c>
      <c r="C423" s="5">
        <v>0.57999999999999996</v>
      </c>
      <c r="D423" s="5">
        <v>0.25369999999999998</v>
      </c>
      <c r="E423" s="5">
        <v>7</v>
      </c>
      <c r="F423" s="5">
        <v>68</v>
      </c>
      <c r="G423" s="5">
        <v>75</v>
      </c>
    </row>
    <row r="424" spans="1:7">
      <c r="A424" s="5">
        <v>423</v>
      </c>
      <c r="B424" s="5">
        <v>0.40910000000000002</v>
      </c>
      <c r="C424" s="5">
        <v>0.54</v>
      </c>
      <c r="D424" s="5">
        <v>0.28360000000000002</v>
      </c>
      <c r="E424" s="5">
        <v>4</v>
      </c>
      <c r="F424" s="5">
        <v>78</v>
      </c>
      <c r="G424" s="5">
        <v>82</v>
      </c>
    </row>
    <row r="425" spans="1:7">
      <c r="A425" s="5">
        <v>424</v>
      </c>
      <c r="B425" s="5">
        <v>0.39389999999999997</v>
      </c>
      <c r="C425" s="5">
        <v>0.57999999999999996</v>
      </c>
      <c r="D425" s="5">
        <v>0.3881</v>
      </c>
      <c r="E425" s="5">
        <v>10</v>
      </c>
      <c r="F425" s="5">
        <v>94</v>
      </c>
      <c r="G425" s="5">
        <v>104</v>
      </c>
    </row>
    <row r="426" spans="1:7">
      <c r="A426" s="5">
        <v>425</v>
      </c>
      <c r="B426" s="5">
        <v>0.33329999999999999</v>
      </c>
      <c r="C426" s="5">
        <v>0.56999999999999995</v>
      </c>
      <c r="D426" s="5">
        <v>0.32840000000000003</v>
      </c>
      <c r="E426" s="5">
        <v>7</v>
      </c>
      <c r="F426" s="5">
        <v>190</v>
      </c>
      <c r="G426" s="5">
        <v>197</v>
      </c>
    </row>
    <row r="427" spans="1:7">
      <c r="A427" s="5">
        <v>426</v>
      </c>
      <c r="B427" s="5">
        <v>0.31819999999999998</v>
      </c>
      <c r="C427" s="5">
        <v>0.61</v>
      </c>
      <c r="D427" s="5">
        <v>0.28360000000000002</v>
      </c>
      <c r="E427" s="5">
        <v>5</v>
      </c>
      <c r="F427" s="5">
        <v>156</v>
      </c>
      <c r="G427" s="5">
        <v>161</v>
      </c>
    </row>
    <row r="428" spans="1:7">
      <c r="A428" s="5">
        <v>427</v>
      </c>
      <c r="B428" s="5">
        <v>0.28789999999999999</v>
      </c>
      <c r="C428" s="5">
        <v>0.56999999999999995</v>
      </c>
      <c r="D428" s="5">
        <v>0.41789999999999999</v>
      </c>
      <c r="E428" s="5">
        <v>4</v>
      </c>
      <c r="F428" s="5">
        <v>108</v>
      </c>
      <c r="G428" s="5">
        <v>112</v>
      </c>
    </row>
    <row r="429" spans="1:7">
      <c r="A429" s="5">
        <v>428</v>
      </c>
      <c r="B429" s="5">
        <v>0.30299999999999999</v>
      </c>
      <c r="C429" s="5">
        <v>0.49</v>
      </c>
      <c r="D429" s="5">
        <v>0.29849999999999999</v>
      </c>
      <c r="E429" s="5">
        <v>2</v>
      </c>
      <c r="F429" s="5">
        <v>74</v>
      </c>
      <c r="G429" s="5">
        <v>76</v>
      </c>
    </row>
    <row r="430" spans="1:7">
      <c r="A430" s="5">
        <v>429</v>
      </c>
      <c r="B430" s="5">
        <v>0.28789999999999999</v>
      </c>
      <c r="C430" s="5">
        <v>0.49</v>
      </c>
      <c r="D430" s="5">
        <v>0.41789999999999999</v>
      </c>
      <c r="E430" s="5">
        <v>4</v>
      </c>
      <c r="F430" s="5">
        <v>55</v>
      </c>
      <c r="G430" s="5">
        <v>59</v>
      </c>
    </row>
    <row r="431" spans="1:7">
      <c r="A431" s="5">
        <v>430</v>
      </c>
      <c r="B431" s="5">
        <v>0.30299999999999999</v>
      </c>
      <c r="C431" s="5">
        <v>0.52</v>
      </c>
      <c r="D431" s="5">
        <v>0.16420000000000001</v>
      </c>
      <c r="E431" s="5">
        <v>6</v>
      </c>
      <c r="F431" s="5">
        <v>53</v>
      </c>
      <c r="G431" s="5">
        <v>59</v>
      </c>
    </row>
    <row r="432" spans="1:7">
      <c r="A432" s="5">
        <v>431</v>
      </c>
      <c r="B432" s="5">
        <v>0.2727</v>
      </c>
      <c r="C432" s="5">
        <v>0.52</v>
      </c>
      <c r="D432" s="5">
        <v>0.4627</v>
      </c>
      <c r="E432" s="5">
        <v>1</v>
      </c>
      <c r="F432" s="5">
        <v>27</v>
      </c>
      <c r="G432" s="5">
        <v>28</v>
      </c>
    </row>
    <row r="433" spans="1:7">
      <c r="A433" s="5">
        <v>432</v>
      </c>
      <c r="B433" s="5">
        <v>0.2273</v>
      </c>
      <c r="C433" s="5">
        <v>0.56000000000000005</v>
      </c>
      <c r="D433" s="5">
        <v>0.3881</v>
      </c>
      <c r="E433" s="5">
        <v>5</v>
      </c>
      <c r="F433" s="5">
        <v>8</v>
      </c>
      <c r="G433" s="5">
        <v>13</v>
      </c>
    </row>
    <row r="434" spans="1:7">
      <c r="A434" s="5">
        <v>433</v>
      </c>
      <c r="B434" s="5">
        <v>0.2727</v>
      </c>
      <c r="C434" s="5">
        <v>0.56000000000000005</v>
      </c>
      <c r="D434" s="5">
        <v>0</v>
      </c>
      <c r="E434" s="5">
        <v>2</v>
      </c>
      <c r="F434" s="5">
        <v>3</v>
      </c>
      <c r="G434" s="5">
        <v>5</v>
      </c>
    </row>
    <row r="435" spans="1:7">
      <c r="A435" s="5">
        <v>434</v>
      </c>
      <c r="B435" s="5">
        <v>0.2727</v>
      </c>
      <c r="C435" s="5">
        <v>0.56000000000000005</v>
      </c>
      <c r="D435" s="5">
        <v>0</v>
      </c>
      <c r="E435" s="5">
        <v>0</v>
      </c>
      <c r="F435" s="5">
        <v>2</v>
      </c>
      <c r="G435" s="5">
        <v>2</v>
      </c>
    </row>
    <row r="436" spans="1:7">
      <c r="A436" s="5">
        <v>435</v>
      </c>
      <c r="B436" s="5">
        <v>0.2576</v>
      </c>
      <c r="C436" s="5">
        <v>0.56000000000000005</v>
      </c>
      <c r="D436" s="5">
        <v>0.16420000000000001</v>
      </c>
      <c r="E436" s="5">
        <v>0</v>
      </c>
      <c r="F436" s="5">
        <v>1</v>
      </c>
      <c r="G436" s="5">
        <v>1</v>
      </c>
    </row>
    <row r="437" spans="1:7">
      <c r="A437" s="5">
        <v>436</v>
      </c>
      <c r="B437" s="5">
        <v>0.2576</v>
      </c>
      <c r="C437" s="5">
        <v>0.56000000000000005</v>
      </c>
      <c r="D437" s="5">
        <v>0.16420000000000001</v>
      </c>
      <c r="E437" s="5">
        <v>0</v>
      </c>
      <c r="F437" s="5">
        <v>1</v>
      </c>
      <c r="G437" s="5">
        <v>1</v>
      </c>
    </row>
    <row r="438" spans="1:7">
      <c r="A438" s="5">
        <v>437</v>
      </c>
      <c r="B438" s="5">
        <v>0.2273</v>
      </c>
      <c r="C438" s="5">
        <v>0.6</v>
      </c>
      <c r="D438" s="5">
        <v>0.22389999999999999</v>
      </c>
      <c r="E438" s="5">
        <v>0</v>
      </c>
      <c r="F438" s="5">
        <v>6</v>
      </c>
      <c r="G438" s="5">
        <v>6</v>
      </c>
    </row>
    <row r="439" spans="1:7">
      <c r="A439" s="5">
        <v>438</v>
      </c>
      <c r="B439" s="5">
        <v>0.21210000000000001</v>
      </c>
      <c r="C439" s="5">
        <v>0.6</v>
      </c>
      <c r="D439" s="5">
        <v>0.22389999999999999</v>
      </c>
      <c r="E439" s="5">
        <v>0</v>
      </c>
      <c r="F439" s="5">
        <v>35</v>
      </c>
      <c r="G439" s="5">
        <v>35</v>
      </c>
    </row>
    <row r="440" spans="1:7">
      <c r="A440" s="5">
        <v>439</v>
      </c>
      <c r="B440" s="5">
        <v>0.21210000000000001</v>
      </c>
      <c r="C440" s="5">
        <v>0.55000000000000004</v>
      </c>
      <c r="D440" s="5">
        <v>0.22389999999999999</v>
      </c>
      <c r="E440" s="5">
        <v>1</v>
      </c>
      <c r="F440" s="5">
        <v>100</v>
      </c>
      <c r="G440" s="5">
        <v>101</v>
      </c>
    </row>
    <row r="441" spans="1:7">
      <c r="A441" s="5">
        <v>440</v>
      </c>
      <c r="B441" s="5">
        <v>0.21210000000000001</v>
      </c>
      <c r="C441" s="5">
        <v>0.55000000000000004</v>
      </c>
      <c r="D441" s="5">
        <v>0.28360000000000002</v>
      </c>
      <c r="E441" s="5">
        <v>2</v>
      </c>
      <c r="F441" s="5">
        <v>247</v>
      </c>
      <c r="G441" s="5">
        <v>249</v>
      </c>
    </row>
    <row r="442" spans="1:7">
      <c r="A442" s="5">
        <v>441</v>
      </c>
      <c r="B442" s="5">
        <v>0.2273</v>
      </c>
      <c r="C442" s="5">
        <v>0.52</v>
      </c>
      <c r="D442" s="5">
        <v>0.22389999999999999</v>
      </c>
      <c r="E442" s="5">
        <v>3</v>
      </c>
      <c r="F442" s="5">
        <v>140</v>
      </c>
      <c r="G442" s="5">
        <v>143</v>
      </c>
    </row>
    <row r="443" spans="1:7">
      <c r="A443" s="5">
        <v>442</v>
      </c>
      <c r="B443" s="5">
        <v>0.2273</v>
      </c>
      <c r="C443" s="5">
        <v>0.48</v>
      </c>
      <c r="D443" s="5">
        <v>0.29849999999999999</v>
      </c>
      <c r="E443" s="5">
        <v>1</v>
      </c>
      <c r="F443" s="5">
        <v>56</v>
      </c>
      <c r="G443" s="5">
        <v>57</v>
      </c>
    </row>
    <row r="444" spans="1:7">
      <c r="A444" s="5">
        <v>443</v>
      </c>
      <c r="B444" s="5">
        <v>0.2727</v>
      </c>
      <c r="C444" s="5">
        <v>0.45</v>
      </c>
      <c r="D444" s="5">
        <v>0.16420000000000001</v>
      </c>
      <c r="E444" s="5">
        <v>5</v>
      </c>
      <c r="F444" s="5">
        <v>63</v>
      </c>
      <c r="G444" s="5">
        <v>68</v>
      </c>
    </row>
    <row r="445" spans="1:7">
      <c r="A445" s="5">
        <v>444</v>
      </c>
      <c r="B445" s="5">
        <v>0.33329999999999999</v>
      </c>
      <c r="C445" s="5">
        <v>0.42</v>
      </c>
      <c r="D445" s="5">
        <v>0</v>
      </c>
      <c r="E445" s="5">
        <v>7</v>
      </c>
      <c r="F445" s="5">
        <v>77</v>
      </c>
      <c r="G445" s="5">
        <v>84</v>
      </c>
    </row>
    <row r="446" spans="1:7">
      <c r="A446" s="5">
        <v>445</v>
      </c>
      <c r="B446" s="5">
        <v>0.28789999999999999</v>
      </c>
      <c r="C446" s="5">
        <v>0.45</v>
      </c>
      <c r="D446" s="5">
        <v>0.1045</v>
      </c>
      <c r="E446" s="5">
        <v>12</v>
      </c>
      <c r="F446" s="5">
        <v>86</v>
      </c>
      <c r="G446" s="5">
        <v>98</v>
      </c>
    </row>
    <row r="447" spans="1:7">
      <c r="A447" s="5">
        <v>446</v>
      </c>
      <c r="B447" s="5">
        <v>0.30299999999999999</v>
      </c>
      <c r="C447" s="5">
        <v>0.45</v>
      </c>
      <c r="D447" s="5">
        <v>0.1343</v>
      </c>
      <c r="E447" s="5">
        <v>6</v>
      </c>
      <c r="F447" s="5">
        <v>75</v>
      </c>
      <c r="G447" s="5">
        <v>81</v>
      </c>
    </row>
    <row r="448" spans="1:7">
      <c r="A448" s="5">
        <v>447</v>
      </c>
      <c r="B448" s="5">
        <v>0.31819999999999998</v>
      </c>
      <c r="C448" s="5">
        <v>0.45</v>
      </c>
      <c r="D448" s="5">
        <v>0.19400000000000001</v>
      </c>
      <c r="E448" s="5">
        <v>8</v>
      </c>
      <c r="F448" s="5">
        <v>62</v>
      </c>
      <c r="G448" s="5">
        <v>70</v>
      </c>
    </row>
    <row r="449" spans="1:7">
      <c r="A449" s="5">
        <v>448</v>
      </c>
      <c r="B449" s="5">
        <v>0.30299999999999999</v>
      </c>
      <c r="C449" s="5">
        <v>0.49</v>
      </c>
      <c r="D449" s="5">
        <v>0.1343</v>
      </c>
      <c r="E449" s="5">
        <v>8</v>
      </c>
      <c r="F449" s="5">
        <v>83</v>
      </c>
      <c r="G449" s="5">
        <v>91</v>
      </c>
    </row>
    <row r="450" spans="1:7">
      <c r="A450" s="5">
        <v>449</v>
      </c>
      <c r="B450" s="5">
        <v>0.31819999999999998</v>
      </c>
      <c r="C450" s="5">
        <v>0.49</v>
      </c>
      <c r="D450" s="5">
        <v>0.1045</v>
      </c>
      <c r="E450" s="5">
        <v>8</v>
      </c>
      <c r="F450" s="5">
        <v>207</v>
      </c>
      <c r="G450" s="5">
        <v>215</v>
      </c>
    </row>
    <row r="451" spans="1:7">
      <c r="A451" s="5">
        <v>450</v>
      </c>
      <c r="B451" s="5">
        <v>0.2576</v>
      </c>
      <c r="C451" s="5">
        <v>0.56000000000000005</v>
      </c>
      <c r="D451" s="5">
        <v>0.19400000000000001</v>
      </c>
      <c r="E451" s="5">
        <v>1</v>
      </c>
      <c r="F451" s="5">
        <v>184</v>
      </c>
      <c r="G451" s="5">
        <v>185</v>
      </c>
    </row>
    <row r="452" spans="1:7">
      <c r="A452" s="5">
        <v>451</v>
      </c>
      <c r="B452" s="5">
        <v>0.2273</v>
      </c>
      <c r="C452" s="5">
        <v>0.56000000000000005</v>
      </c>
      <c r="D452" s="5">
        <v>0.32840000000000003</v>
      </c>
      <c r="E452" s="5">
        <v>6</v>
      </c>
      <c r="F452" s="5">
        <v>146</v>
      </c>
      <c r="G452" s="5">
        <v>152</v>
      </c>
    </row>
    <row r="453" spans="1:7">
      <c r="A453" s="5">
        <v>452</v>
      </c>
      <c r="B453" s="5">
        <v>0.2424</v>
      </c>
      <c r="C453" s="5">
        <v>0.6</v>
      </c>
      <c r="D453" s="5">
        <v>0.28360000000000002</v>
      </c>
      <c r="E453" s="5">
        <v>2</v>
      </c>
      <c r="F453" s="5">
        <v>124</v>
      </c>
      <c r="G453" s="5">
        <v>126</v>
      </c>
    </row>
    <row r="454" spans="1:7">
      <c r="A454" s="5">
        <v>453</v>
      </c>
      <c r="B454" s="5">
        <v>0.2273</v>
      </c>
      <c r="C454" s="5">
        <v>0.6</v>
      </c>
      <c r="D454" s="5">
        <v>0.25369999999999998</v>
      </c>
      <c r="E454" s="5">
        <v>3</v>
      </c>
      <c r="F454" s="5">
        <v>54</v>
      </c>
      <c r="G454" s="5">
        <v>57</v>
      </c>
    </row>
    <row r="455" spans="1:7">
      <c r="A455" s="5">
        <v>454</v>
      </c>
      <c r="B455" s="5">
        <v>0.21210000000000001</v>
      </c>
      <c r="C455" s="5">
        <v>0.65</v>
      </c>
      <c r="D455" s="5">
        <v>0.28360000000000002</v>
      </c>
      <c r="E455" s="5">
        <v>0</v>
      </c>
      <c r="F455" s="5">
        <v>56</v>
      </c>
      <c r="G455" s="5">
        <v>56</v>
      </c>
    </row>
    <row r="456" spans="1:7">
      <c r="A456" s="5">
        <v>455</v>
      </c>
      <c r="B456" s="5">
        <v>0.21210000000000001</v>
      </c>
      <c r="C456" s="5">
        <v>0.65</v>
      </c>
      <c r="D456" s="5">
        <v>0.32840000000000003</v>
      </c>
      <c r="E456" s="5">
        <v>3</v>
      </c>
      <c r="F456" s="5">
        <v>28</v>
      </c>
      <c r="G456" s="5">
        <v>31</v>
      </c>
    </row>
    <row r="457" spans="1:7">
      <c r="A457" s="5">
        <v>456</v>
      </c>
      <c r="B457" s="5">
        <v>0.2273</v>
      </c>
      <c r="C457" s="5">
        <v>0.7</v>
      </c>
      <c r="D457" s="5">
        <v>0.25369999999999998</v>
      </c>
      <c r="E457" s="5">
        <v>1</v>
      </c>
      <c r="F457" s="5">
        <v>20</v>
      </c>
      <c r="G457" s="5">
        <v>21</v>
      </c>
    </row>
    <row r="458" spans="1:7">
      <c r="A458" s="5">
        <v>457</v>
      </c>
      <c r="B458" s="5">
        <v>0.2273</v>
      </c>
      <c r="C458" s="5">
        <v>0.7</v>
      </c>
      <c r="D458" s="5">
        <v>0.25369999999999998</v>
      </c>
      <c r="E458" s="5">
        <v>0</v>
      </c>
      <c r="F458" s="5">
        <v>6</v>
      </c>
      <c r="G458" s="5">
        <v>6</v>
      </c>
    </row>
    <row r="459" spans="1:7">
      <c r="A459" s="5">
        <v>458</v>
      </c>
      <c r="B459" s="5">
        <v>0.2424</v>
      </c>
      <c r="C459" s="5">
        <v>0.75</v>
      </c>
      <c r="D459" s="5">
        <v>0.16420000000000001</v>
      </c>
      <c r="E459" s="5">
        <v>0</v>
      </c>
      <c r="F459" s="5">
        <v>2</v>
      </c>
      <c r="G459" s="5">
        <v>2</v>
      </c>
    </row>
    <row r="460" spans="1:7">
      <c r="A460" s="5">
        <v>459</v>
      </c>
      <c r="B460" s="5">
        <v>0.21210000000000001</v>
      </c>
      <c r="C460" s="5">
        <v>0.8</v>
      </c>
      <c r="D460" s="5">
        <v>0.29849999999999999</v>
      </c>
      <c r="E460" s="5">
        <v>0</v>
      </c>
      <c r="F460" s="5">
        <v>1</v>
      </c>
      <c r="G460" s="5">
        <v>1</v>
      </c>
    </row>
    <row r="461" spans="1:7">
      <c r="A461" s="5">
        <v>460</v>
      </c>
      <c r="B461" s="5">
        <v>0.2576</v>
      </c>
      <c r="C461" s="5">
        <v>0.87</v>
      </c>
      <c r="D461" s="5">
        <v>8.9599999999999999E-2</v>
      </c>
      <c r="E461" s="5">
        <v>0</v>
      </c>
      <c r="F461" s="5">
        <v>1</v>
      </c>
      <c r="G461" s="5">
        <v>1</v>
      </c>
    </row>
    <row r="462" spans="1:7">
      <c r="A462" s="5">
        <v>461</v>
      </c>
      <c r="B462" s="5">
        <v>0.19700000000000001</v>
      </c>
      <c r="C462" s="5">
        <v>0.6</v>
      </c>
      <c r="D462" s="5">
        <v>0.41789999999999999</v>
      </c>
      <c r="E462" s="5">
        <v>1</v>
      </c>
      <c r="F462" s="5">
        <v>4</v>
      </c>
      <c r="G462" s="5">
        <v>5</v>
      </c>
    </row>
    <row r="463" spans="1:7">
      <c r="A463" s="5">
        <v>462</v>
      </c>
      <c r="B463" s="5">
        <v>0.21210000000000001</v>
      </c>
      <c r="C463" s="5">
        <v>0.55000000000000004</v>
      </c>
      <c r="D463" s="5">
        <v>0.25369999999999998</v>
      </c>
      <c r="E463" s="5">
        <v>0</v>
      </c>
      <c r="F463" s="5">
        <v>27</v>
      </c>
      <c r="G463" s="5">
        <v>27</v>
      </c>
    </row>
    <row r="464" spans="1:7">
      <c r="A464" s="5">
        <v>463</v>
      </c>
      <c r="B464" s="5">
        <v>0.18179999999999999</v>
      </c>
      <c r="C464" s="5">
        <v>0.51</v>
      </c>
      <c r="D464" s="5">
        <v>0.28360000000000002</v>
      </c>
      <c r="E464" s="5">
        <v>2</v>
      </c>
      <c r="F464" s="5">
        <v>66</v>
      </c>
      <c r="G464" s="5">
        <v>68</v>
      </c>
    </row>
    <row r="465" spans="1:7">
      <c r="A465" s="5">
        <v>464</v>
      </c>
      <c r="B465" s="5">
        <v>0.18179999999999999</v>
      </c>
      <c r="C465" s="5">
        <v>0.47</v>
      </c>
      <c r="D465" s="5">
        <v>0.32840000000000003</v>
      </c>
      <c r="E465" s="5">
        <v>7</v>
      </c>
      <c r="F465" s="5">
        <v>210</v>
      </c>
      <c r="G465" s="5">
        <v>217</v>
      </c>
    </row>
    <row r="466" spans="1:7">
      <c r="A466" s="5">
        <v>465</v>
      </c>
      <c r="B466" s="5">
        <v>0.18179999999999999</v>
      </c>
      <c r="C466" s="5">
        <v>0.51</v>
      </c>
      <c r="D466" s="5">
        <v>0.35820000000000002</v>
      </c>
      <c r="E466" s="5">
        <v>7</v>
      </c>
      <c r="F466" s="5">
        <v>159</v>
      </c>
      <c r="G466" s="5">
        <v>166</v>
      </c>
    </row>
    <row r="467" spans="1:7">
      <c r="A467" s="5">
        <v>466</v>
      </c>
      <c r="B467" s="5">
        <v>0.16669999999999999</v>
      </c>
      <c r="C467" s="5">
        <v>0.47</v>
      </c>
      <c r="D467" s="5">
        <v>0.4627</v>
      </c>
      <c r="E467" s="5">
        <v>6</v>
      </c>
      <c r="F467" s="5">
        <v>57</v>
      </c>
      <c r="G467" s="5">
        <v>63</v>
      </c>
    </row>
    <row r="468" spans="1:7">
      <c r="A468" s="5">
        <v>467</v>
      </c>
      <c r="B468" s="5">
        <v>0.18179999999999999</v>
      </c>
      <c r="C468" s="5">
        <v>0.41</v>
      </c>
      <c r="D468" s="5">
        <v>0.4627</v>
      </c>
      <c r="E468" s="5">
        <v>6</v>
      </c>
      <c r="F468" s="5">
        <v>53</v>
      </c>
      <c r="G468" s="5">
        <v>59</v>
      </c>
    </row>
    <row r="469" spans="1:7">
      <c r="A469" s="5">
        <v>468</v>
      </c>
      <c r="B469" s="5">
        <v>0.18179999999999999</v>
      </c>
      <c r="C469" s="5">
        <v>0.27</v>
      </c>
      <c r="D469" s="5">
        <v>0.58209999999999995</v>
      </c>
      <c r="E469" s="5">
        <v>11</v>
      </c>
      <c r="F469" s="5">
        <v>67</v>
      </c>
      <c r="G469" s="5">
        <v>78</v>
      </c>
    </row>
    <row r="470" spans="1:7">
      <c r="A470" s="5">
        <v>469</v>
      </c>
      <c r="B470" s="5">
        <v>0.1515</v>
      </c>
      <c r="C470" s="5">
        <v>0.21</v>
      </c>
      <c r="D470" s="5">
        <v>0.58209999999999995</v>
      </c>
      <c r="E470" s="5">
        <v>8</v>
      </c>
      <c r="F470" s="5">
        <v>65</v>
      </c>
      <c r="G470" s="5">
        <v>73</v>
      </c>
    </row>
    <row r="471" spans="1:7">
      <c r="A471" s="5">
        <v>470</v>
      </c>
      <c r="B471" s="5">
        <v>0.1515</v>
      </c>
      <c r="C471" s="5">
        <v>0.25</v>
      </c>
      <c r="D471" s="5">
        <v>0.52239999999999998</v>
      </c>
      <c r="E471" s="5">
        <v>6</v>
      </c>
      <c r="F471" s="5">
        <v>56</v>
      </c>
      <c r="G471" s="5">
        <v>62</v>
      </c>
    </row>
    <row r="472" spans="1:7">
      <c r="A472" s="5">
        <v>471</v>
      </c>
      <c r="B472" s="5">
        <v>0.1212</v>
      </c>
      <c r="C472" s="5">
        <v>0.26</v>
      </c>
      <c r="D472" s="5">
        <v>0.44779999999999998</v>
      </c>
      <c r="E472" s="5">
        <v>4</v>
      </c>
      <c r="F472" s="5">
        <v>61</v>
      </c>
      <c r="G472" s="5">
        <v>65</v>
      </c>
    </row>
    <row r="473" spans="1:7">
      <c r="A473" s="5">
        <v>472</v>
      </c>
      <c r="B473" s="5">
        <v>0.13639999999999999</v>
      </c>
      <c r="C473" s="5">
        <v>0.26</v>
      </c>
      <c r="D473" s="5">
        <v>0.35820000000000002</v>
      </c>
      <c r="E473" s="5">
        <v>0</v>
      </c>
      <c r="F473" s="5">
        <v>97</v>
      </c>
      <c r="G473" s="5">
        <v>97</v>
      </c>
    </row>
    <row r="474" spans="1:7">
      <c r="A474" s="5">
        <v>473</v>
      </c>
      <c r="B474" s="5">
        <v>0.1212</v>
      </c>
      <c r="C474" s="5">
        <v>0.28000000000000003</v>
      </c>
      <c r="D474" s="5">
        <v>0.35820000000000002</v>
      </c>
      <c r="E474" s="5">
        <v>10</v>
      </c>
      <c r="F474" s="5">
        <v>151</v>
      </c>
      <c r="G474" s="5">
        <v>161</v>
      </c>
    </row>
    <row r="475" spans="1:7">
      <c r="A475" s="5">
        <v>474</v>
      </c>
      <c r="B475" s="5">
        <v>0.1212</v>
      </c>
      <c r="C475" s="5">
        <v>0.3</v>
      </c>
      <c r="D475" s="5">
        <v>0.25369999999999998</v>
      </c>
      <c r="E475" s="5">
        <v>1</v>
      </c>
      <c r="F475" s="5">
        <v>119</v>
      </c>
      <c r="G475" s="5">
        <v>120</v>
      </c>
    </row>
    <row r="476" spans="1:7">
      <c r="A476" s="5">
        <v>475</v>
      </c>
      <c r="B476" s="5">
        <v>0.1061</v>
      </c>
      <c r="C476" s="5">
        <v>0.3</v>
      </c>
      <c r="D476" s="5">
        <v>0.32840000000000003</v>
      </c>
      <c r="E476" s="5">
        <v>3</v>
      </c>
      <c r="F476" s="5">
        <v>93</v>
      </c>
      <c r="G476" s="5">
        <v>96</v>
      </c>
    </row>
    <row r="477" spans="1:7">
      <c r="A477" s="5">
        <v>476</v>
      </c>
      <c r="B477" s="5">
        <v>7.5800000000000006E-2</v>
      </c>
      <c r="C477" s="5">
        <v>0.33</v>
      </c>
      <c r="D477" s="5">
        <v>0.41789999999999999</v>
      </c>
      <c r="E477" s="5">
        <v>1</v>
      </c>
      <c r="F477" s="5">
        <v>52</v>
      </c>
      <c r="G477" s="5">
        <v>53</v>
      </c>
    </row>
    <row r="478" spans="1:7">
      <c r="A478" s="5">
        <v>477</v>
      </c>
      <c r="B478" s="5">
        <v>7.5800000000000006E-2</v>
      </c>
      <c r="C478" s="5">
        <v>0.38</v>
      </c>
      <c r="D478" s="5">
        <v>0.28360000000000002</v>
      </c>
      <c r="E478" s="5">
        <v>0</v>
      </c>
      <c r="F478" s="5">
        <v>41</v>
      </c>
      <c r="G478" s="5">
        <v>41</v>
      </c>
    </row>
    <row r="479" spans="1:7">
      <c r="A479" s="5">
        <v>478</v>
      </c>
      <c r="B479" s="5">
        <v>3.0300000000000001E-2</v>
      </c>
      <c r="C479" s="5">
        <v>0.41</v>
      </c>
      <c r="D479" s="5">
        <v>0.3881</v>
      </c>
      <c r="E479" s="5">
        <v>1</v>
      </c>
      <c r="F479" s="5">
        <v>33</v>
      </c>
      <c r="G479" s="5">
        <v>34</v>
      </c>
    </row>
    <row r="480" spans="1:7">
      <c r="A480" s="5">
        <v>479</v>
      </c>
      <c r="B480" s="5">
        <v>4.5499999999999999E-2</v>
      </c>
      <c r="C480" s="5">
        <v>0.38</v>
      </c>
      <c r="D480" s="5">
        <v>0.32840000000000003</v>
      </c>
      <c r="E480" s="5">
        <v>0</v>
      </c>
      <c r="F480" s="5">
        <v>27</v>
      </c>
      <c r="G480" s="5">
        <v>27</v>
      </c>
    </row>
    <row r="481" spans="1:7">
      <c r="A481" s="5">
        <v>480</v>
      </c>
      <c r="B481" s="5">
        <v>3.0300000000000001E-2</v>
      </c>
      <c r="C481" s="5">
        <v>0.45</v>
      </c>
      <c r="D481" s="5">
        <v>0.25369999999999998</v>
      </c>
      <c r="E481" s="5">
        <v>0</v>
      </c>
      <c r="F481" s="5">
        <v>13</v>
      </c>
      <c r="G481" s="5">
        <v>13</v>
      </c>
    </row>
    <row r="482" spans="1:7">
      <c r="A482" s="5">
        <v>481</v>
      </c>
      <c r="B482" s="5">
        <v>0</v>
      </c>
      <c r="C482" s="5">
        <v>0.41</v>
      </c>
      <c r="D482" s="5">
        <v>0.3881</v>
      </c>
      <c r="E482" s="5">
        <v>3</v>
      </c>
      <c r="F482" s="5">
        <v>9</v>
      </c>
      <c r="G482" s="5">
        <v>12</v>
      </c>
    </row>
    <row r="483" spans="1:7">
      <c r="A483" s="5">
        <v>482</v>
      </c>
      <c r="B483" s="5">
        <v>3.0300000000000001E-2</v>
      </c>
      <c r="C483" s="5">
        <v>0.41</v>
      </c>
      <c r="D483" s="5">
        <v>0.25369999999999998</v>
      </c>
      <c r="E483" s="5">
        <v>0</v>
      </c>
      <c r="F483" s="5">
        <v>11</v>
      </c>
      <c r="G483" s="5">
        <v>11</v>
      </c>
    </row>
    <row r="484" spans="1:7">
      <c r="A484" s="5">
        <v>483</v>
      </c>
      <c r="B484" s="5">
        <v>3.0300000000000001E-2</v>
      </c>
      <c r="C484" s="5">
        <v>0.41</v>
      </c>
      <c r="D484" s="5">
        <v>0.28360000000000002</v>
      </c>
      <c r="E484" s="5">
        <v>1</v>
      </c>
      <c r="F484" s="5">
        <v>6</v>
      </c>
      <c r="G484" s="5">
        <v>7</v>
      </c>
    </row>
    <row r="485" spans="1:7">
      <c r="A485" s="5">
        <v>484</v>
      </c>
      <c r="B485" s="5">
        <v>1.52E-2</v>
      </c>
      <c r="C485" s="5">
        <v>0.48</v>
      </c>
      <c r="D485" s="5">
        <v>0.29849999999999999</v>
      </c>
      <c r="E485" s="5">
        <v>0</v>
      </c>
      <c r="F485" s="5">
        <v>3</v>
      </c>
      <c r="G485" s="5">
        <v>3</v>
      </c>
    </row>
    <row r="486" spans="1:7">
      <c r="A486" s="5">
        <v>485</v>
      </c>
      <c r="B486" s="5">
        <v>3.0300000000000001E-2</v>
      </c>
      <c r="C486" s="5">
        <v>0.44</v>
      </c>
      <c r="D486" s="5">
        <v>0.22389999999999999</v>
      </c>
      <c r="E486" s="5">
        <v>0</v>
      </c>
      <c r="F486" s="5">
        <v>2</v>
      </c>
      <c r="G486" s="5">
        <v>2</v>
      </c>
    </row>
    <row r="487" spans="1:7">
      <c r="A487" s="5">
        <v>486</v>
      </c>
      <c r="B487" s="5">
        <v>1.52E-2</v>
      </c>
      <c r="C487" s="5">
        <v>0.44</v>
      </c>
      <c r="D487" s="5">
        <v>0.28360000000000002</v>
      </c>
      <c r="E487" s="5">
        <v>0</v>
      </c>
      <c r="F487" s="5">
        <v>8</v>
      </c>
      <c r="G487" s="5">
        <v>8</v>
      </c>
    </row>
    <row r="488" spans="1:7">
      <c r="A488" s="5">
        <v>487</v>
      </c>
      <c r="B488" s="5">
        <v>0</v>
      </c>
      <c r="C488" s="5">
        <v>0.44</v>
      </c>
      <c r="D488" s="5">
        <v>0.32840000000000003</v>
      </c>
      <c r="E488" s="5">
        <v>1</v>
      </c>
      <c r="F488" s="5">
        <v>26</v>
      </c>
      <c r="G488" s="5">
        <v>27</v>
      </c>
    </row>
    <row r="489" spans="1:7">
      <c r="A489" s="5">
        <v>488</v>
      </c>
      <c r="B489" s="5">
        <v>3.0300000000000001E-2</v>
      </c>
      <c r="C489" s="5">
        <v>0.41</v>
      </c>
      <c r="D489" s="5">
        <v>0.25369999999999998</v>
      </c>
      <c r="E489" s="5">
        <v>3</v>
      </c>
      <c r="F489" s="5">
        <v>37</v>
      </c>
      <c r="G489" s="5">
        <v>40</v>
      </c>
    </row>
    <row r="490" spans="1:7">
      <c r="A490" s="5">
        <v>489</v>
      </c>
      <c r="B490" s="5">
        <v>6.0600000000000001E-2</v>
      </c>
      <c r="C490" s="5">
        <v>0.41</v>
      </c>
      <c r="D490" s="5">
        <v>0.16420000000000001</v>
      </c>
      <c r="E490" s="5">
        <v>3</v>
      </c>
      <c r="F490" s="5">
        <v>50</v>
      </c>
      <c r="G490" s="5">
        <v>53</v>
      </c>
    </row>
    <row r="491" spans="1:7">
      <c r="A491" s="5">
        <v>490</v>
      </c>
      <c r="B491" s="5">
        <v>7.5800000000000006E-2</v>
      </c>
      <c r="C491" s="5">
        <v>0.38</v>
      </c>
      <c r="D491" s="5">
        <v>0.1343</v>
      </c>
      <c r="E491" s="5">
        <v>4</v>
      </c>
      <c r="F491" s="5">
        <v>59</v>
      </c>
      <c r="G491" s="5">
        <v>63</v>
      </c>
    </row>
    <row r="492" spans="1:7">
      <c r="A492" s="5">
        <v>491</v>
      </c>
      <c r="B492" s="5">
        <v>0.1061</v>
      </c>
      <c r="C492" s="5">
        <v>0.38</v>
      </c>
      <c r="D492" s="5">
        <v>0.1045</v>
      </c>
      <c r="E492" s="5">
        <v>10</v>
      </c>
      <c r="F492" s="5">
        <v>60</v>
      </c>
      <c r="G492" s="5">
        <v>70</v>
      </c>
    </row>
    <row r="493" spans="1:7">
      <c r="A493" s="5">
        <v>492</v>
      </c>
      <c r="B493" s="5">
        <v>0.16669999999999999</v>
      </c>
      <c r="C493" s="5">
        <v>0.35</v>
      </c>
      <c r="D493" s="5">
        <v>0</v>
      </c>
      <c r="E493" s="5">
        <v>12</v>
      </c>
      <c r="F493" s="5">
        <v>72</v>
      </c>
      <c r="G493" s="5">
        <v>84</v>
      </c>
    </row>
    <row r="494" spans="1:7">
      <c r="A494" s="5">
        <v>493</v>
      </c>
      <c r="B494" s="5">
        <v>0.13639999999999999</v>
      </c>
      <c r="C494" s="5">
        <v>0.33</v>
      </c>
      <c r="D494" s="5">
        <v>0.1045</v>
      </c>
      <c r="E494" s="5">
        <v>11</v>
      </c>
      <c r="F494" s="5">
        <v>64</v>
      </c>
      <c r="G494" s="5">
        <v>75</v>
      </c>
    </row>
    <row r="495" spans="1:7">
      <c r="A495" s="5">
        <v>494</v>
      </c>
      <c r="B495" s="5">
        <v>0.1515</v>
      </c>
      <c r="C495" s="5">
        <v>0.28000000000000003</v>
      </c>
      <c r="D495" s="5">
        <v>0</v>
      </c>
      <c r="E495" s="5">
        <v>10</v>
      </c>
      <c r="F495" s="5">
        <v>93</v>
      </c>
      <c r="G495" s="5">
        <v>103</v>
      </c>
    </row>
    <row r="496" spans="1:7">
      <c r="A496" s="5">
        <v>495</v>
      </c>
      <c r="B496" s="5">
        <v>0.13639999999999999</v>
      </c>
      <c r="C496" s="5">
        <v>0.28000000000000003</v>
      </c>
      <c r="D496" s="5">
        <v>0.19400000000000001</v>
      </c>
      <c r="E496" s="5">
        <v>11</v>
      </c>
      <c r="F496" s="5">
        <v>72</v>
      </c>
      <c r="G496" s="5">
        <v>83</v>
      </c>
    </row>
    <row r="497" spans="1:7">
      <c r="A497" s="5">
        <v>496</v>
      </c>
      <c r="B497" s="5">
        <v>0.19700000000000001</v>
      </c>
      <c r="C497" s="5">
        <v>0.28000000000000003</v>
      </c>
      <c r="D497" s="5">
        <v>0</v>
      </c>
      <c r="E497" s="5">
        <v>8</v>
      </c>
      <c r="F497" s="5">
        <v>59</v>
      </c>
      <c r="G497" s="5">
        <v>67</v>
      </c>
    </row>
    <row r="498" spans="1:7">
      <c r="A498" s="5">
        <v>497</v>
      </c>
      <c r="B498" s="5">
        <v>9.0899999999999995E-2</v>
      </c>
      <c r="C498" s="5">
        <v>0.35</v>
      </c>
      <c r="D498" s="5">
        <v>0.19400000000000001</v>
      </c>
      <c r="E498" s="5">
        <v>0</v>
      </c>
      <c r="F498" s="5">
        <v>54</v>
      </c>
      <c r="G498" s="5">
        <v>54</v>
      </c>
    </row>
    <row r="499" spans="1:7">
      <c r="A499" s="5">
        <v>498</v>
      </c>
      <c r="B499" s="5">
        <v>0.1061</v>
      </c>
      <c r="C499" s="5">
        <v>0.35</v>
      </c>
      <c r="D499" s="5">
        <v>0.1343</v>
      </c>
      <c r="E499" s="5">
        <v>6</v>
      </c>
      <c r="F499" s="5">
        <v>53</v>
      </c>
      <c r="G499" s="5">
        <v>59</v>
      </c>
    </row>
    <row r="500" spans="1:7">
      <c r="A500" s="5">
        <v>499</v>
      </c>
      <c r="B500" s="5">
        <v>7.5800000000000006E-2</v>
      </c>
      <c r="C500" s="5">
        <v>0.45</v>
      </c>
      <c r="D500" s="5">
        <v>0.16420000000000001</v>
      </c>
      <c r="E500" s="5">
        <v>1</v>
      </c>
      <c r="F500" s="5">
        <v>44</v>
      </c>
      <c r="G500" s="5">
        <v>45</v>
      </c>
    </row>
    <row r="501" spans="1:7">
      <c r="A501" s="5">
        <v>500</v>
      </c>
      <c r="B501" s="5">
        <v>0.1061</v>
      </c>
      <c r="C501" s="5">
        <v>0.41</v>
      </c>
      <c r="D501" s="5">
        <v>8.9599999999999999E-2</v>
      </c>
      <c r="E501" s="5">
        <v>0</v>
      </c>
      <c r="F501" s="5">
        <v>39</v>
      </c>
      <c r="G501" s="5">
        <v>39</v>
      </c>
    </row>
    <row r="502" spans="1:7">
      <c r="A502" s="5">
        <v>501</v>
      </c>
      <c r="B502" s="5">
        <v>0.1515</v>
      </c>
      <c r="C502" s="5">
        <v>0.49</v>
      </c>
      <c r="D502" s="5">
        <v>0</v>
      </c>
      <c r="E502" s="5">
        <v>7</v>
      </c>
      <c r="F502" s="5">
        <v>23</v>
      </c>
      <c r="G502" s="5">
        <v>30</v>
      </c>
    </row>
    <row r="503" spans="1:7">
      <c r="A503" s="5">
        <v>502</v>
      </c>
      <c r="B503" s="5">
        <v>7.5800000000000006E-2</v>
      </c>
      <c r="C503" s="5">
        <v>0.56999999999999995</v>
      </c>
      <c r="D503" s="5">
        <v>0.1045</v>
      </c>
      <c r="E503" s="5">
        <v>2</v>
      </c>
      <c r="F503" s="5">
        <v>31</v>
      </c>
      <c r="G503" s="5">
        <v>33</v>
      </c>
    </row>
    <row r="504" spans="1:7">
      <c r="A504" s="5">
        <v>503</v>
      </c>
      <c r="B504" s="5">
        <v>7.5800000000000006E-2</v>
      </c>
      <c r="C504" s="5">
        <v>0.56999999999999995</v>
      </c>
      <c r="D504" s="5">
        <v>0.1045</v>
      </c>
      <c r="E504" s="5">
        <v>2</v>
      </c>
      <c r="F504" s="5">
        <v>20</v>
      </c>
      <c r="G504" s="5">
        <v>22</v>
      </c>
    </row>
    <row r="505" spans="1:7">
      <c r="A505" s="5">
        <v>504</v>
      </c>
      <c r="B505" s="5">
        <v>7.5800000000000006E-2</v>
      </c>
      <c r="C505" s="5">
        <v>0.56999999999999995</v>
      </c>
      <c r="D505" s="5">
        <v>0.1045</v>
      </c>
      <c r="E505" s="5">
        <v>1</v>
      </c>
      <c r="F505" s="5">
        <v>12</v>
      </c>
      <c r="G505" s="5">
        <v>13</v>
      </c>
    </row>
    <row r="506" spans="1:7">
      <c r="A506" s="5">
        <v>505</v>
      </c>
      <c r="B506" s="5">
        <v>6.0600000000000001E-2</v>
      </c>
      <c r="C506" s="5">
        <v>0.62</v>
      </c>
      <c r="D506" s="5">
        <v>0.1343</v>
      </c>
      <c r="E506" s="5">
        <v>3</v>
      </c>
      <c r="F506" s="5">
        <v>15</v>
      </c>
      <c r="G506" s="5">
        <v>18</v>
      </c>
    </row>
    <row r="507" spans="1:7">
      <c r="A507" s="5">
        <v>506</v>
      </c>
      <c r="B507" s="5">
        <v>6.0600000000000001E-2</v>
      </c>
      <c r="C507" s="5">
        <v>0.62</v>
      </c>
      <c r="D507" s="5">
        <v>0.1343</v>
      </c>
      <c r="E507" s="5">
        <v>1</v>
      </c>
      <c r="F507" s="5">
        <v>4</v>
      </c>
      <c r="G507" s="5">
        <v>5</v>
      </c>
    </row>
    <row r="508" spans="1:7">
      <c r="A508" s="5">
        <v>507</v>
      </c>
      <c r="B508" s="5">
        <v>7.5800000000000006E-2</v>
      </c>
      <c r="C508" s="5">
        <v>0.56999999999999995</v>
      </c>
      <c r="D508" s="5">
        <v>0.1045</v>
      </c>
      <c r="E508" s="5">
        <v>0</v>
      </c>
      <c r="F508" s="5">
        <v>3</v>
      </c>
      <c r="G508" s="5">
        <v>3</v>
      </c>
    </row>
    <row r="509" spans="1:7">
      <c r="A509" s="5">
        <v>508</v>
      </c>
      <c r="B509" s="5">
        <v>7.5800000000000006E-2</v>
      </c>
      <c r="C509" s="5">
        <v>0.56999999999999995</v>
      </c>
      <c r="D509" s="5">
        <v>0.1045</v>
      </c>
      <c r="E509" s="5">
        <v>0</v>
      </c>
      <c r="F509" s="5">
        <v>1</v>
      </c>
      <c r="G509" s="5">
        <v>1</v>
      </c>
    </row>
    <row r="510" spans="1:7">
      <c r="A510" s="5">
        <v>509</v>
      </c>
      <c r="B510" s="5">
        <v>0.1061</v>
      </c>
      <c r="C510" s="5">
        <v>0.57999999999999996</v>
      </c>
      <c r="D510" s="5">
        <v>0.16420000000000001</v>
      </c>
      <c r="E510" s="5">
        <v>1</v>
      </c>
      <c r="F510" s="5">
        <v>1</v>
      </c>
      <c r="G510" s="5">
        <v>2</v>
      </c>
    </row>
    <row r="511" spans="1:7">
      <c r="A511" s="5">
        <v>510</v>
      </c>
      <c r="B511" s="5">
        <v>7.5800000000000006E-2</v>
      </c>
      <c r="C511" s="5">
        <v>0.62</v>
      </c>
      <c r="D511" s="5">
        <v>0.16420000000000001</v>
      </c>
      <c r="E511" s="5">
        <v>2</v>
      </c>
      <c r="F511" s="5">
        <v>17</v>
      </c>
      <c r="G511" s="5">
        <v>19</v>
      </c>
    </row>
    <row r="512" spans="1:7">
      <c r="A512" s="5">
        <v>511</v>
      </c>
      <c r="B512" s="5">
        <v>7.5800000000000006E-2</v>
      </c>
      <c r="C512" s="5">
        <v>0.54</v>
      </c>
      <c r="D512" s="5">
        <v>0.35820000000000002</v>
      </c>
      <c r="E512" s="5">
        <v>3</v>
      </c>
      <c r="F512" s="5">
        <v>25</v>
      </c>
      <c r="G512" s="5">
        <v>28</v>
      </c>
    </row>
    <row r="513" spans="1:7">
      <c r="A513" s="5">
        <v>512</v>
      </c>
      <c r="B513" s="5">
        <v>0.1061</v>
      </c>
      <c r="C513" s="5">
        <v>0.46</v>
      </c>
      <c r="D513" s="5">
        <v>0.3881</v>
      </c>
      <c r="E513" s="5">
        <v>7</v>
      </c>
      <c r="F513" s="5">
        <v>51</v>
      </c>
      <c r="G513" s="5">
        <v>58</v>
      </c>
    </row>
    <row r="514" spans="1:7">
      <c r="A514" s="5">
        <v>513</v>
      </c>
      <c r="B514" s="5">
        <v>0.13639999999999999</v>
      </c>
      <c r="C514" s="5">
        <v>0.43</v>
      </c>
      <c r="D514" s="5">
        <v>0.22389999999999999</v>
      </c>
      <c r="E514" s="5">
        <v>22</v>
      </c>
      <c r="F514" s="5">
        <v>77</v>
      </c>
      <c r="G514" s="5">
        <v>99</v>
      </c>
    </row>
    <row r="515" spans="1:7">
      <c r="A515" s="5">
        <v>514</v>
      </c>
      <c r="B515" s="5">
        <v>0.1212</v>
      </c>
      <c r="C515" s="5">
        <v>0.37</v>
      </c>
      <c r="D515" s="5">
        <v>0.4627</v>
      </c>
      <c r="E515" s="5">
        <v>24</v>
      </c>
      <c r="F515" s="5">
        <v>92</v>
      </c>
      <c r="G515" s="5">
        <v>116</v>
      </c>
    </row>
    <row r="516" spans="1:7">
      <c r="A516" s="5">
        <v>515</v>
      </c>
      <c r="B516" s="5">
        <v>0.1061</v>
      </c>
      <c r="C516" s="5">
        <v>0.33</v>
      </c>
      <c r="D516" s="5">
        <v>0.3881</v>
      </c>
      <c r="E516" s="5">
        <v>12</v>
      </c>
      <c r="F516" s="5">
        <v>75</v>
      </c>
      <c r="G516" s="5">
        <v>87</v>
      </c>
    </row>
    <row r="517" spans="1:7">
      <c r="A517" s="5">
        <v>516</v>
      </c>
      <c r="B517" s="5">
        <v>0.13639999999999999</v>
      </c>
      <c r="C517" s="5">
        <v>0.28000000000000003</v>
      </c>
      <c r="D517" s="5">
        <v>0.35820000000000002</v>
      </c>
      <c r="E517" s="5">
        <v>17</v>
      </c>
      <c r="F517" s="5">
        <v>93</v>
      </c>
      <c r="G517" s="5">
        <v>110</v>
      </c>
    </row>
    <row r="518" spans="1:7">
      <c r="A518" s="5">
        <v>517</v>
      </c>
      <c r="B518" s="5">
        <v>0.13639999999999999</v>
      </c>
      <c r="C518" s="5">
        <v>0.28000000000000003</v>
      </c>
      <c r="D518" s="5">
        <v>0.35820000000000002</v>
      </c>
      <c r="E518" s="5">
        <v>13</v>
      </c>
      <c r="F518" s="5">
        <v>64</v>
      </c>
      <c r="G518" s="5">
        <v>77</v>
      </c>
    </row>
    <row r="519" spans="1:7">
      <c r="A519" s="5">
        <v>518</v>
      </c>
      <c r="B519" s="5">
        <v>0.13639999999999999</v>
      </c>
      <c r="C519" s="5">
        <v>0.26</v>
      </c>
      <c r="D519" s="5">
        <v>0.32840000000000003</v>
      </c>
      <c r="E519" s="5">
        <v>9</v>
      </c>
      <c r="F519" s="5">
        <v>56</v>
      </c>
      <c r="G519" s="5">
        <v>65</v>
      </c>
    </row>
    <row r="520" spans="1:7">
      <c r="A520" s="5">
        <v>519</v>
      </c>
      <c r="B520" s="5">
        <v>0.1061</v>
      </c>
      <c r="C520" s="5">
        <v>0.26</v>
      </c>
      <c r="D520" s="5">
        <v>0.3881</v>
      </c>
      <c r="E520" s="5">
        <v>5</v>
      </c>
      <c r="F520" s="5">
        <v>50</v>
      </c>
      <c r="G520" s="5">
        <v>55</v>
      </c>
    </row>
    <row r="521" spans="1:7">
      <c r="A521" s="5">
        <v>520</v>
      </c>
      <c r="B521" s="5">
        <v>0.1212</v>
      </c>
      <c r="C521" s="5">
        <v>0.3</v>
      </c>
      <c r="D521" s="5">
        <v>0.25369999999999998</v>
      </c>
      <c r="E521" s="5">
        <v>5</v>
      </c>
      <c r="F521" s="5">
        <v>44</v>
      </c>
      <c r="G521" s="5">
        <v>49</v>
      </c>
    </row>
    <row r="522" spans="1:7">
      <c r="A522" s="5">
        <v>521</v>
      </c>
      <c r="B522" s="5">
        <v>0.1212</v>
      </c>
      <c r="C522" s="5">
        <v>0.3</v>
      </c>
      <c r="D522" s="5">
        <v>0.28360000000000002</v>
      </c>
      <c r="E522" s="5">
        <v>5</v>
      </c>
      <c r="F522" s="5">
        <v>45</v>
      </c>
      <c r="G522" s="5">
        <v>50</v>
      </c>
    </row>
    <row r="523" spans="1:7">
      <c r="A523" s="5">
        <v>522</v>
      </c>
      <c r="B523" s="5">
        <v>0.1061</v>
      </c>
      <c r="C523" s="5">
        <v>0.36</v>
      </c>
      <c r="D523" s="5">
        <v>0.25369999999999998</v>
      </c>
      <c r="E523" s="5">
        <v>4</v>
      </c>
      <c r="F523" s="5">
        <v>31</v>
      </c>
      <c r="G523" s="5">
        <v>35</v>
      </c>
    </row>
    <row r="524" spans="1:7">
      <c r="A524" s="5">
        <v>523</v>
      </c>
      <c r="B524" s="5">
        <v>0.1061</v>
      </c>
      <c r="C524" s="5">
        <v>0.36</v>
      </c>
      <c r="D524" s="5">
        <v>0.19400000000000001</v>
      </c>
      <c r="E524" s="5">
        <v>5</v>
      </c>
      <c r="F524" s="5">
        <v>20</v>
      </c>
      <c r="G524" s="5">
        <v>25</v>
      </c>
    </row>
    <row r="525" spans="1:7">
      <c r="A525" s="5">
        <v>524</v>
      </c>
      <c r="B525" s="5">
        <v>9.0899999999999995E-2</v>
      </c>
      <c r="C525" s="5">
        <v>0.38</v>
      </c>
      <c r="D525" s="5">
        <v>0.19400000000000001</v>
      </c>
      <c r="E525" s="5">
        <v>5</v>
      </c>
      <c r="F525" s="5">
        <v>23</v>
      </c>
      <c r="G525" s="5">
        <v>28</v>
      </c>
    </row>
    <row r="526" spans="1:7">
      <c r="A526" s="5">
        <v>525</v>
      </c>
      <c r="B526" s="5">
        <v>6.0600000000000001E-2</v>
      </c>
      <c r="C526" s="5">
        <v>0.41</v>
      </c>
      <c r="D526" s="5">
        <v>0.22389999999999999</v>
      </c>
      <c r="E526" s="5">
        <v>4</v>
      </c>
      <c r="F526" s="5">
        <v>17</v>
      </c>
      <c r="G526" s="5">
        <v>21</v>
      </c>
    </row>
    <row r="527" spans="1:7">
      <c r="A527" s="5">
        <v>526</v>
      </c>
      <c r="B527" s="5">
        <v>6.0600000000000001E-2</v>
      </c>
      <c r="C527" s="5">
        <v>0.41</v>
      </c>
      <c r="D527" s="5">
        <v>0.19400000000000001</v>
      </c>
      <c r="E527" s="5">
        <v>0</v>
      </c>
      <c r="F527" s="5">
        <v>7</v>
      </c>
      <c r="G527" s="5">
        <v>7</v>
      </c>
    </row>
    <row r="528" spans="1:7">
      <c r="A528" s="5">
        <v>527</v>
      </c>
      <c r="B528" s="5">
        <v>4.5499999999999999E-2</v>
      </c>
      <c r="C528" s="5">
        <v>0.45</v>
      </c>
      <c r="D528" s="5">
        <v>0.19400000000000001</v>
      </c>
      <c r="E528" s="5">
        <v>0</v>
      </c>
      <c r="F528" s="5">
        <v>1</v>
      </c>
      <c r="G528" s="5">
        <v>1</v>
      </c>
    </row>
    <row r="529" spans="1:7">
      <c r="A529" s="5">
        <v>528</v>
      </c>
      <c r="B529" s="5">
        <v>3.0300000000000001E-2</v>
      </c>
      <c r="C529" s="5">
        <v>0.45</v>
      </c>
      <c r="D529" s="5">
        <v>0.25369999999999998</v>
      </c>
      <c r="E529" s="5">
        <v>0</v>
      </c>
      <c r="F529" s="5">
        <v>1</v>
      </c>
      <c r="G529" s="5">
        <v>1</v>
      </c>
    </row>
    <row r="530" spans="1:7">
      <c r="A530" s="5">
        <v>529</v>
      </c>
      <c r="B530" s="5">
        <v>6.0600000000000001E-2</v>
      </c>
      <c r="C530" s="5">
        <v>0.48</v>
      </c>
      <c r="D530" s="5">
        <v>0.1343</v>
      </c>
      <c r="E530" s="5">
        <v>0</v>
      </c>
      <c r="F530" s="5">
        <v>1</v>
      </c>
      <c r="G530" s="5">
        <v>1</v>
      </c>
    </row>
    <row r="531" spans="1:7">
      <c r="A531" s="5">
        <v>530</v>
      </c>
      <c r="B531" s="5">
        <v>6.0600000000000001E-2</v>
      </c>
      <c r="C531" s="5">
        <v>0.48</v>
      </c>
      <c r="D531" s="5">
        <v>0.1343</v>
      </c>
      <c r="E531" s="5">
        <v>0</v>
      </c>
      <c r="F531" s="5">
        <v>5</v>
      </c>
      <c r="G531" s="5">
        <v>5</v>
      </c>
    </row>
    <row r="532" spans="1:7">
      <c r="A532" s="5">
        <v>531</v>
      </c>
      <c r="B532" s="5">
        <v>7.5800000000000006E-2</v>
      </c>
      <c r="C532" s="5">
        <v>0.48</v>
      </c>
      <c r="D532" s="5">
        <v>8.9599999999999999E-2</v>
      </c>
      <c r="E532" s="5">
        <v>0</v>
      </c>
      <c r="F532" s="5">
        <v>15</v>
      </c>
      <c r="G532" s="5">
        <v>15</v>
      </c>
    </row>
    <row r="533" spans="1:7">
      <c r="A533" s="5">
        <v>532</v>
      </c>
      <c r="B533" s="5">
        <v>0.1212</v>
      </c>
      <c r="C533" s="5">
        <v>0.48</v>
      </c>
      <c r="D533" s="5">
        <v>0</v>
      </c>
      <c r="E533" s="5">
        <v>5</v>
      </c>
      <c r="F533" s="5">
        <v>79</v>
      </c>
      <c r="G533" s="5">
        <v>84</v>
      </c>
    </row>
    <row r="534" spans="1:7">
      <c r="A534" s="5">
        <v>533</v>
      </c>
      <c r="B534" s="5">
        <v>0.13639999999999999</v>
      </c>
      <c r="C534" s="5">
        <v>0.49</v>
      </c>
      <c r="D534" s="5">
        <v>0</v>
      </c>
      <c r="E534" s="5">
        <v>6</v>
      </c>
      <c r="F534" s="5">
        <v>171</v>
      </c>
      <c r="G534" s="5">
        <v>177</v>
      </c>
    </row>
    <row r="535" spans="1:7">
      <c r="A535" s="5">
        <v>534</v>
      </c>
      <c r="B535" s="5">
        <v>0.1515</v>
      </c>
      <c r="C535" s="5">
        <v>0.41</v>
      </c>
      <c r="D535" s="5">
        <v>0</v>
      </c>
      <c r="E535" s="5">
        <v>4</v>
      </c>
      <c r="F535" s="5">
        <v>98</v>
      </c>
      <c r="G535" s="5">
        <v>102</v>
      </c>
    </row>
    <row r="536" spans="1:7">
      <c r="A536" s="5">
        <v>535</v>
      </c>
      <c r="B536" s="5">
        <v>0.13639999999999999</v>
      </c>
      <c r="C536" s="5">
        <v>0.42</v>
      </c>
      <c r="D536" s="5">
        <v>0</v>
      </c>
      <c r="E536" s="5">
        <v>6</v>
      </c>
      <c r="F536" s="5">
        <v>34</v>
      </c>
      <c r="G536" s="5">
        <v>40</v>
      </c>
    </row>
    <row r="537" spans="1:7">
      <c r="A537" s="5">
        <v>536</v>
      </c>
      <c r="B537" s="5">
        <v>0.1212</v>
      </c>
      <c r="C537" s="5">
        <v>0.46</v>
      </c>
      <c r="D537" s="5">
        <v>0.1343</v>
      </c>
      <c r="E537" s="5">
        <v>3</v>
      </c>
      <c r="F537" s="5">
        <v>43</v>
      </c>
      <c r="G537" s="5">
        <v>46</v>
      </c>
    </row>
    <row r="538" spans="1:7">
      <c r="A538" s="5">
        <v>537</v>
      </c>
      <c r="B538" s="5">
        <v>0.13639999999999999</v>
      </c>
      <c r="C538" s="5">
        <v>0.42</v>
      </c>
      <c r="D538" s="5">
        <v>0.19400000000000001</v>
      </c>
      <c r="E538" s="5">
        <v>11</v>
      </c>
      <c r="F538" s="5">
        <v>52</v>
      </c>
      <c r="G538" s="5">
        <v>63</v>
      </c>
    </row>
    <row r="539" spans="1:7">
      <c r="A539" s="5">
        <v>538</v>
      </c>
      <c r="B539" s="5">
        <v>0.13639999999999999</v>
      </c>
      <c r="C539" s="5">
        <v>0.43</v>
      </c>
      <c r="D539" s="5">
        <v>0.22389999999999999</v>
      </c>
      <c r="E539" s="5">
        <v>6</v>
      </c>
      <c r="F539" s="5">
        <v>54</v>
      </c>
      <c r="G539" s="5">
        <v>60</v>
      </c>
    </row>
    <row r="540" spans="1:7">
      <c r="A540" s="5">
        <v>539</v>
      </c>
      <c r="B540" s="5">
        <v>0.13639999999999999</v>
      </c>
      <c r="C540" s="5">
        <v>0.46</v>
      </c>
      <c r="D540" s="5">
        <v>0.22389999999999999</v>
      </c>
      <c r="E540" s="5">
        <v>2</v>
      </c>
      <c r="F540" s="5">
        <v>43</v>
      </c>
      <c r="G540" s="5">
        <v>45</v>
      </c>
    </row>
    <row r="541" spans="1:7">
      <c r="A541" s="5">
        <v>540</v>
      </c>
      <c r="B541" s="5">
        <v>0.16669999999999999</v>
      </c>
      <c r="C541" s="5">
        <v>0.4</v>
      </c>
      <c r="D541" s="5">
        <v>0.16420000000000001</v>
      </c>
      <c r="E541" s="5">
        <v>7</v>
      </c>
      <c r="F541" s="5">
        <v>50</v>
      </c>
      <c r="G541" s="5">
        <v>57</v>
      </c>
    </row>
    <row r="542" spans="1:7">
      <c r="A542" s="5">
        <v>541</v>
      </c>
      <c r="B542" s="5">
        <v>0.1515</v>
      </c>
      <c r="C542" s="5">
        <v>0.47</v>
      </c>
      <c r="D542" s="5">
        <v>0.25369999999999998</v>
      </c>
      <c r="E542" s="5">
        <v>4</v>
      </c>
      <c r="F542" s="5">
        <v>66</v>
      </c>
      <c r="G542" s="5">
        <v>70</v>
      </c>
    </row>
    <row r="543" spans="1:7">
      <c r="A543" s="5">
        <v>542</v>
      </c>
      <c r="B543" s="5">
        <v>0.1212</v>
      </c>
      <c r="C543" s="5">
        <v>0.5</v>
      </c>
      <c r="D543" s="5">
        <v>0.25369999999999998</v>
      </c>
      <c r="E543" s="5">
        <v>6</v>
      </c>
      <c r="F543" s="5">
        <v>178</v>
      </c>
      <c r="G543" s="5">
        <v>184</v>
      </c>
    </row>
    <row r="544" spans="1:7">
      <c r="A544" s="5">
        <v>543</v>
      </c>
      <c r="B544" s="5">
        <v>0.13639999999999999</v>
      </c>
      <c r="C544" s="5">
        <v>0.59</v>
      </c>
      <c r="D544" s="5">
        <v>0.19400000000000001</v>
      </c>
      <c r="E544" s="5">
        <v>8</v>
      </c>
      <c r="F544" s="5">
        <v>145</v>
      </c>
      <c r="G544" s="5">
        <v>153</v>
      </c>
    </row>
    <row r="545" spans="1:7">
      <c r="A545" s="5">
        <v>544</v>
      </c>
      <c r="B545" s="5">
        <v>0.1515</v>
      </c>
      <c r="C545" s="5">
        <v>0.54</v>
      </c>
      <c r="D545" s="5">
        <v>0.16420000000000001</v>
      </c>
      <c r="E545" s="5">
        <v>5</v>
      </c>
      <c r="F545" s="5">
        <v>101</v>
      </c>
      <c r="G545" s="5">
        <v>106</v>
      </c>
    </row>
    <row r="546" spans="1:7">
      <c r="A546" s="5">
        <v>545</v>
      </c>
      <c r="B546" s="5">
        <v>0.13639999999999999</v>
      </c>
      <c r="C546" s="5">
        <v>0.59</v>
      </c>
      <c r="D546" s="5">
        <v>0.19400000000000001</v>
      </c>
      <c r="E546" s="5">
        <v>1</v>
      </c>
      <c r="F546" s="5">
        <v>80</v>
      </c>
      <c r="G546" s="5">
        <v>81</v>
      </c>
    </row>
    <row r="547" spans="1:7">
      <c r="A547" s="5">
        <v>546</v>
      </c>
      <c r="B547" s="5">
        <v>0.1515</v>
      </c>
      <c r="C547" s="5">
        <v>0.63</v>
      </c>
      <c r="D547" s="5">
        <v>0.16420000000000001</v>
      </c>
      <c r="E547" s="5">
        <v>6</v>
      </c>
      <c r="F547" s="5">
        <v>53</v>
      </c>
      <c r="G547" s="5">
        <v>59</v>
      </c>
    </row>
    <row r="548" spans="1:7">
      <c r="A548" s="5">
        <v>547</v>
      </c>
      <c r="B548" s="5">
        <v>0.13639999999999999</v>
      </c>
      <c r="C548" s="5">
        <v>0.63</v>
      </c>
      <c r="D548" s="5">
        <v>0.22389999999999999</v>
      </c>
      <c r="E548" s="5">
        <v>3</v>
      </c>
      <c r="F548" s="5">
        <v>32</v>
      </c>
      <c r="G548" s="5">
        <v>35</v>
      </c>
    </row>
    <row r="549" spans="1:7">
      <c r="A549" s="5">
        <v>548</v>
      </c>
      <c r="B549" s="5">
        <v>0.1515</v>
      </c>
      <c r="C549" s="5">
        <v>0.64</v>
      </c>
      <c r="D549" s="5">
        <v>0.25369999999999998</v>
      </c>
      <c r="E549" s="5">
        <v>3</v>
      </c>
      <c r="F549" s="5">
        <v>21</v>
      </c>
      <c r="G549" s="5">
        <v>24</v>
      </c>
    </row>
    <row r="550" spans="1:7">
      <c r="A550" s="5">
        <v>549</v>
      </c>
      <c r="B550" s="5">
        <v>0.13639999999999999</v>
      </c>
      <c r="C550" s="5">
        <v>0.69</v>
      </c>
      <c r="D550" s="5">
        <v>0.28360000000000002</v>
      </c>
      <c r="E550" s="5">
        <v>3</v>
      </c>
      <c r="F550" s="5">
        <v>6</v>
      </c>
      <c r="G550" s="5">
        <v>9</v>
      </c>
    </row>
    <row r="551" spans="1:7">
      <c r="A551" s="5">
        <v>550</v>
      </c>
      <c r="B551" s="5">
        <v>0.16669999999999999</v>
      </c>
      <c r="C551" s="5">
        <v>0.69</v>
      </c>
      <c r="D551" s="5">
        <v>0.16420000000000001</v>
      </c>
      <c r="E551" s="5">
        <v>0</v>
      </c>
      <c r="F551" s="5">
        <v>5</v>
      </c>
      <c r="G551" s="5">
        <v>5</v>
      </c>
    </row>
    <row r="552" spans="1:7">
      <c r="A552" s="5">
        <v>551</v>
      </c>
      <c r="B552" s="5">
        <v>0.1515</v>
      </c>
      <c r="C552" s="5">
        <v>0.69</v>
      </c>
      <c r="D552" s="5">
        <v>0.22389999999999999</v>
      </c>
      <c r="E552" s="5">
        <v>0</v>
      </c>
      <c r="F552" s="5">
        <v>2</v>
      </c>
      <c r="G552" s="5">
        <v>2</v>
      </c>
    </row>
    <row r="553" spans="1:7">
      <c r="A553" s="5">
        <v>552</v>
      </c>
      <c r="B553" s="5">
        <v>0.16669999999999999</v>
      </c>
      <c r="C553" s="5">
        <v>0.74</v>
      </c>
      <c r="D553" s="5">
        <v>0.1045</v>
      </c>
      <c r="E553" s="5">
        <v>0</v>
      </c>
      <c r="F553" s="5">
        <v>1</v>
      </c>
      <c r="G553" s="5">
        <v>1</v>
      </c>
    </row>
    <row r="554" spans="1:7">
      <c r="A554" s="5">
        <v>553</v>
      </c>
      <c r="B554" s="5">
        <v>0.13639999999999999</v>
      </c>
      <c r="C554" s="5">
        <v>0.74</v>
      </c>
      <c r="D554" s="5">
        <v>0.22389999999999999</v>
      </c>
      <c r="E554" s="5">
        <v>0</v>
      </c>
      <c r="F554" s="5">
        <v>9</v>
      </c>
      <c r="G554" s="5">
        <v>9</v>
      </c>
    </row>
    <row r="555" spans="1:7">
      <c r="A555" s="5">
        <v>554</v>
      </c>
      <c r="B555" s="5">
        <v>0.18179999999999999</v>
      </c>
      <c r="C555" s="5">
        <v>0.74</v>
      </c>
      <c r="D555" s="5">
        <v>0.1045</v>
      </c>
      <c r="E555" s="5">
        <v>1</v>
      </c>
      <c r="F555" s="5">
        <v>35</v>
      </c>
      <c r="G555" s="5">
        <v>36</v>
      </c>
    </row>
    <row r="556" spans="1:7">
      <c r="A556" s="5">
        <v>555</v>
      </c>
      <c r="B556" s="5">
        <v>0.1515</v>
      </c>
      <c r="C556" s="5">
        <v>0.74</v>
      </c>
      <c r="D556" s="5">
        <v>0.22389999999999999</v>
      </c>
      <c r="E556" s="5">
        <v>5</v>
      </c>
      <c r="F556" s="5">
        <v>103</v>
      </c>
      <c r="G556" s="5">
        <v>108</v>
      </c>
    </row>
    <row r="557" spans="1:7">
      <c r="A557" s="5">
        <v>556</v>
      </c>
      <c r="B557" s="5">
        <v>0.18179999999999999</v>
      </c>
      <c r="C557" s="5">
        <v>0.74</v>
      </c>
      <c r="D557" s="5">
        <v>0.1343</v>
      </c>
      <c r="E557" s="5">
        <v>5</v>
      </c>
      <c r="F557" s="5">
        <v>233</v>
      </c>
      <c r="G557" s="5">
        <v>238</v>
      </c>
    </row>
    <row r="558" spans="1:7">
      <c r="A558" s="5">
        <v>557</v>
      </c>
      <c r="B558" s="5">
        <v>0.2273</v>
      </c>
      <c r="C558" s="5">
        <v>0.64</v>
      </c>
      <c r="D558" s="5">
        <v>8.9599999999999999E-2</v>
      </c>
      <c r="E558" s="5">
        <v>10</v>
      </c>
      <c r="F558" s="5">
        <v>134</v>
      </c>
      <c r="G558" s="5">
        <v>144</v>
      </c>
    </row>
    <row r="559" spans="1:7">
      <c r="A559" s="5">
        <v>558</v>
      </c>
      <c r="B559" s="5">
        <v>0.2424</v>
      </c>
      <c r="C559" s="5">
        <v>0.6</v>
      </c>
      <c r="D559" s="5">
        <v>0.1045</v>
      </c>
      <c r="E559" s="5">
        <v>6</v>
      </c>
      <c r="F559" s="5">
        <v>49</v>
      </c>
      <c r="G559" s="5">
        <v>55</v>
      </c>
    </row>
    <row r="560" spans="1:7">
      <c r="A560" s="5">
        <v>559</v>
      </c>
      <c r="B560" s="5">
        <v>0.2424</v>
      </c>
      <c r="C560" s="5">
        <v>0.6</v>
      </c>
      <c r="D560" s="5">
        <v>0.1343</v>
      </c>
      <c r="E560" s="5">
        <v>6</v>
      </c>
      <c r="F560" s="5">
        <v>55</v>
      </c>
      <c r="G560" s="5">
        <v>61</v>
      </c>
    </row>
    <row r="561" spans="1:7">
      <c r="A561" s="5">
        <v>560</v>
      </c>
      <c r="B561" s="5">
        <v>0.28789999999999999</v>
      </c>
      <c r="C561" s="5">
        <v>0.56000000000000005</v>
      </c>
      <c r="D561" s="5">
        <v>8.9599999999999999E-2</v>
      </c>
      <c r="E561" s="5">
        <v>21</v>
      </c>
      <c r="F561" s="5">
        <v>85</v>
      </c>
      <c r="G561" s="5">
        <v>106</v>
      </c>
    </row>
    <row r="562" spans="1:7">
      <c r="A562" s="5">
        <v>561</v>
      </c>
      <c r="B562" s="5">
        <v>0.2727</v>
      </c>
      <c r="C562" s="5">
        <v>0.56000000000000005</v>
      </c>
      <c r="D562" s="5">
        <v>0.1343</v>
      </c>
      <c r="E562" s="5">
        <v>21</v>
      </c>
      <c r="F562" s="5">
        <v>72</v>
      </c>
      <c r="G562" s="5">
        <v>93</v>
      </c>
    </row>
    <row r="563" spans="1:7">
      <c r="A563" s="5">
        <v>562</v>
      </c>
      <c r="B563" s="5">
        <v>0.33329999999999999</v>
      </c>
      <c r="C563" s="5">
        <v>0.45</v>
      </c>
      <c r="D563" s="5">
        <v>0</v>
      </c>
      <c r="E563" s="5">
        <v>11</v>
      </c>
      <c r="F563" s="5">
        <v>57</v>
      </c>
      <c r="G563" s="5">
        <v>68</v>
      </c>
    </row>
    <row r="564" spans="1:7">
      <c r="A564" s="5">
        <v>563</v>
      </c>
      <c r="B564" s="5">
        <v>0.34849999999999998</v>
      </c>
      <c r="C564" s="5">
        <v>0.42</v>
      </c>
      <c r="D564" s="5">
        <v>0</v>
      </c>
      <c r="E564" s="5">
        <v>21</v>
      </c>
      <c r="F564" s="5">
        <v>63</v>
      </c>
      <c r="G564" s="5">
        <v>84</v>
      </c>
    </row>
    <row r="565" spans="1:7">
      <c r="A565" s="5">
        <v>564</v>
      </c>
      <c r="B565" s="5">
        <v>0.34849999999999998</v>
      </c>
      <c r="C565" s="5">
        <v>0.42</v>
      </c>
      <c r="D565" s="5">
        <v>0</v>
      </c>
      <c r="E565" s="5">
        <v>14</v>
      </c>
      <c r="F565" s="5">
        <v>102</v>
      </c>
      <c r="G565" s="5">
        <v>116</v>
      </c>
    </row>
    <row r="566" spans="1:7">
      <c r="A566" s="5">
        <v>565</v>
      </c>
      <c r="B566" s="5">
        <v>0.33329999999999999</v>
      </c>
      <c r="C566" s="5">
        <v>0.45</v>
      </c>
      <c r="D566" s="5">
        <v>0</v>
      </c>
      <c r="E566" s="5">
        <v>14</v>
      </c>
      <c r="F566" s="5">
        <v>208</v>
      </c>
      <c r="G566" s="5">
        <v>222</v>
      </c>
    </row>
    <row r="567" spans="1:7">
      <c r="A567" s="5">
        <v>566</v>
      </c>
      <c r="B567" s="5">
        <v>0.31819999999999998</v>
      </c>
      <c r="C567" s="5">
        <v>0.49</v>
      </c>
      <c r="D567" s="5">
        <v>8.9599999999999999E-2</v>
      </c>
      <c r="E567" s="5">
        <v>7</v>
      </c>
      <c r="F567" s="5">
        <v>218</v>
      </c>
      <c r="G567" s="5">
        <v>225</v>
      </c>
    </row>
    <row r="568" spans="1:7">
      <c r="A568" s="5">
        <v>567</v>
      </c>
      <c r="B568" s="5">
        <v>0.2576</v>
      </c>
      <c r="C568" s="5">
        <v>0.65</v>
      </c>
      <c r="D568" s="5">
        <v>0.16420000000000001</v>
      </c>
      <c r="E568" s="5">
        <v>13</v>
      </c>
      <c r="F568" s="5">
        <v>133</v>
      </c>
      <c r="G568" s="5">
        <v>146</v>
      </c>
    </row>
    <row r="569" spans="1:7">
      <c r="A569" s="5">
        <v>568</v>
      </c>
      <c r="B569" s="5">
        <v>0.2273</v>
      </c>
      <c r="C569" s="5">
        <v>0.65</v>
      </c>
      <c r="D569" s="5">
        <v>0.19400000000000001</v>
      </c>
      <c r="E569" s="5">
        <v>16</v>
      </c>
      <c r="F569" s="5">
        <v>103</v>
      </c>
      <c r="G569" s="5">
        <v>119</v>
      </c>
    </row>
    <row r="570" spans="1:7">
      <c r="A570" s="5">
        <v>569</v>
      </c>
      <c r="B570" s="5">
        <v>0.2273</v>
      </c>
      <c r="C570" s="5">
        <v>0.65</v>
      </c>
      <c r="D570" s="5">
        <v>0.19400000000000001</v>
      </c>
      <c r="E570" s="5">
        <v>5</v>
      </c>
      <c r="F570" s="5">
        <v>40</v>
      </c>
      <c r="G570" s="5">
        <v>45</v>
      </c>
    </row>
    <row r="571" spans="1:7">
      <c r="A571" s="5">
        <v>570</v>
      </c>
      <c r="B571" s="5">
        <v>0.2273</v>
      </c>
      <c r="C571" s="5">
        <v>0.64</v>
      </c>
      <c r="D571" s="5">
        <v>0.16420000000000001</v>
      </c>
      <c r="E571" s="5">
        <v>4</v>
      </c>
      <c r="F571" s="5">
        <v>49</v>
      </c>
      <c r="G571" s="5">
        <v>53</v>
      </c>
    </row>
    <row r="572" spans="1:7">
      <c r="A572" s="5">
        <v>571</v>
      </c>
      <c r="B572" s="5">
        <v>0.2273</v>
      </c>
      <c r="C572" s="5">
        <v>0.64</v>
      </c>
      <c r="D572" s="5">
        <v>0.16420000000000001</v>
      </c>
      <c r="E572" s="5">
        <v>3</v>
      </c>
      <c r="F572" s="5">
        <v>37</v>
      </c>
      <c r="G572" s="5">
        <v>40</v>
      </c>
    </row>
    <row r="573" spans="1:7">
      <c r="A573" s="5">
        <v>572</v>
      </c>
      <c r="B573" s="5">
        <v>0.2273</v>
      </c>
      <c r="C573" s="5">
        <v>0.69</v>
      </c>
      <c r="D573" s="5">
        <v>0.1343</v>
      </c>
      <c r="E573" s="5">
        <v>3</v>
      </c>
      <c r="F573" s="5">
        <v>14</v>
      </c>
      <c r="G573" s="5">
        <v>17</v>
      </c>
    </row>
    <row r="574" spans="1:7">
      <c r="A574" s="5">
        <v>573</v>
      </c>
      <c r="B574" s="5">
        <v>0.2424</v>
      </c>
      <c r="C574" s="5">
        <v>0.65</v>
      </c>
      <c r="D574" s="5">
        <v>0.1343</v>
      </c>
      <c r="E574" s="5">
        <v>0</v>
      </c>
      <c r="F574" s="5">
        <v>5</v>
      </c>
      <c r="G574" s="5">
        <v>5</v>
      </c>
    </row>
    <row r="575" spans="1:7">
      <c r="A575" s="5">
        <v>574</v>
      </c>
      <c r="B575" s="5">
        <v>0.2273</v>
      </c>
      <c r="C575" s="5">
        <v>0.69</v>
      </c>
      <c r="D575" s="5">
        <v>0.19400000000000001</v>
      </c>
      <c r="E575" s="5">
        <v>3</v>
      </c>
      <c r="F575" s="5">
        <v>7</v>
      </c>
      <c r="G575" s="5">
        <v>10</v>
      </c>
    </row>
    <row r="576" spans="1:7">
      <c r="A576" s="5">
        <v>575</v>
      </c>
      <c r="B576" s="5">
        <v>0.18179999999999999</v>
      </c>
      <c r="C576" s="5">
        <v>0.86</v>
      </c>
      <c r="D576" s="5">
        <v>0.28360000000000002</v>
      </c>
      <c r="E576" s="5">
        <v>0</v>
      </c>
      <c r="F576" s="5">
        <v>1</v>
      </c>
      <c r="G576" s="5">
        <v>1</v>
      </c>
    </row>
    <row r="577" spans="1:7">
      <c r="A577" s="5">
        <v>576</v>
      </c>
      <c r="B577" s="5">
        <v>0.18179999999999999</v>
      </c>
      <c r="C577" s="5">
        <v>0.86</v>
      </c>
      <c r="D577" s="5">
        <v>0.28360000000000002</v>
      </c>
      <c r="E577" s="5">
        <v>0</v>
      </c>
      <c r="F577" s="5">
        <v>8</v>
      </c>
      <c r="G577" s="5">
        <v>8</v>
      </c>
    </row>
    <row r="578" spans="1:7">
      <c r="A578" s="5">
        <v>577</v>
      </c>
      <c r="B578" s="5">
        <v>0.21210000000000001</v>
      </c>
      <c r="C578" s="5">
        <v>0.87</v>
      </c>
      <c r="D578" s="5">
        <v>0.29849999999999999</v>
      </c>
      <c r="E578" s="5">
        <v>1</v>
      </c>
      <c r="F578" s="5">
        <v>29</v>
      </c>
      <c r="G578" s="5">
        <v>30</v>
      </c>
    </row>
    <row r="579" spans="1:7">
      <c r="A579" s="5">
        <v>578</v>
      </c>
      <c r="B579" s="5">
        <v>0.21210000000000001</v>
      </c>
      <c r="C579" s="5">
        <v>0.87</v>
      </c>
      <c r="D579" s="5">
        <v>0.29849999999999999</v>
      </c>
      <c r="E579" s="5">
        <v>3</v>
      </c>
      <c r="F579" s="5">
        <v>69</v>
      </c>
      <c r="G579" s="5">
        <v>72</v>
      </c>
    </row>
    <row r="580" spans="1:7">
      <c r="A580" s="5">
        <v>579</v>
      </c>
      <c r="B580" s="5">
        <v>0.21210000000000001</v>
      </c>
      <c r="C580" s="5">
        <v>0.87</v>
      </c>
      <c r="D580" s="5">
        <v>0.29849999999999999</v>
      </c>
      <c r="E580" s="5">
        <v>3</v>
      </c>
      <c r="F580" s="5">
        <v>55</v>
      </c>
      <c r="G580" s="5">
        <v>58</v>
      </c>
    </row>
    <row r="581" spans="1:7">
      <c r="A581" s="5">
        <v>580</v>
      </c>
      <c r="B581" s="5">
        <v>0.21210000000000001</v>
      </c>
      <c r="C581" s="5">
        <v>0.93</v>
      </c>
      <c r="D581" s="5">
        <v>0.28360000000000002</v>
      </c>
      <c r="E581" s="5">
        <v>2</v>
      </c>
      <c r="F581" s="5">
        <v>26</v>
      </c>
      <c r="G581" s="5">
        <v>28</v>
      </c>
    </row>
    <row r="582" spans="1:7">
      <c r="A582" s="5">
        <v>581</v>
      </c>
      <c r="B582" s="5">
        <v>0.19700000000000001</v>
      </c>
      <c r="C582" s="5">
        <v>0.93</v>
      </c>
      <c r="D582" s="5">
        <v>0.32840000000000003</v>
      </c>
      <c r="E582" s="5">
        <v>6</v>
      </c>
      <c r="F582" s="5">
        <v>35</v>
      </c>
      <c r="G582" s="5">
        <v>41</v>
      </c>
    </row>
    <row r="583" spans="1:7">
      <c r="A583" s="5">
        <v>582</v>
      </c>
      <c r="B583" s="5">
        <v>0.19700000000000001</v>
      </c>
      <c r="C583" s="5">
        <v>0.93</v>
      </c>
      <c r="D583" s="5">
        <v>0.32840000000000003</v>
      </c>
      <c r="E583" s="5">
        <v>7</v>
      </c>
      <c r="F583" s="5">
        <v>41</v>
      </c>
      <c r="G583" s="5">
        <v>48</v>
      </c>
    </row>
    <row r="584" spans="1:7">
      <c r="A584" s="5">
        <v>583</v>
      </c>
      <c r="B584" s="5">
        <v>0.19700000000000001</v>
      </c>
      <c r="C584" s="5">
        <v>0.93</v>
      </c>
      <c r="D584" s="5">
        <v>0.32840000000000003</v>
      </c>
      <c r="E584" s="5">
        <v>4</v>
      </c>
      <c r="F584" s="5">
        <v>43</v>
      </c>
      <c r="G584" s="5">
        <v>47</v>
      </c>
    </row>
    <row r="585" spans="1:7">
      <c r="A585" s="5">
        <v>584</v>
      </c>
      <c r="B585" s="5">
        <v>0.19700000000000001</v>
      </c>
      <c r="C585" s="5">
        <v>0.93</v>
      </c>
      <c r="D585" s="5">
        <v>0.35820000000000002</v>
      </c>
      <c r="E585" s="5">
        <v>0</v>
      </c>
      <c r="F585" s="5">
        <v>36</v>
      </c>
      <c r="G585" s="5">
        <v>36</v>
      </c>
    </row>
    <row r="586" spans="1:7">
      <c r="A586" s="5">
        <v>585</v>
      </c>
      <c r="B586" s="5">
        <v>0.18179999999999999</v>
      </c>
      <c r="C586" s="5">
        <v>0.93</v>
      </c>
      <c r="D586" s="5">
        <v>0.4627</v>
      </c>
      <c r="E586" s="5">
        <v>1</v>
      </c>
      <c r="F586" s="5">
        <v>42</v>
      </c>
      <c r="G586" s="5">
        <v>43</v>
      </c>
    </row>
    <row r="587" spans="1:7">
      <c r="A587" s="5">
        <v>586</v>
      </c>
      <c r="B587" s="5">
        <v>0.19700000000000001</v>
      </c>
      <c r="C587" s="5">
        <v>0.93</v>
      </c>
      <c r="D587" s="5">
        <v>0.32840000000000003</v>
      </c>
      <c r="E587" s="5">
        <v>1</v>
      </c>
      <c r="F587" s="5">
        <v>35</v>
      </c>
      <c r="G587" s="5">
        <v>36</v>
      </c>
    </row>
    <row r="588" spans="1:7">
      <c r="A588" s="5">
        <v>587</v>
      </c>
      <c r="B588" s="5">
        <v>0.18179999999999999</v>
      </c>
      <c r="C588" s="5">
        <v>0.93</v>
      </c>
      <c r="D588" s="5">
        <v>0.35820000000000002</v>
      </c>
      <c r="E588" s="5">
        <v>0</v>
      </c>
      <c r="F588" s="5">
        <v>26</v>
      </c>
      <c r="G588" s="5">
        <v>26</v>
      </c>
    </row>
    <row r="589" spans="1:7">
      <c r="A589" s="5">
        <v>588</v>
      </c>
      <c r="B589" s="5">
        <v>0.2273</v>
      </c>
      <c r="C589" s="5">
        <v>0.55000000000000004</v>
      </c>
      <c r="D589" s="5">
        <v>0.19400000000000001</v>
      </c>
      <c r="E589" s="5">
        <v>1</v>
      </c>
      <c r="F589" s="5">
        <v>23</v>
      </c>
      <c r="G589" s="5">
        <v>24</v>
      </c>
    </row>
    <row r="590" spans="1:7">
      <c r="A590" s="5">
        <v>589</v>
      </c>
      <c r="B590" s="5">
        <v>0.2424</v>
      </c>
      <c r="C590" s="5">
        <v>0.55000000000000004</v>
      </c>
      <c r="D590" s="5">
        <v>0.1045</v>
      </c>
      <c r="E590" s="5">
        <v>2</v>
      </c>
      <c r="F590" s="5">
        <v>82</v>
      </c>
      <c r="G590" s="5">
        <v>84</v>
      </c>
    </row>
    <row r="591" spans="1:7">
      <c r="A591" s="5">
        <v>590</v>
      </c>
      <c r="B591" s="5">
        <v>0.2273</v>
      </c>
      <c r="C591" s="5">
        <v>0.69</v>
      </c>
      <c r="D591" s="5">
        <v>8.9599999999999999E-2</v>
      </c>
      <c r="E591" s="5">
        <v>3</v>
      </c>
      <c r="F591" s="5">
        <v>101</v>
      </c>
      <c r="G591" s="5">
        <v>104</v>
      </c>
    </row>
    <row r="592" spans="1:7">
      <c r="A592" s="5">
        <v>591</v>
      </c>
      <c r="B592" s="5">
        <v>0.2273</v>
      </c>
      <c r="C592" s="5">
        <v>0.69</v>
      </c>
      <c r="D592" s="5">
        <v>8.9599999999999999E-2</v>
      </c>
      <c r="E592" s="5">
        <v>3</v>
      </c>
      <c r="F592" s="5">
        <v>76</v>
      </c>
      <c r="G592" s="5">
        <v>79</v>
      </c>
    </row>
    <row r="593" spans="1:7">
      <c r="A593" s="5">
        <v>592</v>
      </c>
      <c r="B593" s="5">
        <v>0.21210000000000001</v>
      </c>
      <c r="C593" s="5">
        <v>0.74</v>
      </c>
      <c r="D593" s="5">
        <v>8.9599999999999999E-2</v>
      </c>
      <c r="E593" s="5">
        <v>4</v>
      </c>
      <c r="F593" s="5">
        <v>55</v>
      </c>
      <c r="G593" s="5">
        <v>59</v>
      </c>
    </row>
    <row r="594" spans="1:7">
      <c r="A594" s="5">
        <v>593</v>
      </c>
      <c r="B594" s="5">
        <v>0.21210000000000001</v>
      </c>
      <c r="C594" s="5">
        <v>0.74</v>
      </c>
      <c r="D594" s="5">
        <v>8.9599999999999999E-2</v>
      </c>
      <c r="E594" s="5">
        <v>2</v>
      </c>
      <c r="F594" s="5">
        <v>36</v>
      </c>
      <c r="G594" s="5">
        <v>38</v>
      </c>
    </row>
    <row r="595" spans="1:7">
      <c r="A595" s="5">
        <v>594</v>
      </c>
      <c r="B595" s="5">
        <v>0.21210000000000001</v>
      </c>
      <c r="C595" s="5">
        <v>0.74</v>
      </c>
      <c r="D595" s="5">
        <v>8.9599999999999999E-2</v>
      </c>
      <c r="E595" s="5">
        <v>0</v>
      </c>
      <c r="F595" s="5">
        <v>27</v>
      </c>
      <c r="G595" s="5">
        <v>27</v>
      </c>
    </row>
    <row r="596" spans="1:7">
      <c r="A596" s="5">
        <v>595</v>
      </c>
      <c r="B596" s="5">
        <v>0.19700000000000001</v>
      </c>
      <c r="C596" s="5">
        <v>0.8</v>
      </c>
      <c r="D596" s="5">
        <v>0.16420000000000001</v>
      </c>
      <c r="E596" s="5">
        <v>0</v>
      </c>
      <c r="F596" s="5">
        <v>16</v>
      </c>
      <c r="G596" s="5">
        <v>16</v>
      </c>
    </row>
    <row r="597" spans="1:7">
      <c r="A597" s="5">
        <v>596</v>
      </c>
      <c r="B597" s="5">
        <v>0.21210000000000001</v>
      </c>
      <c r="C597" s="5">
        <v>0.75</v>
      </c>
      <c r="D597" s="5">
        <v>0.1343</v>
      </c>
      <c r="E597" s="5">
        <v>0</v>
      </c>
      <c r="F597" s="5">
        <v>9</v>
      </c>
      <c r="G597" s="5">
        <v>9</v>
      </c>
    </row>
    <row r="598" spans="1:7">
      <c r="A598" s="5">
        <v>597</v>
      </c>
      <c r="B598" s="5">
        <v>0.21210000000000001</v>
      </c>
      <c r="C598" s="5">
        <v>0.75</v>
      </c>
      <c r="D598" s="5">
        <v>0.1343</v>
      </c>
      <c r="E598" s="5">
        <v>1</v>
      </c>
      <c r="F598" s="5">
        <v>2</v>
      </c>
      <c r="G598" s="5">
        <v>3</v>
      </c>
    </row>
    <row r="599" spans="1:7">
      <c r="A599" s="5">
        <v>598</v>
      </c>
      <c r="B599" s="5">
        <v>0.21210000000000001</v>
      </c>
      <c r="C599" s="5">
        <v>0.75</v>
      </c>
      <c r="D599" s="5">
        <v>0.16420000000000001</v>
      </c>
      <c r="E599" s="5">
        <v>0</v>
      </c>
      <c r="F599" s="5">
        <v>2</v>
      </c>
      <c r="G599" s="5">
        <v>2</v>
      </c>
    </row>
    <row r="600" spans="1:7">
      <c r="A600" s="5">
        <v>599</v>
      </c>
      <c r="B600" s="5">
        <v>0.2273</v>
      </c>
      <c r="C600" s="5">
        <v>0.75</v>
      </c>
      <c r="D600" s="5">
        <v>0.1045</v>
      </c>
      <c r="E600" s="5">
        <v>1</v>
      </c>
      <c r="F600" s="5">
        <v>0</v>
      </c>
      <c r="G600" s="5">
        <v>1</v>
      </c>
    </row>
    <row r="601" spans="1:7">
      <c r="A601" s="5">
        <v>600</v>
      </c>
      <c r="B601" s="5">
        <v>0.21210000000000001</v>
      </c>
      <c r="C601" s="5">
        <v>0.8</v>
      </c>
      <c r="D601" s="5">
        <v>0.1045</v>
      </c>
      <c r="E601" s="5">
        <v>0</v>
      </c>
      <c r="F601" s="5">
        <v>4</v>
      </c>
      <c r="G601" s="5">
        <v>4</v>
      </c>
    </row>
    <row r="602" spans="1:7">
      <c r="A602" s="5">
        <v>601</v>
      </c>
      <c r="B602" s="5">
        <v>0.19700000000000001</v>
      </c>
      <c r="C602" s="5">
        <v>0.8</v>
      </c>
      <c r="D602" s="5">
        <v>0.1343</v>
      </c>
      <c r="E602" s="5">
        <v>0</v>
      </c>
      <c r="F602" s="5">
        <v>16</v>
      </c>
      <c r="G602" s="5">
        <v>16</v>
      </c>
    </row>
    <row r="603" spans="1:7">
      <c r="A603" s="5">
        <v>602</v>
      </c>
      <c r="B603" s="5">
        <v>0.19700000000000001</v>
      </c>
      <c r="C603" s="5">
        <v>0.86</v>
      </c>
      <c r="D603" s="5">
        <v>8.9599999999999999E-2</v>
      </c>
      <c r="E603" s="5">
        <v>2</v>
      </c>
      <c r="F603" s="5">
        <v>58</v>
      </c>
      <c r="G603" s="5">
        <v>60</v>
      </c>
    </row>
    <row r="604" spans="1:7">
      <c r="A604" s="5">
        <v>603</v>
      </c>
      <c r="B604" s="5">
        <v>0.19700000000000001</v>
      </c>
      <c r="C604" s="5">
        <v>0.86</v>
      </c>
      <c r="D604" s="5">
        <v>8.9599999999999999E-2</v>
      </c>
      <c r="E604" s="5">
        <v>2</v>
      </c>
      <c r="F604" s="5">
        <v>155</v>
      </c>
      <c r="G604" s="5">
        <v>157</v>
      </c>
    </row>
    <row r="605" spans="1:7">
      <c r="A605" s="5">
        <v>604</v>
      </c>
      <c r="B605" s="5">
        <v>0.21210000000000001</v>
      </c>
      <c r="C605" s="5">
        <v>0.86</v>
      </c>
      <c r="D605" s="5">
        <v>8.9599999999999999E-2</v>
      </c>
      <c r="E605" s="5">
        <v>6</v>
      </c>
      <c r="F605" s="5">
        <v>95</v>
      </c>
      <c r="G605" s="5">
        <v>101</v>
      </c>
    </row>
    <row r="606" spans="1:7">
      <c r="A606" s="5">
        <v>605</v>
      </c>
      <c r="B606" s="5">
        <v>0.21210000000000001</v>
      </c>
      <c r="C606" s="5">
        <v>0.86</v>
      </c>
      <c r="D606" s="5">
        <v>0.1045</v>
      </c>
      <c r="E606" s="5">
        <v>0</v>
      </c>
      <c r="F606" s="5">
        <v>49</v>
      </c>
      <c r="G606" s="5">
        <v>49</v>
      </c>
    </row>
    <row r="607" spans="1:7">
      <c r="A607" s="5">
        <v>606</v>
      </c>
      <c r="B607" s="5">
        <v>0.21210000000000001</v>
      </c>
      <c r="C607" s="5">
        <v>0.93</v>
      </c>
      <c r="D607" s="5">
        <v>0.1045</v>
      </c>
      <c r="E607" s="5">
        <v>0</v>
      </c>
      <c r="F607" s="5">
        <v>30</v>
      </c>
      <c r="G607" s="5">
        <v>30</v>
      </c>
    </row>
    <row r="608" spans="1:7">
      <c r="A608" s="5">
        <v>607</v>
      </c>
      <c r="B608" s="5">
        <v>0.21210000000000001</v>
      </c>
      <c r="C608" s="5">
        <v>0.93</v>
      </c>
      <c r="D608" s="5">
        <v>0.1045</v>
      </c>
      <c r="E608" s="5">
        <v>1</v>
      </c>
      <c r="F608" s="5">
        <v>28</v>
      </c>
      <c r="G608" s="5">
        <v>29</v>
      </c>
    </row>
    <row r="609" spans="1:8">
      <c r="A609" s="5">
        <v>608</v>
      </c>
      <c r="B609" s="5">
        <v>0.21210000000000001</v>
      </c>
      <c r="C609" s="5">
        <v>0.93</v>
      </c>
      <c r="D609" s="5">
        <v>0.1045</v>
      </c>
      <c r="E609" s="5">
        <v>0</v>
      </c>
      <c r="F609" s="5">
        <v>31</v>
      </c>
      <c r="G609" s="5">
        <v>31</v>
      </c>
    </row>
    <row r="610" spans="1:8">
      <c r="A610" s="5">
        <v>609</v>
      </c>
      <c r="B610" s="5">
        <v>0.2727</v>
      </c>
      <c r="C610" s="5">
        <v>0.8</v>
      </c>
      <c r="D610" s="5">
        <v>0</v>
      </c>
      <c r="E610" s="5">
        <v>2</v>
      </c>
      <c r="F610" s="5">
        <v>36</v>
      </c>
      <c r="G610" s="5">
        <v>38</v>
      </c>
    </row>
    <row r="611" spans="1:8">
      <c r="A611" s="5">
        <v>610</v>
      </c>
      <c r="B611" s="5">
        <v>0.2576</v>
      </c>
      <c r="C611" s="5">
        <v>0.86</v>
      </c>
      <c r="D611" s="5">
        <v>0</v>
      </c>
      <c r="E611" s="5">
        <v>1</v>
      </c>
      <c r="F611" s="5">
        <v>40</v>
      </c>
      <c r="G611" s="5">
        <v>41</v>
      </c>
    </row>
    <row r="612" spans="1:8">
      <c r="A612" s="1"/>
      <c r="B612" s="1"/>
      <c r="C612" s="1"/>
      <c r="D612" s="1"/>
      <c r="E612" s="1"/>
      <c r="F612" s="1"/>
      <c r="G612" s="1"/>
      <c r="H612" s="1"/>
    </row>
    <row r="613" spans="1:8">
      <c r="A613" s="1"/>
      <c r="B613" s="1"/>
      <c r="C613" s="1"/>
      <c r="D613" s="1"/>
      <c r="E613" s="1"/>
      <c r="F613" s="1"/>
      <c r="G613" s="1"/>
      <c r="H613" s="1"/>
    </row>
    <row r="614" spans="1:8">
      <c r="A614" s="1"/>
      <c r="B614" s="1"/>
      <c r="C614" s="1"/>
      <c r="D614" s="1"/>
      <c r="E614" s="1"/>
      <c r="F614" s="1"/>
      <c r="G614" s="1"/>
      <c r="H614" s="1"/>
    </row>
    <row r="615" spans="1:8">
      <c r="A615" s="1"/>
      <c r="B615" s="1"/>
      <c r="C615" s="1"/>
      <c r="D615" s="1"/>
      <c r="E615" s="1"/>
      <c r="F615" s="1"/>
      <c r="G615" s="1"/>
      <c r="H615" s="1"/>
    </row>
    <row r="616" spans="1:8">
      <c r="A616" s="1"/>
      <c r="B616" s="1"/>
      <c r="C616" s="1"/>
      <c r="D616" s="1"/>
      <c r="E616" s="1"/>
      <c r="F616" s="1"/>
      <c r="G616" s="1"/>
      <c r="H616" s="1"/>
    </row>
    <row r="617" spans="1:8">
      <c r="A617" s="1"/>
      <c r="B617" s="1"/>
      <c r="C617" s="1"/>
      <c r="D617" s="1"/>
      <c r="E617" s="1"/>
      <c r="F617" s="1"/>
      <c r="G617" s="1"/>
      <c r="H617" s="1"/>
    </row>
    <row r="618" spans="1:8">
      <c r="A618" s="1"/>
      <c r="B618" s="1"/>
      <c r="C618" s="1"/>
      <c r="D618" s="1"/>
      <c r="E618" s="1"/>
      <c r="F618" s="1"/>
      <c r="G618" s="1"/>
      <c r="H618" s="1"/>
    </row>
    <row r="619" spans="1:8">
      <c r="A619" s="1"/>
      <c r="B619" s="1"/>
      <c r="C619" s="1"/>
      <c r="D619" s="1"/>
      <c r="E619" s="1"/>
      <c r="F619" s="1"/>
      <c r="G619" s="1"/>
      <c r="H619" s="1"/>
    </row>
    <row r="620" spans="1:8">
      <c r="A620" s="1"/>
      <c r="B620" s="1"/>
      <c r="C620" s="1"/>
      <c r="D620" s="1"/>
      <c r="E620" s="1"/>
      <c r="F620" s="1"/>
      <c r="G620" s="1"/>
      <c r="H620" s="1"/>
    </row>
    <row r="621" spans="1:8">
      <c r="A621" s="1"/>
      <c r="B621" s="1"/>
      <c r="C621" s="1"/>
      <c r="D621" s="1"/>
      <c r="E621" s="1"/>
      <c r="F621" s="1"/>
      <c r="G621" s="1"/>
      <c r="H621" s="1"/>
    </row>
    <row r="622" spans="1:8">
      <c r="A622" s="1"/>
      <c r="B622" s="1"/>
      <c r="C622" s="1"/>
      <c r="D622" s="1"/>
      <c r="E622" s="1"/>
      <c r="F622" s="1"/>
      <c r="G622" s="1"/>
      <c r="H622" s="1"/>
    </row>
    <row r="623" spans="1:8">
      <c r="A623" s="1"/>
      <c r="B623" s="1"/>
      <c r="C623" s="1"/>
      <c r="D623" s="1"/>
      <c r="E623" s="1"/>
      <c r="F623" s="1"/>
      <c r="G623" s="1"/>
      <c r="H623" s="1"/>
    </row>
    <row r="624" spans="1:8">
      <c r="A624" s="1"/>
      <c r="B624" s="1"/>
      <c r="C624" s="1"/>
      <c r="D624" s="1"/>
      <c r="E624" s="1"/>
      <c r="F624" s="1"/>
      <c r="G624" s="1"/>
      <c r="H624" s="1"/>
    </row>
    <row r="625" spans="1:8">
      <c r="A625" s="1"/>
      <c r="B625" s="1"/>
      <c r="C625" s="1"/>
      <c r="D625" s="1"/>
      <c r="E625" s="1"/>
      <c r="F625" s="1"/>
      <c r="G625" s="1"/>
      <c r="H625" s="1"/>
    </row>
    <row r="626" spans="1:8">
      <c r="A626" s="1"/>
      <c r="B626" s="1"/>
      <c r="C626" s="1"/>
      <c r="D626" s="1"/>
      <c r="E626" s="1"/>
      <c r="F626" s="1"/>
      <c r="G626" s="1"/>
      <c r="H626" s="1"/>
    </row>
    <row r="627" spans="1:8">
      <c r="A627" s="1"/>
      <c r="B627" s="1"/>
      <c r="C627" s="1"/>
      <c r="D627" s="1"/>
      <c r="E627" s="1"/>
      <c r="F627" s="1"/>
      <c r="G627" s="1"/>
      <c r="H627" s="1"/>
    </row>
    <row r="628" spans="1:8">
      <c r="A628" s="1"/>
      <c r="B628" s="1"/>
      <c r="C628" s="1"/>
      <c r="D628" s="1"/>
      <c r="E628" s="1"/>
      <c r="F628" s="1"/>
      <c r="G628" s="1"/>
      <c r="H628" s="1"/>
    </row>
    <row r="629" spans="1:8">
      <c r="A629" s="1"/>
      <c r="B629" s="1"/>
      <c r="C629" s="1"/>
      <c r="D629" s="1"/>
      <c r="E629" s="1"/>
      <c r="F629" s="1"/>
      <c r="G629" s="1"/>
      <c r="H629" s="1"/>
    </row>
    <row r="630" spans="1:8">
      <c r="A630" s="1"/>
      <c r="B630" s="1"/>
      <c r="C630" s="1"/>
      <c r="D630" s="1"/>
      <c r="E630" s="1"/>
      <c r="F630" s="1"/>
      <c r="G630" s="1"/>
      <c r="H630" s="1"/>
    </row>
    <row r="631" spans="1:8">
      <c r="A631" s="1"/>
      <c r="B631" s="1"/>
      <c r="C631" s="1"/>
      <c r="D631" s="1"/>
      <c r="E631" s="1"/>
      <c r="F631" s="1"/>
      <c r="G631" s="1"/>
      <c r="H631" s="1"/>
    </row>
    <row r="632" spans="1:8">
      <c r="A632" s="1"/>
      <c r="B632" s="1"/>
      <c r="C632" s="1"/>
      <c r="D632" s="1"/>
      <c r="E632" s="1"/>
      <c r="F632" s="1"/>
      <c r="G632" s="1"/>
      <c r="H632" s="1"/>
    </row>
    <row r="633" spans="1:8">
      <c r="A633" s="1"/>
      <c r="B633" s="1"/>
      <c r="C633" s="1"/>
      <c r="D633" s="1"/>
      <c r="E633" s="1"/>
      <c r="F633" s="1"/>
      <c r="G633" s="1"/>
      <c r="H633" s="1"/>
    </row>
    <row r="634" spans="1:8">
      <c r="A634" s="1"/>
      <c r="B634" s="1"/>
      <c r="C634" s="1"/>
      <c r="D634" s="1"/>
      <c r="E634" s="1"/>
      <c r="F634" s="1"/>
      <c r="G634" s="1"/>
      <c r="H634" s="1"/>
    </row>
    <row r="635" spans="1:8">
      <c r="A635" s="1"/>
      <c r="B635" s="1"/>
      <c r="C635" s="1"/>
      <c r="D635" s="1"/>
      <c r="E635" s="1"/>
      <c r="F635" s="1"/>
      <c r="G635" s="1"/>
      <c r="H635" s="1"/>
    </row>
    <row r="636" spans="1:8">
      <c r="A636" s="1"/>
      <c r="B636" s="1"/>
      <c r="C636" s="1"/>
      <c r="D636" s="1"/>
      <c r="E636" s="1"/>
      <c r="F636" s="1"/>
      <c r="G636" s="1"/>
      <c r="H636" s="1"/>
    </row>
    <row r="637" spans="1:8">
      <c r="A637" s="1"/>
      <c r="B637" s="1"/>
      <c r="C637" s="1"/>
      <c r="D637" s="1"/>
      <c r="E637" s="1"/>
      <c r="F637" s="1"/>
      <c r="G637" s="1"/>
      <c r="H637" s="1"/>
    </row>
    <row r="638" spans="1:8">
      <c r="A638" s="1"/>
      <c r="B638" s="1"/>
      <c r="C638" s="1"/>
      <c r="D638" s="1"/>
      <c r="E638" s="1"/>
      <c r="F638" s="1"/>
      <c r="G638" s="1"/>
      <c r="H638" s="1"/>
    </row>
    <row r="639" spans="1:8">
      <c r="A639" s="1"/>
      <c r="B639" s="1"/>
      <c r="C639" s="1"/>
      <c r="D639" s="1"/>
      <c r="E639" s="1"/>
      <c r="F639" s="1"/>
      <c r="G639" s="1"/>
      <c r="H639" s="1"/>
    </row>
    <row r="640" spans="1:8">
      <c r="A640" s="1"/>
      <c r="B640" s="1"/>
      <c r="C640" s="1"/>
      <c r="D640" s="1"/>
      <c r="E640" s="1"/>
      <c r="F640" s="1"/>
      <c r="G640" s="1"/>
      <c r="H640" s="1"/>
    </row>
    <row r="641" spans="1:8">
      <c r="A641" s="1"/>
      <c r="B641" s="1"/>
      <c r="C641" s="1"/>
      <c r="D641" s="1"/>
      <c r="E641" s="1"/>
      <c r="F641" s="1"/>
      <c r="G641" s="1"/>
      <c r="H641" s="1"/>
    </row>
    <row r="642" spans="1:8">
      <c r="A642" s="1"/>
      <c r="B642" s="1"/>
      <c r="C642" s="1"/>
      <c r="D642" s="1"/>
      <c r="E642" s="1"/>
      <c r="F642" s="1"/>
      <c r="G642" s="1"/>
      <c r="H642" s="1"/>
    </row>
    <row r="643" spans="1:8">
      <c r="A643" s="1"/>
      <c r="B643" s="1"/>
      <c r="C643" s="1"/>
      <c r="D643" s="1"/>
      <c r="E643" s="1"/>
      <c r="F643" s="1"/>
      <c r="G643" s="1"/>
      <c r="H643" s="1"/>
    </row>
    <row r="644" spans="1:8">
      <c r="A644" s="1"/>
      <c r="B644" s="1"/>
      <c r="C644" s="1"/>
      <c r="D644" s="1"/>
      <c r="E644" s="1"/>
      <c r="F644" s="1"/>
      <c r="G644" s="1"/>
      <c r="H644" s="1"/>
    </row>
    <row r="645" spans="1:8">
      <c r="A645" s="1"/>
      <c r="B645" s="1"/>
      <c r="C645" s="1"/>
      <c r="D645" s="1"/>
      <c r="E645" s="1"/>
      <c r="F645" s="1"/>
      <c r="G645" s="1"/>
      <c r="H645" s="1"/>
    </row>
    <row r="646" spans="1:8">
      <c r="A646" s="1"/>
      <c r="B646" s="1"/>
      <c r="C646" s="1"/>
      <c r="D646" s="1"/>
      <c r="E646" s="1"/>
      <c r="F646" s="1"/>
      <c r="G646" s="1"/>
      <c r="H646" s="1"/>
    </row>
    <row r="647" spans="1:8">
      <c r="A647" s="1"/>
      <c r="B647" s="1"/>
      <c r="C647" s="1"/>
      <c r="D647" s="1"/>
      <c r="E647" s="1"/>
      <c r="F647" s="1"/>
      <c r="G647" s="1"/>
      <c r="H647" s="1"/>
    </row>
    <row r="648" spans="1:8">
      <c r="A648" s="1"/>
      <c r="B648" s="1"/>
      <c r="C648" s="1"/>
      <c r="D648" s="1"/>
      <c r="E648" s="1"/>
      <c r="F648" s="1"/>
      <c r="G648" s="1"/>
      <c r="H648" s="1"/>
    </row>
    <row r="649" spans="1:8">
      <c r="A649" s="1"/>
      <c r="B649" s="1"/>
      <c r="C649" s="1"/>
      <c r="D649" s="1"/>
      <c r="E649" s="1"/>
      <c r="F649" s="1"/>
      <c r="G649" s="1"/>
      <c r="H649" s="1"/>
    </row>
    <row r="650" spans="1:8">
      <c r="A650" s="1"/>
      <c r="B650" s="1"/>
      <c r="C650" s="1"/>
      <c r="D650" s="1"/>
      <c r="E650" s="1"/>
      <c r="F650" s="1"/>
      <c r="G650" s="1"/>
      <c r="H650" s="1"/>
    </row>
    <row r="651" spans="1:8">
      <c r="A651" s="1"/>
      <c r="B651" s="1"/>
      <c r="C651" s="1"/>
      <c r="D651" s="1"/>
      <c r="E651" s="1"/>
      <c r="F651" s="1"/>
      <c r="G651" s="1"/>
      <c r="H651" s="1"/>
    </row>
    <row r="652" spans="1:8">
      <c r="A652" s="1"/>
      <c r="B652" s="1"/>
      <c r="C652" s="1"/>
      <c r="D652" s="1"/>
      <c r="E652" s="1"/>
      <c r="F652" s="1"/>
      <c r="G652" s="1"/>
      <c r="H652" s="1"/>
    </row>
    <row r="653" spans="1:8">
      <c r="A653" s="1"/>
      <c r="B653" s="1"/>
      <c r="C653" s="1"/>
      <c r="D653" s="1"/>
      <c r="E653" s="1"/>
      <c r="F653" s="1"/>
      <c r="G653" s="1"/>
      <c r="H653" s="1"/>
    </row>
    <row r="654" spans="1:8">
      <c r="A654" s="1"/>
      <c r="B654" s="1"/>
      <c r="C654" s="1"/>
      <c r="D654" s="1"/>
      <c r="E654" s="1"/>
      <c r="F654" s="1"/>
      <c r="G654" s="1"/>
      <c r="H654" s="1"/>
    </row>
    <row r="655" spans="1:8">
      <c r="A655" s="1"/>
      <c r="B655" s="1"/>
      <c r="C655" s="1"/>
      <c r="D655" s="1"/>
      <c r="E655" s="1"/>
      <c r="F655" s="1"/>
      <c r="G655" s="1"/>
      <c r="H655" s="1"/>
    </row>
    <row r="656" spans="1:8">
      <c r="A656" s="1"/>
      <c r="B656" s="1"/>
      <c r="C656" s="1"/>
      <c r="D656" s="1"/>
      <c r="E656" s="1"/>
      <c r="F656" s="1"/>
      <c r="G656" s="1"/>
      <c r="H656" s="1"/>
    </row>
    <row r="657" spans="1:8">
      <c r="A657" s="1"/>
      <c r="B657" s="1"/>
      <c r="C657" s="1"/>
      <c r="D657" s="1"/>
      <c r="E657" s="1"/>
      <c r="F657" s="1"/>
      <c r="G657" s="1"/>
      <c r="H657" s="1"/>
    </row>
    <row r="658" spans="1:8">
      <c r="A658" s="1"/>
      <c r="B658" s="1"/>
      <c r="C658" s="1"/>
      <c r="D658" s="1"/>
      <c r="E658" s="1"/>
      <c r="F658" s="1"/>
      <c r="G658" s="1"/>
      <c r="H658" s="1"/>
    </row>
    <row r="659" spans="1:8">
      <c r="A659" s="1"/>
      <c r="B659" s="1"/>
      <c r="C659" s="1"/>
      <c r="D659" s="1"/>
      <c r="E659" s="1"/>
      <c r="F659" s="1"/>
      <c r="G659" s="1"/>
      <c r="H659" s="1"/>
    </row>
    <row r="660" spans="1:8">
      <c r="A660" s="1"/>
      <c r="B660" s="1"/>
      <c r="C660" s="1"/>
      <c r="D660" s="1"/>
      <c r="E660" s="1"/>
      <c r="F660" s="1"/>
      <c r="G660" s="1"/>
      <c r="H660" s="1"/>
    </row>
    <row r="661" spans="1:8">
      <c r="A661" s="1"/>
      <c r="B661" s="1"/>
      <c r="C661" s="1"/>
      <c r="D661" s="1"/>
      <c r="E661" s="1"/>
      <c r="F661" s="1"/>
      <c r="G661" s="1"/>
      <c r="H661" s="1"/>
    </row>
    <row r="662" spans="1:8">
      <c r="A662" s="1"/>
      <c r="B662" s="1"/>
      <c r="C662" s="1"/>
      <c r="D662" s="1"/>
      <c r="E662" s="1"/>
      <c r="F662" s="1"/>
      <c r="G662" s="1"/>
      <c r="H662" s="1"/>
    </row>
    <row r="663" spans="1:8">
      <c r="A663" s="1"/>
      <c r="B663" s="1"/>
      <c r="C663" s="1"/>
      <c r="D663" s="1"/>
      <c r="E663" s="1"/>
      <c r="F663" s="1"/>
      <c r="G663" s="1"/>
      <c r="H663" s="1"/>
    </row>
    <row r="664" spans="1:8">
      <c r="A664" s="1"/>
      <c r="B664" s="1"/>
      <c r="C664" s="1"/>
      <c r="D664" s="1"/>
      <c r="E664" s="1"/>
      <c r="F664" s="1"/>
      <c r="G664" s="1"/>
      <c r="H664" s="1"/>
    </row>
    <row r="665" spans="1:8">
      <c r="A665" s="1"/>
      <c r="B665" s="1"/>
      <c r="C665" s="1"/>
      <c r="D665" s="1"/>
      <c r="E665" s="1"/>
      <c r="F665" s="1"/>
      <c r="G665" s="1"/>
      <c r="H665" s="1"/>
    </row>
    <row r="666" spans="1:8">
      <c r="A666" s="1"/>
      <c r="B666" s="1"/>
      <c r="C666" s="1"/>
      <c r="D666" s="1"/>
      <c r="E666" s="1"/>
      <c r="F666" s="1"/>
      <c r="G666" s="1"/>
      <c r="H666" s="1"/>
    </row>
    <row r="667" spans="1:8">
      <c r="A667" s="1"/>
      <c r="B667" s="1"/>
      <c r="C667" s="1"/>
      <c r="D667" s="1"/>
      <c r="E667" s="1"/>
      <c r="F667" s="1"/>
      <c r="G667" s="1"/>
      <c r="H667" s="1"/>
    </row>
    <row r="668" spans="1:8">
      <c r="A668" s="1"/>
      <c r="B668" s="1"/>
      <c r="C668" s="1"/>
      <c r="D668" s="1"/>
      <c r="E668" s="1"/>
      <c r="F668" s="1"/>
      <c r="G668" s="1"/>
      <c r="H668" s="1"/>
    </row>
    <row r="669" spans="1:8">
      <c r="A669" s="1"/>
      <c r="B669" s="1"/>
      <c r="C669" s="1"/>
      <c r="D669" s="1"/>
      <c r="E669" s="1"/>
      <c r="F669" s="1"/>
      <c r="G669" s="1"/>
      <c r="H669" s="1"/>
    </row>
    <row r="670" spans="1:8">
      <c r="A670" s="1"/>
      <c r="B670" s="1"/>
      <c r="C670" s="1"/>
      <c r="D670" s="1"/>
      <c r="E670" s="1"/>
      <c r="F670" s="1"/>
      <c r="G670" s="1"/>
      <c r="H670" s="1"/>
    </row>
    <row r="671" spans="1:8">
      <c r="A671" s="1"/>
      <c r="B671" s="1"/>
      <c r="C671" s="1"/>
      <c r="D671" s="1"/>
      <c r="E671" s="1"/>
      <c r="F671" s="1"/>
      <c r="G671" s="1"/>
      <c r="H671" s="1"/>
    </row>
    <row r="672" spans="1:8">
      <c r="A672" s="1"/>
      <c r="B672" s="1"/>
      <c r="C672" s="1"/>
      <c r="D672" s="1"/>
      <c r="E672" s="1"/>
      <c r="F672" s="1"/>
      <c r="G672" s="1"/>
      <c r="H672" s="1"/>
    </row>
    <row r="673" spans="1:8">
      <c r="A673" s="1"/>
      <c r="B673" s="1"/>
      <c r="C673" s="1"/>
      <c r="D673" s="1"/>
      <c r="E673" s="1"/>
      <c r="F673" s="1"/>
      <c r="G673" s="1"/>
      <c r="H673" s="1"/>
    </row>
    <row r="674" spans="1:8">
      <c r="A674" s="1"/>
      <c r="B674" s="1"/>
      <c r="C674" s="1"/>
      <c r="D674" s="1"/>
      <c r="E674" s="1"/>
      <c r="F674" s="1"/>
      <c r="G674" s="1"/>
      <c r="H674" s="1"/>
    </row>
    <row r="675" spans="1:8">
      <c r="A675" s="1"/>
      <c r="B675" s="1"/>
      <c r="C675" s="1"/>
      <c r="D675" s="1"/>
      <c r="E675" s="1"/>
      <c r="F675" s="1"/>
      <c r="G675" s="1"/>
      <c r="H675" s="1"/>
    </row>
    <row r="676" spans="1:8">
      <c r="A676" s="1"/>
      <c r="B676" s="1"/>
      <c r="C676" s="1"/>
      <c r="D676" s="1"/>
      <c r="E676" s="1"/>
      <c r="F676" s="1"/>
      <c r="G676" s="1"/>
      <c r="H676" s="1"/>
    </row>
    <row r="677" spans="1:8">
      <c r="A677" s="1"/>
      <c r="B677" s="1"/>
      <c r="C677" s="1"/>
      <c r="D677" s="1"/>
      <c r="E677" s="1"/>
      <c r="F677" s="1"/>
      <c r="G677" s="1"/>
      <c r="H677" s="1"/>
    </row>
    <row r="678" spans="1:8">
      <c r="A678" s="1"/>
      <c r="B678" s="1"/>
      <c r="C678" s="1"/>
      <c r="D678" s="1"/>
      <c r="E678" s="1"/>
      <c r="F678" s="1"/>
      <c r="G678" s="1"/>
      <c r="H678" s="1"/>
    </row>
    <row r="679" spans="1:8">
      <c r="A679" s="1"/>
      <c r="B679" s="1"/>
      <c r="C679" s="1"/>
      <c r="D679" s="1"/>
      <c r="E679" s="1"/>
      <c r="F679" s="1"/>
      <c r="G679" s="1"/>
      <c r="H679" s="1"/>
    </row>
    <row r="680" spans="1:8">
      <c r="A680" s="1"/>
      <c r="B680" s="1"/>
      <c r="C680" s="1"/>
      <c r="D680" s="1"/>
      <c r="E680" s="1"/>
      <c r="F680" s="1"/>
      <c r="G680" s="1"/>
      <c r="H680" s="1"/>
    </row>
    <row r="681" spans="1:8">
      <c r="A681" s="1"/>
      <c r="B681" s="1"/>
      <c r="C681" s="1"/>
      <c r="D681" s="1"/>
      <c r="E681" s="1"/>
      <c r="F681" s="1"/>
      <c r="G681" s="1"/>
      <c r="H681" s="1"/>
    </row>
    <row r="682" spans="1:8">
      <c r="A682" s="1"/>
      <c r="B682" s="1"/>
      <c r="C682" s="1"/>
      <c r="D682" s="1"/>
      <c r="E682" s="1"/>
      <c r="F682" s="1"/>
      <c r="G682" s="1"/>
      <c r="H682" s="1"/>
    </row>
    <row r="683" spans="1:8">
      <c r="A683" s="1"/>
      <c r="B683" s="1"/>
      <c r="C683" s="1"/>
      <c r="D683" s="1"/>
      <c r="E683" s="1"/>
      <c r="F683" s="1"/>
      <c r="G683" s="1"/>
      <c r="H683" s="1"/>
    </row>
    <row r="684" spans="1:8">
      <c r="A684" s="1"/>
      <c r="B684" s="1"/>
      <c r="C684" s="1"/>
      <c r="D684" s="1"/>
      <c r="E684" s="1"/>
      <c r="F684" s="1"/>
      <c r="G684" s="1"/>
      <c r="H684" s="1"/>
    </row>
    <row r="685" spans="1:8">
      <c r="A685" s="1"/>
      <c r="B685" s="1"/>
      <c r="C685" s="1"/>
      <c r="D685" s="1"/>
      <c r="E685" s="1"/>
      <c r="F685" s="1"/>
      <c r="G685" s="1"/>
      <c r="H685" s="1"/>
    </row>
    <row r="686" spans="1:8">
      <c r="A686" s="1"/>
      <c r="B686" s="1"/>
      <c r="C686" s="1"/>
      <c r="D686" s="1"/>
      <c r="E686" s="1"/>
      <c r="F686" s="1"/>
      <c r="G686" s="1"/>
      <c r="H686" s="1"/>
    </row>
    <row r="687" spans="1:8">
      <c r="A687" s="1"/>
      <c r="B687" s="1"/>
      <c r="C687" s="1"/>
      <c r="D687" s="1"/>
      <c r="E687" s="1"/>
      <c r="F687" s="1"/>
      <c r="G687" s="1"/>
      <c r="H687" s="1"/>
    </row>
    <row r="688" spans="1:8">
      <c r="A688" s="1"/>
      <c r="B688" s="1"/>
      <c r="C688" s="1"/>
      <c r="D688" s="1"/>
      <c r="E688" s="1"/>
      <c r="F688" s="1"/>
      <c r="G688" s="1"/>
      <c r="H688" s="1"/>
    </row>
    <row r="689" spans="1:8">
      <c r="A689" s="1"/>
      <c r="B689" s="1"/>
      <c r="C689" s="1"/>
      <c r="D689" s="1"/>
      <c r="E689" s="1"/>
      <c r="F689" s="1"/>
      <c r="G689" s="1"/>
      <c r="H689" s="1"/>
    </row>
    <row r="690" spans="1:8">
      <c r="A690" s="1"/>
      <c r="B690" s="1"/>
      <c r="C690" s="1"/>
      <c r="D690" s="1"/>
      <c r="E690" s="1"/>
      <c r="F690" s="1"/>
      <c r="G690" s="1"/>
      <c r="H690" s="1"/>
    </row>
    <row r="691" spans="1:8">
      <c r="A691" s="1"/>
      <c r="B691" s="1"/>
      <c r="C691" s="1"/>
      <c r="D691" s="1"/>
      <c r="E691" s="1"/>
      <c r="F691" s="1"/>
      <c r="G691" s="1"/>
      <c r="H691" s="1"/>
    </row>
    <row r="692" spans="1:8">
      <c r="A692" s="1"/>
      <c r="B692" s="1"/>
      <c r="C692" s="1"/>
      <c r="D692" s="1"/>
      <c r="E692" s="1"/>
      <c r="F692" s="1"/>
      <c r="G692" s="1"/>
      <c r="H692" s="1"/>
    </row>
    <row r="693" spans="1:8">
      <c r="A693" s="1"/>
      <c r="B693" s="1"/>
      <c r="C693" s="1"/>
      <c r="D693" s="1"/>
      <c r="E693" s="1"/>
      <c r="F693" s="1"/>
      <c r="G693" s="1"/>
      <c r="H693" s="1"/>
    </row>
    <row r="694" spans="1:8">
      <c r="A694" s="1"/>
      <c r="B694" s="1"/>
      <c r="C694" s="1"/>
      <c r="D694" s="1"/>
      <c r="E694" s="1"/>
      <c r="F694" s="1"/>
      <c r="G694" s="1"/>
      <c r="H694" s="1"/>
    </row>
    <row r="695" spans="1:8">
      <c r="A695" s="1"/>
      <c r="B695" s="1"/>
      <c r="C695" s="1"/>
      <c r="D695" s="1"/>
      <c r="E695" s="1"/>
      <c r="F695" s="1"/>
      <c r="G695" s="1"/>
      <c r="H695" s="1"/>
    </row>
    <row r="696" spans="1:8">
      <c r="A696" s="1"/>
      <c r="B696" s="1"/>
      <c r="C696" s="1"/>
      <c r="D696" s="1"/>
      <c r="E696" s="1"/>
      <c r="F696" s="1"/>
      <c r="G696" s="1"/>
      <c r="H696" s="1"/>
    </row>
    <row r="697" spans="1:8">
      <c r="A697" s="1"/>
      <c r="B697" s="1"/>
      <c r="C697" s="1"/>
      <c r="D697" s="1"/>
      <c r="E697" s="1"/>
      <c r="F697" s="1"/>
      <c r="G697" s="1"/>
      <c r="H697" s="1"/>
    </row>
    <row r="698" spans="1:8">
      <c r="A698" s="1"/>
      <c r="B698" s="1"/>
      <c r="C698" s="1"/>
      <c r="D698" s="1"/>
      <c r="E698" s="1"/>
      <c r="F698" s="1"/>
      <c r="G698" s="1"/>
      <c r="H698" s="1"/>
    </row>
    <row r="699" spans="1:8">
      <c r="A699" s="1"/>
      <c r="B699" s="1"/>
      <c r="C699" s="1"/>
      <c r="D699" s="1"/>
      <c r="E699" s="1"/>
      <c r="F699" s="1"/>
      <c r="G699" s="1"/>
      <c r="H699" s="1"/>
    </row>
    <row r="700" spans="1:8">
      <c r="A700" s="1"/>
      <c r="B700" s="1"/>
      <c r="C700" s="1"/>
      <c r="D700" s="1"/>
      <c r="E700" s="1"/>
      <c r="F700" s="1"/>
      <c r="G700" s="1"/>
      <c r="H700" s="1"/>
    </row>
    <row r="701" spans="1:8">
      <c r="A701" s="1"/>
      <c r="B701" s="1"/>
      <c r="C701" s="1"/>
      <c r="D701" s="1"/>
      <c r="E701" s="1"/>
      <c r="F701" s="1"/>
      <c r="G701" s="1"/>
      <c r="H701" s="1"/>
    </row>
    <row r="702" spans="1:8">
      <c r="A702" s="1"/>
      <c r="B702" s="1"/>
      <c r="C702" s="1"/>
      <c r="D702" s="1"/>
      <c r="E702" s="1"/>
      <c r="F702" s="1"/>
      <c r="G702" s="1"/>
      <c r="H702" s="1"/>
    </row>
    <row r="703" spans="1:8">
      <c r="A703" s="1"/>
      <c r="B703" s="1"/>
      <c r="C703" s="1"/>
      <c r="D703" s="1"/>
      <c r="E703" s="1"/>
      <c r="F703" s="1"/>
      <c r="G703" s="1"/>
      <c r="H703" s="1"/>
    </row>
    <row r="704" spans="1:8">
      <c r="A704" s="1"/>
      <c r="B704" s="1"/>
      <c r="C704" s="1"/>
      <c r="D704" s="1"/>
      <c r="E704" s="1"/>
      <c r="F704" s="1"/>
      <c r="G704" s="1"/>
      <c r="H704" s="1"/>
    </row>
    <row r="705" spans="1:8">
      <c r="A705" s="1"/>
      <c r="B705" s="1"/>
      <c r="C705" s="1"/>
      <c r="D705" s="1"/>
      <c r="E705" s="1"/>
      <c r="F705" s="1"/>
      <c r="G705" s="1"/>
      <c r="H705" s="1"/>
    </row>
    <row r="706" spans="1:8">
      <c r="A706" s="1"/>
      <c r="B706" s="1"/>
      <c r="C706" s="1"/>
      <c r="D706" s="1"/>
      <c r="E706" s="1"/>
      <c r="F706" s="1"/>
      <c r="G706" s="1"/>
      <c r="H706" s="1"/>
    </row>
    <row r="707" spans="1:8">
      <c r="A707" s="1"/>
      <c r="B707" s="1"/>
      <c r="C707" s="1"/>
      <c r="D707" s="1"/>
      <c r="E707" s="1"/>
      <c r="F707" s="1"/>
      <c r="G707" s="1"/>
      <c r="H707" s="1"/>
    </row>
    <row r="708" spans="1:8">
      <c r="A708" s="1"/>
      <c r="B708" s="1"/>
      <c r="C708" s="1"/>
      <c r="D708" s="1"/>
      <c r="E708" s="1"/>
      <c r="F708" s="1"/>
      <c r="G708" s="1"/>
      <c r="H708" s="1"/>
    </row>
    <row r="709" spans="1:8">
      <c r="A709" s="1"/>
      <c r="B709" s="1"/>
      <c r="C709" s="1"/>
      <c r="D709" s="1"/>
      <c r="E709" s="1"/>
      <c r="F709" s="1"/>
      <c r="G709" s="1"/>
      <c r="H709" s="1"/>
    </row>
    <row r="710" spans="1:8">
      <c r="A710" s="1"/>
      <c r="B710" s="1"/>
      <c r="C710" s="1"/>
      <c r="D710" s="1"/>
      <c r="E710" s="1"/>
      <c r="F710" s="1"/>
      <c r="G710" s="1"/>
      <c r="H710" s="1"/>
    </row>
    <row r="711" spans="1:8">
      <c r="A711" s="1"/>
      <c r="B711" s="1"/>
      <c r="C711" s="1"/>
      <c r="D711" s="1"/>
      <c r="E711" s="1"/>
      <c r="F711" s="1"/>
      <c r="G711" s="1"/>
      <c r="H711" s="1"/>
    </row>
    <row r="712" spans="1:8">
      <c r="A712" s="1"/>
      <c r="B712" s="1"/>
      <c r="C712" s="1"/>
      <c r="D712" s="1"/>
      <c r="E712" s="1"/>
      <c r="F712" s="1"/>
      <c r="G712" s="1"/>
      <c r="H712" s="1"/>
    </row>
    <row r="713" spans="1:8">
      <c r="A713" s="1"/>
      <c r="B713" s="1"/>
      <c r="C713" s="1"/>
      <c r="D713" s="1"/>
      <c r="E713" s="1"/>
      <c r="F713" s="1"/>
      <c r="G713" s="1"/>
      <c r="H713" s="1"/>
    </row>
    <row r="714" spans="1:8">
      <c r="A714" s="1"/>
      <c r="B714" s="1"/>
      <c r="C714" s="1"/>
      <c r="D714" s="1"/>
      <c r="E714" s="1"/>
      <c r="F714" s="1"/>
      <c r="G714" s="1"/>
      <c r="H714" s="1"/>
    </row>
    <row r="715" spans="1:8">
      <c r="A715" s="1"/>
      <c r="B715" s="1"/>
      <c r="C715" s="1"/>
      <c r="D715" s="1"/>
      <c r="E715" s="1"/>
      <c r="F715" s="1"/>
      <c r="G715" s="1"/>
      <c r="H715" s="1"/>
    </row>
    <row r="716" spans="1:8">
      <c r="A716" s="1"/>
      <c r="B716" s="1"/>
      <c r="C716" s="1"/>
      <c r="D716" s="1"/>
      <c r="E716" s="1"/>
      <c r="F716" s="1"/>
      <c r="G716" s="1"/>
      <c r="H716" s="1"/>
    </row>
    <row r="717" spans="1:8">
      <c r="A717" s="1"/>
      <c r="B717" s="1"/>
      <c r="C717" s="1"/>
      <c r="D717" s="1"/>
      <c r="E717" s="1"/>
      <c r="F717" s="1"/>
      <c r="G717" s="1"/>
      <c r="H717" s="1"/>
    </row>
    <row r="718" spans="1:8">
      <c r="A718" s="1"/>
      <c r="B718" s="1"/>
      <c r="C718" s="1"/>
      <c r="D718" s="1"/>
      <c r="E718" s="1"/>
      <c r="F718" s="1"/>
      <c r="G718" s="1"/>
      <c r="H718" s="1"/>
    </row>
    <row r="719" spans="1:8">
      <c r="A719" s="1"/>
      <c r="B719" s="1"/>
      <c r="C719" s="1"/>
      <c r="D719" s="1"/>
      <c r="E719" s="1"/>
      <c r="F719" s="1"/>
      <c r="G719" s="1"/>
      <c r="H719" s="1"/>
    </row>
    <row r="720" spans="1:8">
      <c r="A720" s="1"/>
      <c r="B720" s="1"/>
      <c r="C720" s="1"/>
      <c r="D720" s="1"/>
      <c r="E720" s="1"/>
      <c r="F720" s="1"/>
      <c r="G720" s="1"/>
      <c r="H720" s="1"/>
    </row>
    <row r="721" spans="1:8">
      <c r="A721" s="1"/>
      <c r="B721" s="1"/>
      <c r="C721" s="1"/>
      <c r="D721" s="1"/>
      <c r="E721" s="1"/>
      <c r="F721" s="1"/>
      <c r="G721" s="1"/>
      <c r="H721" s="1"/>
    </row>
    <row r="722" spans="1:8">
      <c r="A722" s="1"/>
      <c r="B722" s="1"/>
      <c r="C722" s="1"/>
      <c r="D722" s="1"/>
      <c r="E722" s="1"/>
      <c r="F722" s="1"/>
      <c r="G722" s="1"/>
      <c r="H722" s="1"/>
    </row>
    <row r="723" spans="1:8">
      <c r="A723" s="1"/>
      <c r="B723" s="1"/>
      <c r="C723" s="1"/>
      <c r="D723" s="1"/>
      <c r="E723" s="1"/>
      <c r="F723" s="1"/>
      <c r="G723" s="1"/>
      <c r="H723" s="1"/>
    </row>
    <row r="724" spans="1:8">
      <c r="A724" s="1"/>
      <c r="B724" s="1"/>
      <c r="C724" s="1"/>
      <c r="D724" s="1"/>
      <c r="E724" s="1"/>
      <c r="F724" s="1"/>
      <c r="G724" s="1"/>
      <c r="H724" s="1"/>
    </row>
    <row r="725" spans="1:8">
      <c r="A725" s="1"/>
      <c r="B725" s="1"/>
      <c r="C725" s="1"/>
      <c r="D725" s="1"/>
      <c r="E725" s="1"/>
      <c r="F725" s="1"/>
      <c r="G725" s="1"/>
      <c r="H725" s="1"/>
    </row>
    <row r="726" spans="1:8">
      <c r="A726" s="1"/>
      <c r="B726" s="1"/>
      <c r="C726" s="1"/>
      <c r="D726" s="1"/>
      <c r="E726" s="1"/>
      <c r="F726" s="1"/>
      <c r="G726" s="1"/>
      <c r="H726" s="1"/>
    </row>
    <row r="727" spans="1:8">
      <c r="A727" s="1"/>
      <c r="B727" s="1"/>
      <c r="C727" s="1"/>
      <c r="D727" s="1"/>
      <c r="E727" s="1"/>
      <c r="F727" s="1"/>
      <c r="G727" s="1"/>
      <c r="H727" s="1"/>
    </row>
    <row r="728" spans="1:8">
      <c r="A728" s="1"/>
      <c r="B728" s="1"/>
      <c r="C728" s="1"/>
      <c r="D728" s="1"/>
      <c r="E728" s="1"/>
      <c r="F728" s="1"/>
      <c r="G728" s="1"/>
      <c r="H728" s="1"/>
    </row>
    <row r="729" spans="1:8">
      <c r="A729" s="1"/>
      <c r="B729" s="1"/>
      <c r="C729" s="1"/>
      <c r="D729" s="1"/>
      <c r="E729" s="1"/>
      <c r="F729" s="1"/>
      <c r="G729" s="1"/>
      <c r="H729" s="1"/>
    </row>
    <row r="730" spans="1:8">
      <c r="A730" s="1"/>
      <c r="B730" s="1"/>
      <c r="C730" s="1"/>
      <c r="D730" s="1"/>
      <c r="E730" s="1"/>
      <c r="F730" s="1"/>
      <c r="G730" s="1"/>
      <c r="H730" s="1"/>
    </row>
    <row r="731" spans="1:8">
      <c r="A731" s="1"/>
      <c r="B731" s="1"/>
      <c r="C731" s="1"/>
      <c r="D731" s="1"/>
      <c r="E731" s="1"/>
      <c r="F731" s="1"/>
      <c r="G731" s="1"/>
      <c r="H731" s="1"/>
    </row>
    <row r="732" spans="1:8">
      <c r="A732" s="1"/>
      <c r="B732" s="1"/>
      <c r="C732" s="1"/>
      <c r="D732" s="1"/>
      <c r="E732" s="1"/>
      <c r="F732" s="1"/>
      <c r="G732" s="1"/>
      <c r="H732" s="1"/>
    </row>
    <row r="733" spans="1:8">
      <c r="A733" s="1"/>
      <c r="B733" s="1"/>
      <c r="C733" s="1"/>
      <c r="D733" s="1"/>
      <c r="E733" s="1"/>
      <c r="F733" s="1"/>
      <c r="G733" s="1"/>
      <c r="H733" s="1"/>
    </row>
    <row r="734" spans="1:8">
      <c r="A734" s="1"/>
      <c r="B734" s="1"/>
      <c r="C734" s="1"/>
      <c r="D734" s="1"/>
      <c r="E734" s="1"/>
      <c r="F734" s="1"/>
      <c r="G734" s="1"/>
      <c r="H734" s="1"/>
    </row>
    <row r="735" spans="1:8">
      <c r="A735" s="1"/>
      <c r="B735" s="1"/>
      <c r="C735" s="1"/>
      <c r="D735" s="1"/>
      <c r="E735" s="1"/>
      <c r="F735" s="1"/>
      <c r="G735" s="1"/>
      <c r="H735" s="1"/>
    </row>
    <row r="736" spans="1:8">
      <c r="A736" s="1"/>
      <c r="B736" s="1"/>
      <c r="C736" s="1"/>
      <c r="D736" s="1"/>
      <c r="E736" s="1"/>
      <c r="F736" s="1"/>
      <c r="G736" s="1"/>
      <c r="H736" s="1"/>
    </row>
    <row r="737" spans="1:8">
      <c r="A737" s="1"/>
      <c r="B737" s="1"/>
      <c r="C737" s="1"/>
      <c r="D737" s="1"/>
      <c r="E737" s="1"/>
      <c r="F737" s="1"/>
      <c r="G737" s="1"/>
      <c r="H737" s="1"/>
    </row>
    <row r="738" spans="1:8">
      <c r="A738" s="1"/>
      <c r="B738" s="1"/>
      <c r="C738" s="1"/>
      <c r="D738" s="1"/>
      <c r="E738" s="1"/>
      <c r="F738" s="1"/>
      <c r="G738" s="1"/>
      <c r="H738" s="1"/>
    </row>
    <row r="739" spans="1:8">
      <c r="A739" s="1"/>
      <c r="B739" s="1"/>
      <c r="C739" s="1"/>
      <c r="D739" s="1"/>
      <c r="E739" s="1"/>
      <c r="F739" s="1"/>
      <c r="G739" s="1"/>
      <c r="H739" s="1"/>
    </row>
    <row r="740" spans="1:8">
      <c r="A740" s="1"/>
      <c r="B740" s="1"/>
      <c r="C740" s="1"/>
      <c r="D740" s="1"/>
      <c r="E740" s="1"/>
      <c r="F740" s="1"/>
      <c r="G740" s="1"/>
      <c r="H740" s="1"/>
    </row>
    <row r="741" spans="1:8">
      <c r="A741" s="1"/>
      <c r="B741" s="1"/>
      <c r="C741" s="1"/>
      <c r="D741" s="1"/>
      <c r="E741" s="1"/>
      <c r="F741" s="1"/>
      <c r="G741" s="1"/>
      <c r="H741" s="1"/>
    </row>
    <row r="742" spans="1:8">
      <c r="A742" s="1"/>
      <c r="B742" s="1"/>
      <c r="C742" s="1"/>
      <c r="D742" s="1"/>
      <c r="E742" s="1"/>
      <c r="F742" s="1"/>
      <c r="G742" s="1"/>
      <c r="H742" s="1"/>
    </row>
    <row r="743" spans="1:8">
      <c r="A743" s="1"/>
      <c r="B743" s="1"/>
      <c r="C743" s="1"/>
      <c r="D743" s="1"/>
      <c r="E743" s="1"/>
      <c r="F743" s="1"/>
      <c r="G743" s="1"/>
      <c r="H743" s="1"/>
    </row>
    <row r="744" spans="1:8">
      <c r="A744" s="1"/>
      <c r="B744" s="1"/>
      <c r="C744" s="1"/>
      <c r="D744" s="1"/>
      <c r="E744" s="1"/>
      <c r="F744" s="1"/>
      <c r="G744" s="1"/>
      <c r="H744" s="1"/>
    </row>
    <row r="745" spans="1:8">
      <c r="A745" s="1"/>
      <c r="B745" s="1"/>
      <c r="C745" s="1"/>
      <c r="D745" s="1"/>
      <c r="E745" s="1"/>
      <c r="F745" s="1"/>
      <c r="G745" s="1"/>
      <c r="H745" s="1"/>
    </row>
    <row r="746" spans="1:8">
      <c r="A746" s="1"/>
      <c r="B746" s="1"/>
      <c r="C746" s="1"/>
      <c r="D746" s="1"/>
      <c r="E746" s="1"/>
      <c r="F746" s="1"/>
      <c r="G746" s="1"/>
      <c r="H746" s="1"/>
    </row>
    <row r="747" spans="1:8">
      <c r="A747" s="1"/>
      <c r="B747" s="1"/>
      <c r="C747" s="1"/>
      <c r="D747" s="1"/>
      <c r="E747" s="1"/>
      <c r="F747" s="1"/>
      <c r="G747" s="1"/>
      <c r="H747" s="1"/>
    </row>
    <row r="748" spans="1:8">
      <c r="A748" s="1"/>
      <c r="B748" s="1"/>
      <c r="C748" s="1"/>
      <c r="D748" s="1"/>
      <c r="E748" s="1"/>
      <c r="F748" s="1"/>
      <c r="G748" s="1"/>
      <c r="H748" s="1"/>
    </row>
    <row r="749" spans="1:8">
      <c r="A749" s="1"/>
      <c r="B749" s="1"/>
      <c r="C749" s="1"/>
      <c r="D749" s="1"/>
      <c r="E749" s="1"/>
      <c r="F749" s="1"/>
      <c r="G749" s="1"/>
      <c r="H749" s="1"/>
    </row>
    <row r="750" spans="1:8">
      <c r="A750" s="1"/>
      <c r="B750" s="1"/>
      <c r="C750" s="1"/>
      <c r="D750" s="1"/>
      <c r="E750" s="1"/>
      <c r="F750" s="1"/>
      <c r="G750" s="1"/>
      <c r="H750" s="1"/>
    </row>
    <row r="751" spans="1:8">
      <c r="A751" s="1"/>
      <c r="B751" s="1"/>
      <c r="C751" s="1"/>
      <c r="D751" s="1"/>
      <c r="E751" s="1"/>
      <c r="F751" s="1"/>
      <c r="G751" s="1"/>
      <c r="H751" s="1"/>
    </row>
    <row r="752" spans="1:8">
      <c r="A752" s="1"/>
      <c r="B752" s="1"/>
      <c r="C752" s="1"/>
      <c r="D752" s="1"/>
      <c r="E752" s="1"/>
      <c r="F752" s="1"/>
      <c r="G752" s="1"/>
      <c r="H752" s="1"/>
    </row>
    <row r="753" spans="1:8">
      <c r="A753" s="1"/>
      <c r="B753" s="1"/>
      <c r="C753" s="1"/>
      <c r="D753" s="1"/>
      <c r="E753" s="1"/>
      <c r="F753" s="1"/>
      <c r="G753" s="1"/>
      <c r="H753" s="1"/>
    </row>
    <row r="754" spans="1:8">
      <c r="A754" s="1"/>
      <c r="B754" s="1"/>
      <c r="C754" s="1"/>
      <c r="D754" s="1"/>
      <c r="E754" s="1"/>
      <c r="F754" s="1"/>
      <c r="G754" s="1"/>
      <c r="H754" s="1"/>
    </row>
    <row r="755" spans="1:8">
      <c r="A755" s="1"/>
      <c r="B755" s="1"/>
      <c r="C755" s="1"/>
      <c r="D755" s="1"/>
      <c r="E755" s="1"/>
      <c r="F755" s="1"/>
      <c r="G755" s="1"/>
      <c r="H755" s="1"/>
    </row>
    <row r="756" spans="1:8">
      <c r="A756" s="1"/>
      <c r="B756" s="1"/>
      <c r="C756" s="1"/>
      <c r="D756" s="1"/>
      <c r="E756" s="1"/>
      <c r="F756" s="1"/>
      <c r="G756" s="1"/>
      <c r="H756" s="1"/>
    </row>
    <row r="757" spans="1:8">
      <c r="A757" s="1"/>
      <c r="B757" s="1"/>
      <c r="C757" s="1"/>
      <c r="D757" s="1"/>
      <c r="E757" s="1"/>
      <c r="F757" s="1"/>
      <c r="G757" s="1"/>
      <c r="H757" s="1"/>
    </row>
    <row r="758" spans="1:8">
      <c r="A758" s="1"/>
      <c r="B758" s="1"/>
      <c r="C758" s="1"/>
      <c r="D758" s="1"/>
      <c r="E758" s="1"/>
      <c r="F758" s="1"/>
      <c r="G758" s="1"/>
      <c r="H758" s="1"/>
    </row>
    <row r="759" spans="1:8">
      <c r="A759" s="1"/>
      <c r="B759" s="1"/>
      <c r="C759" s="1"/>
      <c r="D759" s="1"/>
      <c r="E759" s="1"/>
      <c r="F759" s="1"/>
      <c r="G759" s="1"/>
      <c r="H759" s="1"/>
    </row>
    <row r="760" spans="1:8">
      <c r="A760" s="1"/>
      <c r="B760" s="1"/>
      <c r="C760" s="1"/>
      <c r="D760" s="1"/>
      <c r="E760" s="1"/>
      <c r="F760" s="1"/>
      <c r="G760" s="1"/>
      <c r="H760" s="1"/>
    </row>
    <row r="761" spans="1:8">
      <c r="A761" s="1"/>
      <c r="B761" s="1"/>
      <c r="C761" s="1"/>
      <c r="D761" s="1"/>
      <c r="E761" s="1"/>
      <c r="F761" s="1"/>
      <c r="G761" s="1"/>
      <c r="H761" s="1"/>
    </row>
    <row r="762" spans="1:8">
      <c r="A762" s="1"/>
      <c r="B762" s="1"/>
      <c r="C762" s="1"/>
      <c r="D762" s="1"/>
      <c r="E762" s="1"/>
      <c r="F762" s="1"/>
      <c r="G762" s="1"/>
      <c r="H762" s="1"/>
    </row>
    <row r="763" spans="1:8">
      <c r="A763" s="1"/>
      <c r="B763" s="1"/>
      <c r="C763" s="1"/>
      <c r="D763" s="1"/>
      <c r="E763" s="1"/>
      <c r="F763" s="1"/>
      <c r="G763" s="1"/>
      <c r="H763" s="1"/>
    </row>
    <row r="764" spans="1:8">
      <c r="A764" s="1"/>
      <c r="B764" s="1"/>
      <c r="C764" s="1"/>
      <c r="D764" s="1"/>
      <c r="E764" s="1"/>
      <c r="F764" s="1"/>
      <c r="G764" s="1"/>
      <c r="H764" s="1"/>
    </row>
    <row r="765" spans="1:8">
      <c r="A765" s="1"/>
      <c r="B765" s="1"/>
      <c r="C765" s="1"/>
      <c r="D765" s="1"/>
      <c r="E765" s="1"/>
      <c r="F765" s="1"/>
      <c r="G765" s="1"/>
      <c r="H765" s="1"/>
    </row>
    <row r="766" spans="1:8">
      <c r="A766" s="1"/>
      <c r="B766" s="1"/>
      <c r="C766" s="1"/>
      <c r="D766" s="1"/>
      <c r="E766" s="1"/>
      <c r="F766" s="1"/>
      <c r="G766" s="1"/>
      <c r="H766" s="1"/>
    </row>
    <row r="767" spans="1:8">
      <c r="A767" s="1"/>
      <c r="B767" s="1"/>
      <c r="C767" s="1"/>
      <c r="D767" s="1"/>
      <c r="E767" s="1"/>
      <c r="F767" s="1"/>
      <c r="G767" s="1"/>
      <c r="H767" s="1"/>
    </row>
    <row r="768" spans="1:8">
      <c r="A768" s="1"/>
      <c r="B768" s="1"/>
      <c r="C768" s="1"/>
      <c r="D768" s="1"/>
      <c r="E768" s="1"/>
      <c r="F768" s="1"/>
      <c r="G768" s="1"/>
      <c r="H768" s="1"/>
    </row>
    <row r="769" spans="1:8">
      <c r="A769" s="1"/>
      <c r="B769" s="1"/>
      <c r="C769" s="1"/>
      <c r="D769" s="1"/>
      <c r="E769" s="1"/>
      <c r="F769" s="1"/>
      <c r="G769" s="1"/>
      <c r="H769" s="1"/>
    </row>
    <row r="770" spans="1:8">
      <c r="A770" s="1"/>
      <c r="B770" s="1"/>
      <c r="C770" s="1"/>
      <c r="D770" s="1"/>
      <c r="E770" s="1"/>
      <c r="F770" s="1"/>
      <c r="G770" s="1"/>
      <c r="H770" s="1"/>
    </row>
    <row r="771" spans="1:8">
      <c r="A771" s="1"/>
      <c r="B771" s="1"/>
      <c r="C771" s="1"/>
      <c r="D771" s="1"/>
      <c r="E771" s="1"/>
      <c r="F771" s="1"/>
      <c r="G771" s="1"/>
      <c r="H771" s="1"/>
    </row>
    <row r="772" spans="1:8">
      <c r="A772" s="1"/>
      <c r="B772" s="1"/>
      <c r="C772" s="1"/>
      <c r="D772" s="1"/>
      <c r="E772" s="1"/>
      <c r="F772" s="1"/>
      <c r="G772" s="1"/>
      <c r="H772" s="1"/>
    </row>
    <row r="773" spans="1:8">
      <c r="A773" s="1"/>
      <c r="B773" s="1"/>
      <c r="C773" s="1"/>
      <c r="D773" s="1"/>
      <c r="E773" s="1"/>
      <c r="F773" s="1"/>
      <c r="G773" s="1"/>
      <c r="H773" s="1"/>
    </row>
    <row r="774" spans="1:8">
      <c r="A774" s="1"/>
      <c r="B774" s="1"/>
      <c r="C774" s="1"/>
      <c r="D774" s="1"/>
      <c r="E774" s="1"/>
      <c r="F774" s="1"/>
      <c r="G774" s="1"/>
      <c r="H774" s="1"/>
    </row>
    <row r="775" spans="1:8">
      <c r="A775" s="1"/>
      <c r="B775" s="1"/>
      <c r="C775" s="1"/>
      <c r="D775" s="1"/>
      <c r="E775" s="1"/>
      <c r="F775" s="1"/>
      <c r="G775" s="1"/>
      <c r="H775" s="1"/>
    </row>
    <row r="776" spans="1:8">
      <c r="A776" s="1"/>
      <c r="B776" s="1"/>
      <c r="C776" s="1"/>
      <c r="D776" s="1"/>
      <c r="E776" s="1"/>
      <c r="F776" s="1"/>
      <c r="G776" s="1"/>
      <c r="H776" s="1"/>
    </row>
    <row r="777" spans="1:8">
      <c r="A777" s="1"/>
      <c r="B777" s="1"/>
      <c r="C777" s="1"/>
      <c r="D777" s="1"/>
      <c r="E777" s="1"/>
      <c r="F777" s="1"/>
      <c r="G777" s="1"/>
      <c r="H777" s="1"/>
    </row>
    <row r="778" spans="1:8">
      <c r="A778" s="1"/>
      <c r="B778" s="1"/>
      <c r="C778" s="1"/>
      <c r="D778" s="1"/>
      <c r="E778" s="1"/>
      <c r="F778" s="1"/>
      <c r="G778" s="1"/>
      <c r="H778" s="1"/>
    </row>
    <row r="779" spans="1:8">
      <c r="A779" s="1"/>
      <c r="B779" s="1"/>
      <c r="C779" s="1"/>
      <c r="D779" s="1"/>
      <c r="E779" s="1"/>
      <c r="F779" s="1"/>
      <c r="G779" s="1"/>
      <c r="H779" s="1"/>
    </row>
    <row r="780" spans="1:8">
      <c r="A780" s="1"/>
      <c r="B780" s="1"/>
      <c r="C780" s="1"/>
      <c r="D780" s="1"/>
      <c r="E780" s="1"/>
      <c r="F780" s="1"/>
      <c r="G780" s="1"/>
      <c r="H780" s="1"/>
    </row>
    <row r="781" spans="1:8">
      <c r="A781" s="1"/>
      <c r="B781" s="1"/>
      <c r="C781" s="1"/>
      <c r="D781" s="1"/>
      <c r="E781" s="1"/>
      <c r="F781" s="1"/>
      <c r="G781" s="1"/>
      <c r="H781" s="1"/>
    </row>
    <row r="782" spans="1:8">
      <c r="A782" s="1"/>
      <c r="B782" s="1"/>
      <c r="C782" s="1"/>
      <c r="D782" s="1"/>
      <c r="E782" s="1"/>
      <c r="F782" s="1"/>
      <c r="G782" s="1"/>
      <c r="H782" s="1"/>
    </row>
    <row r="783" spans="1:8">
      <c r="A783" s="1"/>
      <c r="B783" s="1"/>
      <c r="C783" s="1"/>
      <c r="D783" s="1"/>
      <c r="E783" s="1"/>
      <c r="F783" s="1"/>
      <c r="G783" s="1"/>
      <c r="H783" s="1"/>
    </row>
    <row r="784" spans="1:8">
      <c r="A784" s="1"/>
      <c r="B784" s="1"/>
      <c r="C784" s="1"/>
      <c r="D784" s="1"/>
      <c r="E784" s="1"/>
      <c r="F784" s="1"/>
      <c r="G784" s="1"/>
      <c r="H784" s="1"/>
    </row>
    <row r="785" spans="1:8">
      <c r="A785" s="1"/>
      <c r="B785" s="1"/>
      <c r="C785" s="1"/>
      <c r="D785" s="1"/>
      <c r="E785" s="1"/>
      <c r="F785" s="1"/>
      <c r="G785" s="1"/>
      <c r="H785" s="1"/>
    </row>
    <row r="786" spans="1:8">
      <c r="A786" s="1"/>
      <c r="B786" s="1"/>
      <c r="C786" s="1"/>
      <c r="D786" s="1"/>
      <c r="E786" s="1"/>
      <c r="F786" s="1"/>
      <c r="G786" s="1"/>
      <c r="H786" s="1"/>
    </row>
    <row r="787" spans="1:8">
      <c r="A787" s="1"/>
      <c r="B787" s="1"/>
      <c r="C787" s="1"/>
      <c r="D787" s="1"/>
      <c r="E787" s="1"/>
      <c r="F787" s="1"/>
      <c r="G787" s="1"/>
      <c r="H787" s="1"/>
    </row>
    <row r="788" spans="1:8">
      <c r="A788" s="1"/>
      <c r="B788" s="1"/>
      <c r="C788" s="1"/>
      <c r="D788" s="1"/>
      <c r="E788" s="1"/>
      <c r="F788" s="1"/>
      <c r="G788" s="1"/>
      <c r="H788" s="1"/>
    </row>
    <row r="789" spans="1:8">
      <c r="A789" s="1"/>
      <c r="B789" s="1"/>
      <c r="C789" s="1"/>
      <c r="D789" s="1"/>
      <c r="E789" s="1"/>
      <c r="F789" s="1"/>
      <c r="G789" s="1"/>
      <c r="H789" s="1"/>
    </row>
    <row r="790" spans="1:8">
      <c r="A790" s="1"/>
      <c r="B790" s="1"/>
      <c r="C790" s="1"/>
      <c r="D790" s="1"/>
      <c r="E790" s="1"/>
      <c r="F790" s="1"/>
      <c r="G790" s="1"/>
      <c r="H790" s="1"/>
    </row>
    <row r="791" spans="1:8">
      <c r="A791" s="1"/>
      <c r="B791" s="1"/>
      <c r="C791" s="1"/>
      <c r="D791" s="1"/>
      <c r="E791" s="1"/>
      <c r="F791" s="1"/>
      <c r="G791" s="1"/>
      <c r="H791" s="1"/>
    </row>
    <row r="792" spans="1:8">
      <c r="A792" s="1"/>
      <c r="B792" s="1"/>
      <c r="C792" s="1"/>
      <c r="D792" s="1"/>
      <c r="E792" s="1"/>
      <c r="F792" s="1"/>
      <c r="G792" s="1"/>
      <c r="H792" s="1"/>
    </row>
    <row r="793" spans="1:8">
      <c r="A793" s="1"/>
      <c r="B793" s="1"/>
      <c r="C793" s="1"/>
      <c r="D793" s="1"/>
      <c r="E793" s="1"/>
      <c r="F793" s="1"/>
      <c r="G793" s="1"/>
      <c r="H793" s="1"/>
    </row>
    <row r="794" spans="1:8">
      <c r="A794" s="1"/>
      <c r="B794" s="1"/>
      <c r="C794" s="1"/>
      <c r="D794" s="1"/>
      <c r="E794" s="1"/>
      <c r="F794" s="1"/>
      <c r="G794" s="1"/>
      <c r="H794" s="1"/>
    </row>
    <row r="795" spans="1:8">
      <c r="A795" s="1"/>
      <c r="B795" s="1"/>
      <c r="C795" s="1"/>
      <c r="D795" s="1"/>
      <c r="E795" s="1"/>
      <c r="F795" s="1"/>
      <c r="G795" s="1"/>
      <c r="H795" s="1"/>
    </row>
    <row r="796" spans="1:8">
      <c r="A796" s="1"/>
      <c r="B796" s="1"/>
      <c r="C796" s="1"/>
      <c r="D796" s="1"/>
      <c r="E796" s="1"/>
      <c r="F796" s="1"/>
      <c r="G796" s="1"/>
      <c r="H796" s="1"/>
    </row>
    <row r="797" spans="1:8">
      <c r="A797" s="1"/>
      <c r="B797" s="1"/>
      <c r="C797" s="1"/>
      <c r="D797" s="1"/>
      <c r="E797" s="1"/>
      <c r="F797" s="1"/>
      <c r="G797" s="1"/>
      <c r="H797" s="1"/>
    </row>
    <row r="798" spans="1:8">
      <c r="A798" s="1"/>
      <c r="B798" s="1"/>
      <c r="C798" s="1"/>
      <c r="D798" s="1"/>
      <c r="E798" s="1"/>
      <c r="F798" s="1"/>
      <c r="G798" s="1"/>
      <c r="H798" s="1"/>
    </row>
    <row r="799" spans="1:8">
      <c r="A799" s="1"/>
      <c r="B799" s="1"/>
      <c r="C799" s="1"/>
      <c r="D799" s="1"/>
      <c r="E799" s="1"/>
      <c r="F799" s="1"/>
      <c r="G799" s="1"/>
      <c r="H799" s="1"/>
    </row>
    <row r="800" spans="1:8">
      <c r="A800" s="1"/>
      <c r="B800" s="1"/>
      <c r="C800" s="1"/>
      <c r="D800" s="1"/>
      <c r="E800" s="1"/>
      <c r="F800" s="1"/>
      <c r="G800" s="1"/>
      <c r="H800" s="1"/>
    </row>
    <row r="801" spans="1:8">
      <c r="A801" s="1"/>
      <c r="B801" s="1"/>
      <c r="C801" s="1"/>
      <c r="D801" s="1"/>
      <c r="E801" s="1"/>
      <c r="F801" s="1"/>
      <c r="G801" s="1"/>
      <c r="H801" s="1"/>
    </row>
    <row r="802" spans="1:8">
      <c r="A802" s="1"/>
      <c r="B802" s="1"/>
      <c r="C802" s="1"/>
      <c r="D802" s="1"/>
      <c r="E802" s="1"/>
      <c r="F802" s="1"/>
      <c r="G802" s="1"/>
      <c r="H802" s="1"/>
    </row>
    <row r="803" spans="1:8">
      <c r="A803" s="1"/>
      <c r="B803" s="1"/>
      <c r="C803" s="1"/>
      <c r="D803" s="1"/>
      <c r="E803" s="1"/>
      <c r="F803" s="1"/>
      <c r="G803" s="1"/>
      <c r="H803" s="1"/>
    </row>
    <row r="804" spans="1:8">
      <c r="A804" s="1"/>
      <c r="B804" s="1"/>
      <c r="C804" s="1"/>
      <c r="D804" s="1"/>
      <c r="E804" s="1"/>
      <c r="F804" s="1"/>
      <c r="G804" s="1"/>
      <c r="H804" s="1"/>
    </row>
    <row r="805" spans="1:8">
      <c r="A805" s="1"/>
      <c r="B805" s="1"/>
      <c r="C805" s="1"/>
      <c r="D805" s="1"/>
      <c r="E805" s="1"/>
      <c r="F805" s="1"/>
      <c r="G805" s="1"/>
      <c r="H805" s="1"/>
    </row>
    <row r="806" spans="1:8">
      <c r="A806" s="1"/>
      <c r="B806" s="1"/>
      <c r="C806" s="1"/>
      <c r="D806" s="1"/>
      <c r="E806" s="1"/>
      <c r="F806" s="1"/>
      <c r="G806" s="1"/>
      <c r="H806" s="1"/>
    </row>
    <row r="807" spans="1:8">
      <c r="A807" s="1"/>
      <c r="B807" s="1"/>
      <c r="C807" s="1"/>
      <c r="D807" s="1"/>
      <c r="E807" s="1"/>
      <c r="F807" s="1"/>
      <c r="G807" s="1"/>
      <c r="H807" s="1"/>
    </row>
    <row r="808" spans="1:8">
      <c r="A808" s="1"/>
      <c r="B808" s="1"/>
      <c r="C808" s="1"/>
      <c r="D808" s="1"/>
      <c r="E808" s="1"/>
      <c r="F808" s="1"/>
      <c r="G808" s="1"/>
      <c r="H808" s="1"/>
    </row>
    <row r="809" spans="1:8">
      <c r="A809" s="1"/>
      <c r="B809" s="1"/>
      <c r="C809" s="1"/>
      <c r="D809" s="1"/>
      <c r="E809" s="1"/>
      <c r="F809" s="1"/>
      <c r="G809" s="1"/>
      <c r="H809" s="1"/>
    </row>
    <row r="810" spans="1:8">
      <c r="A810" s="1"/>
      <c r="B810" s="1"/>
      <c r="C810" s="1"/>
      <c r="D810" s="1"/>
      <c r="E810" s="1"/>
      <c r="F810" s="1"/>
      <c r="G810" s="1"/>
      <c r="H810" s="1"/>
    </row>
    <row r="811" spans="1:8">
      <c r="A811" s="1"/>
      <c r="B811" s="1"/>
      <c r="C811" s="1"/>
      <c r="D811" s="1"/>
      <c r="E811" s="1"/>
      <c r="F811" s="1"/>
      <c r="G811" s="1"/>
      <c r="H811" s="1"/>
    </row>
    <row r="812" spans="1:8">
      <c r="A812" s="1"/>
      <c r="B812" s="1"/>
      <c r="C812" s="1"/>
      <c r="D812" s="1"/>
      <c r="E812" s="1"/>
      <c r="F812" s="1"/>
      <c r="G812" s="1"/>
      <c r="H812" s="1"/>
    </row>
    <row r="813" spans="1:8">
      <c r="A813" s="1"/>
      <c r="B813" s="1"/>
      <c r="C813" s="1"/>
      <c r="D813" s="1"/>
      <c r="E813" s="1"/>
      <c r="F813" s="1"/>
      <c r="G813" s="1"/>
      <c r="H813" s="1"/>
    </row>
    <row r="814" spans="1:8">
      <c r="A814" s="1"/>
      <c r="B814" s="1"/>
      <c r="C814" s="1"/>
      <c r="D814" s="1"/>
      <c r="E814" s="1"/>
      <c r="F814" s="1"/>
      <c r="G814" s="1"/>
      <c r="H814" s="1"/>
    </row>
    <row r="815" spans="1:8">
      <c r="A815" s="1"/>
      <c r="B815" s="1"/>
      <c r="C815" s="1"/>
      <c r="D815" s="1"/>
      <c r="E815" s="1"/>
      <c r="F815" s="1"/>
      <c r="G815" s="1"/>
      <c r="H815" s="1"/>
    </row>
    <row r="816" spans="1:8">
      <c r="A816" s="1"/>
      <c r="B816" s="1"/>
      <c r="C816" s="1"/>
      <c r="D816" s="1"/>
      <c r="E816" s="1"/>
      <c r="F816" s="1"/>
      <c r="G816" s="1"/>
      <c r="H816" s="1"/>
    </row>
    <row r="817" spans="1:8">
      <c r="A817" s="1"/>
      <c r="B817" s="1"/>
      <c r="C817" s="1"/>
      <c r="D817" s="1"/>
      <c r="E817" s="1"/>
      <c r="F817" s="1"/>
      <c r="G817" s="1"/>
      <c r="H817" s="1"/>
    </row>
    <row r="818" spans="1:8">
      <c r="A818" s="1"/>
      <c r="B818" s="1"/>
      <c r="C818" s="1"/>
      <c r="D818" s="1"/>
      <c r="E818" s="1"/>
      <c r="F818" s="1"/>
      <c r="G818" s="1"/>
      <c r="H818" s="1"/>
    </row>
    <row r="819" spans="1:8">
      <c r="A819" s="1"/>
      <c r="B819" s="1"/>
      <c r="C819" s="1"/>
      <c r="D819" s="1"/>
      <c r="E819" s="1"/>
      <c r="F819" s="1"/>
      <c r="G819" s="1"/>
      <c r="H819" s="1"/>
    </row>
    <row r="820" spans="1:8">
      <c r="A820" s="1"/>
      <c r="B820" s="1"/>
      <c r="C820" s="1"/>
      <c r="D820" s="1"/>
      <c r="E820" s="1"/>
      <c r="F820" s="1"/>
      <c r="G820" s="1"/>
      <c r="H820" s="1"/>
    </row>
    <row r="821" spans="1:8">
      <c r="A821" s="1"/>
      <c r="B821" s="1"/>
      <c r="C821" s="1"/>
      <c r="D821" s="1"/>
      <c r="E821" s="1"/>
      <c r="F821" s="1"/>
      <c r="G821" s="1"/>
      <c r="H821" s="1"/>
    </row>
    <row r="822" spans="1:8">
      <c r="A822" s="1"/>
      <c r="B822" s="1"/>
      <c r="C822" s="1"/>
      <c r="D822" s="1"/>
      <c r="E822" s="1"/>
      <c r="F822" s="1"/>
      <c r="G822" s="1"/>
      <c r="H822" s="1"/>
    </row>
    <row r="823" spans="1:8">
      <c r="A823" s="1"/>
      <c r="B823" s="1"/>
      <c r="C823" s="1"/>
      <c r="D823" s="1"/>
      <c r="E823" s="1"/>
      <c r="F823" s="1"/>
      <c r="G823" s="1"/>
      <c r="H823" s="1"/>
    </row>
    <row r="824" spans="1:8">
      <c r="A824" s="1"/>
      <c r="B824" s="1"/>
      <c r="C824" s="1"/>
      <c r="D824" s="1"/>
      <c r="E824" s="1"/>
      <c r="F824" s="1"/>
      <c r="G824" s="1"/>
      <c r="H824" s="1"/>
    </row>
    <row r="825" spans="1:8">
      <c r="A825" s="1"/>
      <c r="B825" s="1"/>
      <c r="C825" s="1"/>
      <c r="D825" s="1"/>
      <c r="E825" s="1"/>
      <c r="F825" s="1"/>
      <c r="G825" s="1"/>
      <c r="H825" s="1"/>
    </row>
    <row r="826" spans="1:8">
      <c r="A826" s="1"/>
      <c r="B826" s="1"/>
      <c r="C826" s="1"/>
      <c r="D826" s="1"/>
      <c r="E826" s="1"/>
      <c r="F826" s="1"/>
      <c r="G826" s="1"/>
      <c r="H826" s="1"/>
    </row>
    <row r="827" spans="1:8">
      <c r="A827" s="1"/>
      <c r="B827" s="1"/>
      <c r="C827" s="1"/>
      <c r="D827" s="1"/>
      <c r="E827" s="1"/>
      <c r="F827" s="1"/>
      <c r="G827" s="1"/>
      <c r="H827" s="1"/>
    </row>
    <row r="828" spans="1:8">
      <c r="A828" s="1"/>
      <c r="B828" s="1"/>
      <c r="C828" s="1"/>
      <c r="D828" s="1"/>
      <c r="E828" s="1"/>
      <c r="F828" s="1"/>
      <c r="G828" s="1"/>
      <c r="H828" s="1"/>
    </row>
    <row r="829" spans="1:8">
      <c r="A829" s="1"/>
      <c r="B829" s="1"/>
      <c r="C829" s="1"/>
      <c r="D829" s="1"/>
      <c r="E829" s="1"/>
      <c r="F829" s="1"/>
      <c r="G829" s="1"/>
      <c r="H829" s="1"/>
    </row>
    <row r="830" spans="1:8">
      <c r="A830" s="1"/>
      <c r="B830" s="1"/>
      <c r="C830" s="1"/>
      <c r="D830" s="1"/>
      <c r="E830" s="1"/>
      <c r="F830" s="1"/>
      <c r="G830" s="1"/>
      <c r="H830" s="1"/>
    </row>
    <row r="831" spans="1:8">
      <c r="A831" s="1"/>
      <c r="B831" s="1"/>
      <c r="C831" s="1"/>
      <c r="D831" s="1"/>
      <c r="E831" s="1"/>
      <c r="F831" s="1"/>
      <c r="G831" s="1"/>
      <c r="H831" s="1"/>
    </row>
    <row r="832" spans="1:8">
      <c r="A832" s="1"/>
      <c r="B832" s="1"/>
      <c r="C832" s="1"/>
      <c r="D832" s="1"/>
      <c r="E832" s="1"/>
      <c r="F832" s="1"/>
      <c r="G832" s="1"/>
      <c r="H832" s="1"/>
    </row>
    <row r="833" spans="1:8">
      <c r="A833" s="1"/>
      <c r="B833" s="1"/>
      <c r="C833" s="1"/>
      <c r="D833" s="1"/>
      <c r="E833" s="1"/>
      <c r="F833" s="1"/>
      <c r="G833" s="1"/>
      <c r="H833" s="1"/>
    </row>
    <row r="834" spans="1:8">
      <c r="A834" s="1"/>
      <c r="B834" s="1"/>
      <c r="C834" s="1"/>
      <c r="D834" s="1"/>
      <c r="E834" s="1"/>
      <c r="F834" s="1"/>
      <c r="G834" s="1"/>
      <c r="H834" s="1"/>
    </row>
    <row r="835" spans="1:8">
      <c r="A835" s="1"/>
      <c r="B835" s="1"/>
      <c r="C835" s="1"/>
      <c r="D835" s="1"/>
      <c r="E835" s="1"/>
      <c r="F835" s="1"/>
      <c r="G835" s="1"/>
      <c r="H835" s="1"/>
    </row>
    <row r="836" spans="1:8">
      <c r="A836" s="1"/>
      <c r="B836" s="1"/>
      <c r="C836" s="1"/>
      <c r="D836" s="1"/>
      <c r="E836" s="1"/>
      <c r="F836" s="1"/>
      <c r="G836" s="1"/>
      <c r="H836" s="1"/>
    </row>
    <row r="837" spans="1:8">
      <c r="A837" s="1"/>
      <c r="B837" s="1"/>
      <c r="C837" s="1"/>
      <c r="D837" s="1"/>
      <c r="E837" s="1"/>
      <c r="F837" s="1"/>
      <c r="G837" s="1"/>
      <c r="H837" s="1"/>
    </row>
    <row r="838" spans="1:8">
      <c r="A838" s="1"/>
      <c r="B838" s="1"/>
      <c r="C838" s="1"/>
      <c r="D838" s="1"/>
      <c r="E838" s="1"/>
      <c r="F838" s="1"/>
      <c r="G838" s="1"/>
      <c r="H838" s="1"/>
    </row>
    <row r="839" spans="1:8">
      <c r="A839" s="1"/>
      <c r="B839" s="1"/>
      <c r="C839" s="1"/>
      <c r="D839" s="1"/>
      <c r="E839" s="1"/>
      <c r="F839" s="1"/>
      <c r="G839" s="1"/>
      <c r="H839" s="1"/>
    </row>
    <row r="840" spans="1:8">
      <c r="A840" s="1"/>
      <c r="B840" s="1"/>
      <c r="C840" s="1"/>
      <c r="D840" s="1"/>
      <c r="E840" s="1"/>
      <c r="F840" s="1"/>
      <c r="G840" s="1"/>
      <c r="H840" s="1"/>
    </row>
    <row r="841" spans="1:8">
      <c r="A841" s="1"/>
      <c r="B841" s="1"/>
      <c r="C841" s="1"/>
      <c r="D841" s="1"/>
      <c r="E841" s="1"/>
      <c r="F841" s="1"/>
      <c r="G841" s="1"/>
      <c r="H841" s="1"/>
    </row>
    <row r="842" spans="1:8">
      <c r="A842" s="1"/>
      <c r="B842" s="1"/>
      <c r="C842" s="1"/>
      <c r="D842" s="1"/>
      <c r="E842" s="1"/>
      <c r="F842" s="1"/>
      <c r="G842" s="1"/>
      <c r="H842" s="1"/>
    </row>
    <row r="843" spans="1:8">
      <c r="A843" s="1"/>
      <c r="B843" s="1"/>
      <c r="C843" s="1"/>
      <c r="D843" s="1"/>
      <c r="E843" s="1"/>
      <c r="F843" s="1"/>
      <c r="G843" s="1"/>
      <c r="H843" s="1"/>
    </row>
    <row r="844" spans="1:8">
      <c r="A844" s="1"/>
      <c r="B844" s="1"/>
      <c r="C844" s="1"/>
      <c r="D844" s="1"/>
      <c r="E844" s="1"/>
      <c r="F844" s="1"/>
      <c r="G844" s="1"/>
      <c r="H844" s="1"/>
    </row>
    <row r="845" spans="1:8">
      <c r="A845" s="1"/>
      <c r="B845" s="1"/>
      <c r="C845" s="1"/>
      <c r="D845" s="1"/>
      <c r="E845" s="1"/>
      <c r="F845" s="1"/>
      <c r="G845" s="1"/>
      <c r="H845" s="1"/>
    </row>
    <row r="846" spans="1:8">
      <c r="A846" s="1"/>
      <c r="B846" s="1"/>
      <c r="C846" s="1"/>
      <c r="D846" s="1"/>
      <c r="E846" s="1"/>
      <c r="F846" s="1"/>
      <c r="G846" s="1"/>
      <c r="H846" s="1"/>
    </row>
    <row r="847" spans="1:8">
      <c r="A847" s="1"/>
      <c r="B847" s="1"/>
      <c r="C847" s="1"/>
      <c r="D847" s="1"/>
      <c r="E847" s="1"/>
      <c r="F847" s="1"/>
      <c r="G847" s="1"/>
      <c r="H847" s="1"/>
    </row>
    <row r="848" spans="1:8">
      <c r="A848" s="1"/>
      <c r="B848" s="1"/>
      <c r="C848" s="1"/>
      <c r="D848" s="1"/>
      <c r="E848" s="1"/>
      <c r="F848" s="1"/>
      <c r="G848" s="1"/>
      <c r="H848" s="1"/>
    </row>
    <row r="849" spans="1:8">
      <c r="A849" s="1"/>
      <c r="B849" s="1"/>
      <c r="C849" s="1"/>
      <c r="D849" s="1"/>
      <c r="E849" s="1"/>
      <c r="F849" s="1"/>
      <c r="G849" s="1"/>
      <c r="H849" s="1"/>
    </row>
    <row r="850" spans="1:8">
      <c r="A850" s="1"/>
      <c r="B850" s="1"/>
      <c r="C850" s="1"/>
      <c r="D850" s="1"/>
      <c r="E850" s="1"/>
      <c r="F850" s="1"/>
      <c r="G850" s="1"/>
      <c r="H850" s="1"/>
    </row>
    <row r="851" spans="1:8">
      <c r="A851" s="1"/>
      <c r="B851" s="1"/>
      <c r="C851" s="1"/>
      <c r="D851" s="1"/>
      <c r="E851" s="1"/>
      <c r="F851" s="1"/>
      <c r="G851" s="1"/>
      <c r="H851" s="1"/>
    </row>
    <row r="852" spans="1:8">
      <c r="A852" s="1"/>
      <c r="B852" s="1"/>
      <c r="C852" s="1"/>
      <c r="D852" s="1"/>
      <c r="E852" s="1"/>
      <c r="F852" s="1"/>
      <c r="G852" s="1"/>
      <c r="H852" s="1"/>
    </row>
    <row r="853" spans="1:8">
      <c r="A853" s="1"/>
      <c r="B853" s="1"/>
      <c r="C853" s="1"/>
      <c r="D853" s="1"/>
      <c r="E853" s="1"/>
      <c r="F853" s="1"/>
      <c r="G853" s="1"/>
      <c r="H853" s="1"/>
    </row>
    <row r="854" spans="1:8">
      <c r="A854" s="1"/>
      <c r="B854" s="1"/>
      <c r="C854" s="1"/>
      <c r="D854" s="1"/>
      <c r="E854" s="1"/>
      <c r="F854" s="1"/>
      <c r="G854" s="1"/>
      <c r="H854" s="1"/>
    </row>
    <row r="855" spans="1:8">
      <c r="A855" s="1"/>
      <c r="B855" s="1"/>
      <c r="C855" s="1"/>
      <c r="D855" s="1"/>
      <c r="E855" s="1"/>
      <c r="F855" s="1"/>
      <c r="G855" s="1"/>
      <c r="H855" s="1"/>
    </row>
    <row r="856" spans="1:8">
      <c r="A856" s="1"/>
      <c r="B856" s="1"/>
      <c r="C856" s="1"/>
      <c r="D856" s="1"/>
      <c r="E856" s="1"/>
      <c r="F856" s="1"/>
      <c r="G856" s="1"/>
      <c r="H856" s="1"/>
    </row>
    <row r="857" spans="1:8">
      <c r="A857" s="1"/>
      <c r="B857" s="1"/>
      <c r="C857" s="1"/>
      <c r="D857" s="1"/>
      <c r="E857" s="1"/>
      <c r="F857" s="1"/>
      <c r="G857" s="1"/>
      <c r="H857" s="1"/>
    </row>
    <row r="858" spans="1:8">
      <c r="A858" s="1"/>
      <c r="B858" s="1"/>
      <c r="C858" s="1"/>
      <c r="D858" s="1"/>
      <c r="E858" s="1"/>
      <c r="F858" s="1"/>
      <c r="G858" s="1"/>
      <c r="H858" s="1"/>
    </row>
    <row r="859" spans="1:8">
      <c r="A859" s="1"/>
      <c r="B859" s="1"/>
      <c r="C859" s="1"/>
      <c r="D859" s="1"/>
      <c r="E859" s="1"/>
      <c r="F859" s="1"/>
      <c r="G859" s="1"/>
      <c r="H859" s="1"/>
    </row>
    <row r="860" spans="1:8">
      <c r="A860" s="1"/>
      <c r="B860" s="1"/>
      <c r="C860" s="1"/>
      <c r="D860" s="1"/>
      <c r="E860" s="1"/>
      <c r="F860" s="1"/>
      <c r="G860" s="1"/>
      <c r="H860" s="1"/>
    </row>
    <row r="861" spans="1:8">
      <c r="A861" s="1"/>
      <c r="B861" s="1"/>
      <c r="C861" s="1"/>
      <c r="D861" s="1"/>
      <c r="E861" s="1"/>
      <c r="F861" s="1"/>
      <c r="G861" s="1"/>
      <c r="H861" s="1"/>
    </row>
    <row r="862" spans="1:8">
      <c r="A862" s="1"/>
      <c r="B862" s="1"/>
      <c r="C862" s="1"/>
      <c r="D862" s="1"/>
      <c r="E862" s="1"/>
      <c r="F862" s="1"/>
      <c r="G862" s="1"/>
      <c r="H862" s="1"/>
    </row>
    <row r="863" spans="1:8">
      <c r="A863" s="1"/>
      <c r="B863" s="1"/>
      <c r="C863" s="1"/>
      <c r="D863" s="1"/>
      <c r="E863" s="1"/>
      <c r="F863" s="1"/>
      <c r="G863" s="1"/>
      <c r="H863" s="1"/>
    </row>
    <row r="864" spans="1:8">
      <c r="A864" s="1"/>
      <c r="B864" s="1"/>
      <c r="C864" s="1"/>
      <c r="D864" s="1"/>
      <c r="E864" s="1"/>
      <c r="F864" s="1"/>
      <c r="G864" s="1"/>
      <c r="H864" s="1"/>
    </row>
    <row r="865" spans="1:8">
      <c r="A865" s="1"/>
      <c r="B865" s="1"/>
      <c r="C865" s="1"/>
      <c r="D865" s="1"/>
      <c r="E865" s="1"/>
      <c r="F865" s="1"/>
      <c r="G865" s="1"/>
      <c r="H865" s="1"/>
    </row>
    <row r="866" spans="1:8">
      <c r="A866" s="1"/>
      <c r="B866" s="1"/>
      <c r="C866" s="1"/>
      <c r="D866" s="1"/>
      <c r="E866" s="1"/>
      <c r="F866" s="1"/>
      <c r="G866" s="1"/>
      <c r="H866" s="1"/>
    </row>
    <row r="867" spans="1:8">
      <c r="A867" s="1"/>
      <c r="B867" s="1"/>
      <c r="C867" s="1"/>
      <c r="D867" s="1"/>
      <c r="E867" s="1"/>
      <c r="F867" s="1"/>
      <c r="G867" s="1"/>
      <c r="H867" s="1"/>
    </row>
    <row r="868" spans="1:8">
      <c r="A868" s="1"/>
      <c r="B868" s="1"/>
      <c r="C868" s="1"/>
      <c r="D868" s="1"/>
      <c r="E868" s="1"/>
      <c r="F868" s="1"/>
      <c r="G868" s="1"/>
      <c r="H868" s="1"/>
    </row>
    <row r="869" spans="1:8">
      <c r="A869" s="1"/>
      <c r="B869" s="1"/>
      <c r="C869" s="1"/>
      <c r="D869" s="1"/>
      <c r="E869" s="1"/>
      <c r="F869" s="1"/>
      <c r="G869" s="1"/>
      <c r="H869" s="1"/>
    </row>
    <row r="870" spans="1:8">
      <c r="A870" s="1"/>
      <c r="B870" s="1"/>
      <c r="C870" s="1"/>
      <c r="D870" s="1"/>
      <c r="E870" s="1"/>
      <c r="F870" s="1"/>
      <c r="G870" s="1"/>
      <c r="H870" s="1"/>
    </row>
    <row r="871" spans="1:8">
      <c r="A871" s="1"/>
      <c r="B871" s="1"/>
      <c r="C871" s="1"/>
      <c r="D871" s="1"/>
      <c r="E871" s="1"/>
      <c r="F871" s="1"/>
      <c r="G871" s="1"/>
      <c r="H871" s="1"/>
    </row>
    <row r="872" spans="1:8">
      <c r="A872" s="1"/>
      <c r="B872" s="1"/>
      <c r="C872" s="1"/>
      <c r="D872" s="1"/>
      <c r="E872" s="1"/>
      <c r="F872" s="1"/>
      <c r="G872" s="1"/>
      <c r="H872" s="1"/>
    </row>
    <row r="873" spans="1:8">
      <c r="A873" s="1"/>
      <c r="B873" s="1"/>
      <c r="C873" s="1"/>
      <c r="D873" s="1"/>
      <c r="E873" s="1"/>
      <c r="F873" s="1"/>
      <c r="G873" s="1"/>
      <c r="H873" s="1"/>
    </row>
    <row r="874" spans="1:8">
      <c r="A874" s="1"/>
      <c r="B874" s="1"/>
      <c r="C874" s="1"/>
      <c r="D874" s="1"/>
      <c r="E874" s="1"/>
      <c r="F874" s="1"/>
      <c r="G874" s="1"/>
      <c r="H874" s="1"/>
    </row>
    <row r="875" spans="1:8">
      <c r="A875" s="1"/>
      <c r="B875" s="1"/>
      <c r="C875" s="1"/>
      <c r="D875" s="1"/>
      <c r="E875" s="1"/>
      <c r="F875" s="1"/>
      <c r="G875" s="1"/>
      <c r="H875" s="1"/>
    </row>
    <row r="876" spans="1:8">
      <c r="A876" s="1"/>
      <c r="B876" s="1"/>
      <c r="C876" s="1"/>
      <c r="D876" s="1"/>
      <c r="E876" s="1"/>
      <c r="F876" s="1"/>
      <c r="G876" s="1"/>
      <c r="H876" s="1"/>
    </row>
    <row r="877" spans="1:8">
      <c r="A877" s="1"/>
      <c r="B877" s="1"/>
      <c r="C877" s="1"/>
      <c r="D877" s="1"/>
      <c r="E877" s="1"/>
      <c r="F877" s="1"/>
      <c r="G877" s="1"/>
      <c r="H877" s="1"/>
    </row>
    <row r="878" spans="1:8">
      <c r="A878" s="1"/>
      <c r="B878" s="1"/>
      <c r="C878" s="1"/>
      <c r="D878" s="1"/>
      <c r="E878" s="1"/>
      <c r="F878" s="1"/>
      <c r="G878" s="1"/>
      <c r="H878" s="1"/>
    </row>
    <row r="879" spans="1:8">
      <c r="A879" s="1"/>
      <c r="B879" s="1"/>
      <c r="C879" s="1"/>
      <c r="D879" s="1"/>
      <c r="E879" s="1"/>
      <c r="F879" s="1"/>
      <c r="G879" s="1"/>
      <c r="H879" s="1"/>
    </row>
    <row r="880" spans="1:8">
      <c r="A880" s="1"/>
      <c r="B880" s="1"/>
      <c r="C880" s="1"/>
      <c r="D880" s="1"/>
      <c r="E880" s="1"/>
      <c r="F880" s="1"/>
      <c r="G880" s="1"/>
      <c r="H880" s="1"/>
    </row>
    <row r="881" spans="1:8">
      <c r="A881" s="1"/>
      <c r="B881" s="1"/>
      <c r="C881" s="1"/>
      <c r="D881" s="1"/>
      <c r="E881" s="1"/>
      <c r="F881" s="1"/>
      <c r="G881" s="1"/>
      <c r="H881" s="1"/>
    </row>
    <row r="882" spans="1:8">
      <c r="A882" s="1"/>
      <c r="B882" s="1"/>
      <c r="C882" s="1"/>
      <c r="D882" s="1"/>
      <c r="E882" s="1"/>
      <c r="F882" s="1"/>
      <c r="G882" s="1"/>
      <c r="H882" s="1"/>
    </row>
    <row r="883" spans="1:8">
      <c r="A883" s="1"/>
      <c r="B883" s="1"/>
      <c r="C883" s="1"/>
      <c r="D883" s="1"/>
      <c r="E883" s="1"/>
      <c r="F883" s="1"/>
      <c r="G883" s="1"/>
      <c r="H883" s="1"/>
    </row>
    <row r="884" spans="1:8">
      <c r="A884" s="1"/>
      <c r="B884" s="1"/>
      <c r="C884" s="1"/>
      <c r="D884" s="1"/>
      <c r="E884" s="1"/>
      <c r="F884" s="1"/>
      <c r="G884" s="1"/>
      <c r="H884" s="1"/>
    </row>
    <row r="885" spans="1:8">
      <c r="A885" s="1"/>
      <c r="B885" s="1"/>
      <c r="C885" s="1"/>
      <c r="D885" s="1"/>
      <c r="E885" s="1"/>
      <c r="F885" s="1"/>
      <c r="G885" s="1"/>
      <c r="H885" s="1"/>
    </row>
    <row r="886" spans="1:8">
      <c r="A886" s="1"/>
      <c r="B886" s="1"/>
      <c r="C886" s="1"/>
      <c r="D886" s="1"/>
      <c r="E886" s="1"/>
      <c r="F886" s="1"/>
      <c r="G886" s="1"/>
      <c r="H886" s="1"/>
    </row>
    <row r="887" spans="1:8">
      <c r="A887" s="1"/>
      <c r="B887" s="1"/>
      <c r="C887" s="1"/>
      <c r="D887" s="1"/>
      <c r="E887" s="1"/>
      <c r="F887" s="1"/>
      <c r="G887" s="1"/>
      <c r="H887" s="1"/>
    </row>
    <row r="888" spans="1:8">
      <c r="A888" s="1"/>
      <c r="B888" s="1"/>
      <c r="C888" s="1"/>
      <c r="D888" s="1"/>
      <c r="E888" s="1"/>
      <c r="F888" s="1"/>
      <c r="G888" s="1"/>
      <c r="H888" s="1"/>
    </row>
    <row r="889" spans="1:8">
      <c r="A889" s="1"/>
      <c r="B889" s="1"/>
      <c r="C889" s="1"/>
      <c r="D889" s="1"/>
      <c r="E889" s="1"/>
      <c r="F889" s="1"/>
      <c r="G889" s="1"/>
      <c r="H889" s="1"/>
    </row>
    <row r="890" spans="1:8">
      <c r="A890" s="1"/>
      <c r="B890" s="1"/>
      <c r="C890" s="1"/>
      <c r="D890" s="1"/>
      <c r="E890" s="1"/>
      <c r="F890" s="1"/>
      <c r="G890" s="1"/>
      <c r="H890" s="1"/>
    </row>
    <row r="891" spans="1:8">
      <c r="A891" s="1"/>
      <c r="B891" s="1"/>
      <c r="C891" s="1"/>
      <c r="D891" s="1"/>
      <c r="E891" s="1"/>
      <c r="F891" s="1"/>
      <c r="G891" s="1"/>
      <c r="H891" s="1"/>
    </row>
    <row r="892" spans="1:8">
      <c r="A892" s="1"/>
      <c r="B892" s="1"/>
      <c r="C892" s="1"/>
      <c r="D892" s="1"/>
      <c r="E892" s="1"/>
      <c r="F892" s="1"/>
      <c r="G892" s="1"/>
      <c r="H892" s="1"/>
    </row>
    <row r="893" spans="1:8">
      <c r="A893" s="1"/>
      <c r="B893" s="1"/>
      <c r="C893" s="1"/>
      <c r="D893" s="1"/>
      <c r="E893" s="1"/>
      <c r="F893" s="1"/>
      <c r="G893" s="1"/>
      <c r="H893" s="1"/>
    </row>
    <row r="894" spans="1:8">
      <c r="A894" s="1"/>
      <c r="B894" s="1"/>
      <c r="C894" s="1"/>
      <c r="D894" s="1"/>
      <c r="E894" s="1"/>
      <c r="F894" s="1"/>
      <c r="G894" s="1"/>
      <c r="H894" s="1"/>
    </row>
    <row r="895" spans="1:8">
      <c r="A895" s="1"/>
      <c r="B895" s="1"/>
      <c r="C895" s="1"/>
      <c r="D895" s="1"/>
      <c r="E895" s="1"/>
      <c r="F895" s="1"/>
      <c r="G895" s="1"/>
      <c r="H895" s="1"/>
    </row>
    <row r="896" spans="1:8">
      <c r="A896" s="1"/>
      <c r="B896" s="1"/>
      <c r="C896" s="1"/>
      <c r="D896" s="1"/>
      <c r="E896" s="1"/>
      <c r="F896" s="1"/>
      <c r="G896" s="1"/>
      <c r="H896" s="1"/>
    </row>
    <row r="897" spans="1:8">
      <c r="A897" s="1"/>
      <c r="B897" s="1"/>
      <c r="C897" s="1"/>
      <c r="D897" s="1"/>
      <c r="E897" s="1"/>
      <c r="F897" s="1"/>
      <c r="G897" s="1"/>
      <c r="H897" s="1"/>
    </row>
    <row r="898" spans="1:8">
      <c r="A898" s="1"/>
      <c r="B898" s="1"/>
      <c r="C898" s="1"/>
      <c r="D898" s="1"/>
      <c r="E898" s="1"/>
      <c r="F898" s="1"/>
      <c r="G898" s="1"/>
      <c r="H898" s="1"/>
    </row>
    <row r="899" spans="1:8">
      <c r="A899" s="1"/>
      <c r="B899" s="1"/>
      <c r="C899" s="1"/>
      <c r="D899" s="1"/>
      <c r="E899" s="1"/>
      <c r="F899" s="1"/>
      <c r="G899" s="1"/>
      <c r="H899" s="1"/>
    </row>
    <row r="900" spans="1:8">
      <c r="A900" s="1"/>
      <c r="B900" s="1"/>
      <c r="C900" s="1"/>
      <c r="D900" s="1"/>
      <c r="E900" s="1"/>
      <c r="F900" s="1"/>
      <c r="G900" s="1"/>
      <c r="H900" s="1"/>
    </row>
    <row r="901" spans="1:8">
      <c r="A901" s="1"/>
      <c r="B901" s="1"/>
      <c r="C901" s="1"/>
      <c r="D901" s="1"/>
      <c r="E901" s="1"/>
      <c r="F901" s="1"/>
      <c r="G901" s="1"/>
      <c r="H901" s="1"/>
    </row>
    <row r="902" spans="1:8">
      <c r="A902" s="1"/>
      <c r="B902" s="1"/>
      <c r="C902" s="1"/>
      <c r="D902" s="1"/>
      <c r="E902" s="1"/>
      <c r="F902" s="1"/>
      <c r="G902" s="1"/>
      <c r="H902" s="1"/>
    </row>
    <row r="903" spans="1:8">
      <c r="A903" s="1"/>
      <c r="B903" s="1"/>
      <c r="C903" s="1"/>
      <c r="D903" s="1"/>
      <c r="E903" s="1"/>
      <c r="F903" s="1"/>
      <c r="G903" s="1"/>
      <c r="H903" s="1"/>
    </row>
    <row r="904" spans="1:8">
      <c r="A904" s="1"/>
      <c r="B904" s="1"/>
      <c r="C904" s="1"/>
      <c r="D904" s="1"/>
      <c r="E904" s="1"/>
      <c r="F904" s="1"/>
      <c r="G904" s="1"/>
      <c r="H904" s="1"/>
    </row>
    <row r="905" spans="1:8">
      <c r="A905" s="1"/>
      <c r="B905" s="1"/>
      <c r="C905" s="1"/>
      <c r="D905" s="1"/>
      <c r="E905" s="1"/>
      <c r="F905" s="1"/>
      <c r="G905" s="1"/>
      <c r="H905" s="1"/>
    </row>
    <row r="906" spans="1:8">
      <c r="A906" s="1"/>
      <c r="B906" s="1"/>
      <c r="C906" s="1"/>
      <c r="D906" s="1"/>
      <c r="E906" s="1"/>
      <c r="F906" s="1"/>
      <c r="G906" s="1"/>
      <c r="H906" s="1"/>
    </row>
    <row r="907" spans="1:8">
      <c r="A907" s="1"/>
      <c r="B907" s="1"/>
      <c r="C907" s="1"/>
      <c r="D907" s="1"/>
      <c r="E907" s="1"/>
      <c r="F907" s="1"/>
      <c r="G907" s="1"/>
      <c r="H907" s="1"/>
    </row>
    <row r="908" spans="1:8">
      <c r="A908" s="1"/>
      <c r="B908" s="1"/>
      <c r="C908" s="1"/>
      <c r="D908" s="1"/>
      <c r="E908" s="1"/>
      <c r="F908" s="1"/>
      <c r="G908" s="1"/>
      <c r="H908" s="1"/>
    </row>
    <row r="909" spans="1:8">
      <c r="A909" s="1"/>
      <c r="B909" s="1"/>
      <c r="C909" s="1"/>
      <c r="D909" s="1"/>
      <c r="E909" s="1"/>
      <c r="F909" s="1"/>
      <c r="G909" s="1"/>
      <c r="H909" s="1"/>
    </row>
    <row r="910" spans="1:8">
      <c r="A910" s="1"/>
      <c r="B910" s="1"/>
      <c r="C910" s="1"/>
      <c r="D910" s="1"/>
      <c r="E910" s="1"/>
      <c r="F910" s="1"/>
      <c r="G910" s="1"/>
      <c r="H910" s="1"/>
    </row>
    <row r="911" spans="1:8">
      <c r="A911" s="1"/>
      <c r="B911" s="1"/>
      <c r="C911" s="1"/>
      <c r="D911" s="1"/>
      <c r="E911" s="1"/>
      <c r="F911" s="1"/>
      <c r="G911" s="1"/>
      <c r="H911" s="1"/>
    </row>
    <row r="912" spans="1:8">
      <c r="A912" s="1"/>
      <c r="B912" s="1"/>
      <c r="C912" s="1"/>
      <c r="D912" s="1"/>
      <c r="E912" s="1"/>
      <c r="F912" s="1"/>
      <c r="G912" s="1"/>
      <c r="H912" s="1"/>
    </row>
    <row r="913" spans="1:8">
      <c r="A913" s="1"/>
      <c r="B913" s="1"/>
      <c r="C913" s="1"/>
      <c r="D913" s="1"/>
      <c r="E913" s="1"/>
      <c r="F913" s="1"/>
      <c r="G913" s="1"/>
      <c r="H913" s="1"/>
    </row>
    <row r="914" spans="1:8">
      <c r="A914" s="1"/>
      <c r="B914" s="1"/>
      <c r="C914" s="1"/>
      <c r="D914" s="1"/>
      <c r="E914" s="1"/>
      <c r="F914" s="1"/>
      <c r="G914" s="1"/>
      <c r="H914" s="1"/>
    </row>
    <row r="915" spans="1:8">
      <c r="A915" s="1"/>
      <c r="B915" s="1"/>
      <c r="C915" s="1"/>
      <c r="D915" s="1"/>
      <c r="E915" s="1"/>
      <c r="F915" s="1"/>
      <c r="G915" s="1"/>
      <c r="H915" s="1"/>
    </row>
    <row r="916" spans="1:8">
      <c r="A916" s="1"/>
      <c r="B916" s="1"/>
      <c r="C916" s="1"/>
      <c r="D916" s="1"/>
      <c r="E916" s="1"/>
      <c r="F916" s="1"/>
      <c r="G916" s="1"/>
      <c r="H916" s="1"/>
    </row>
    <row r="917" spans="1:8">
      <c r="A917" s="1"/>
      <c r="B917" s="1"/>
      <c r="C917" s="1"/>
      <c r="D917" s="1"/>
      <c r="E917" s="1"/>
      <c r="F917" s="1"/>
      <c r="G917" s="1"/>
      <c r="H917" s="1"/>
    </row>
    <row r="918" spans="1:8">
      <c r="A918" s="1"/>
      <c r="B918" s="1"/>
      <c r="C918" s="1"/>
      <c r="D918" s="1"/>
      <c r="E918" s="1"/>
      <c r="F918" s="1"/>
      <c r="G918" s="1"/>
      <c r="H918" s="1"/>
    </row>
    <row r="919" spans="1:8">
      <c r="A919" s="1"/>
      <c r="B919" s="1"/>
      <c r="C919" s="1"/>
      <c r="D919" s="1"/>
      <c r="E919" s="1"/>
      <c r="F919" s="1"/>
      <c r="G919" s="1"/>
      <c r="H919" s="1"/>
    </row>
    <row r="920" spans="1:8">
      <c r="A920" s="1"/>
      <c r="B920" s="1"/>
      <c r="C920" s="1"/>
      <c r="D920" s="1"/>
      <c r="E920" s="1"/>
      <c r="F920" s="1"/>
      <c r="G920" s="1"/>
      <c r="H920" s="1"/>
    </row>
    <row r="921" spans="1:8">
      <c r="A921" s="1"/>
      <c r="B921" s="1"/>
      <c r="C921" s="1"/>
      <c r="D921" s="1"/>
      <c r="E921" s="1"/>
      <c r="F921" s="1"/>
      <c r="G921" s="1"/>
      <c r="H921" s="1"/>
    </row>
    <row r="922" spans="1:8">
      <c r="A922" s="1"/>
      <c r="B922" s="1"/>
      <c r="C922" s="1"/>
      <c r="D922" s="1"/>
      <c r="E922" s="1"/>
      <c r="F922" s="1"/>
      <c r="G922" s="1"/>
      <c r="H922" s="1"/>
    </row>
    <row r="923" spans="1:8">
      <c r="A923" s="1"/>
      <c r="B923" s="1"/>
      <c r="C923" s="1"/>
      <c r="D923" s="1"/>
      <c r="E923" s="1"/>
      <c r="F923" s="1"/>
      <c r="G923" s="1"/>
      <c r="H923" s="1"/>
    </row>
    <row r="924" spans="1:8">
      <c r="A924" s="1"/>
      <c r="B924" s="1"/>
      <c r="C924" s="1"/>
      <c r="D924" s="1"/>
      <c r="E924" s="1"/>
      <c r="F924" s="1"/>
      <c r="G924" s="1"/>
      <c r="H924" s="1"/>
    </row>
    <row r="925" spans="1:8">
      <c r="A925" s="1"/>
      <c r="B925" s="1"/>
      <c r="C925" s="1"/>
      <c r="D925" s="1"/>
      <c r="E925" s="1"/>
      <c r="F925" s="1"/>
      <c r="G925" s="1"/>
      <c r="H925" s="1"/>
    </row>
    <row r="926" spans="1:8">
      <c r="A926" s="1"/>
      <c r="B926" s="1"/>
      <c r="C926" s="1"/>
      <c r="D926" s="1"/>
      <c r="E926" s="1"/>
      <c r="F926" s="1"/>
      <c r="G926" s="1"/>
      <c r="H926" s="1"/>
    </row>
    <row r="927" spans="1:8">
      <c r="A927" s="1"/>
      <c r="B927" s="1"/>
      <c r="C927" s="1"/>
      <c r="D927" s="1"/>
      <c r="E927" s="1"/>
      <c r="F927" s="1"/>
      <c r="G927" s="1"/>
      <c r="H927" s="1"/>
    </row>
    <row r="928" spans="1:8">
      <c r="A928" s="1"/>
      <c r="B928" s="1"/>
      <c r="C928" s="1"/>
      <c r="D928" s="1"/>
      <c r="E928" s="1"/>
      <c r="F928" s="1"/>
      <c r="G928" s="1"/>
      <c r="H928" s="1"/>
    </row>
    <row r="929" spans="1:8">
      <c r="A929" s="1"/>
      <c r="B929" s="1"/>
      <c r="C929" s="1"/>
      <c r="D929" s="1"/>
      <c r="E929" s="1"/>
      <c r="F929" s="1"/>
      <c r="G929" s="1"/>
      <c r="H929" s="1"/>
    </row>
    <row r="930" spans="1:8">
      <c r="A930" s="1"/>
      <c r="B930" s="1"/>
      <c r="C930" s="1"/>
      <c r="D930" s="1"/>
      <c r="E930" s="1"/>
      <c r="F930" s="1"/>
      <c r="G930" s="1"/>
      <c r="H930" s="1"/>
    </row>
    <row r="931" spans="1:8">
      <c r="A931" s="1"/>
      <c r="B931" s="1"/>
      <c r="C931" s="1"/>
      <c r="D931" s="1"/>
      <c r="E931" s="1"/>
      <c r="F931" s="1"/>
      <c r="G931" s="1"/>
      <c r="H931" s="1"/>
    </row>
    <row r="932" spans="1:8">
      <c r="A932" s="1"/>
      <c r="B932" s="1"/>
      <c r="C932" s="1"/>
      <c r="D932" s="1"/>
      <c r="E932" s="1"/>
      <c r="F932" s="1"/>
      <c r="G932" s="1"/>
      <c r="H932" s="1"/>
    </row>
    <row r="933" spans="1:8">
      <c r="A933" s="1"/>
      <c r="B933" s="1"/>
      <c r="C933" s="1"/>
      <c r="D933" s="1"/>
      <c r="E933" s="1"/>
      <c r="F933" s="1"/>
      <c r="G933" s="1"/>
      <c r="H933" s="1"/>
    </row>
    <row r="934" spans="1:8">
      <c r="A934" s="1"/>
      <c r="B934" s="1"/>
      <c r="C934" s="1"/>
      <c r="D934" s="1"/>
      <c r="E934" s="1"/>
      <c r="F934" s="1"/>
      <c r="G934" s="1"/>
      <c r="H934" s="1"/>
    </row>
    <row r="935" spans="1:8">
      <c r="A935" s="1"/>
      <c r="B935" s="1"/>
      <c r="C935" s="1"/>
      <c r="D935" s="1"/>
      <c r="E935" s="1"/>
      <c r="F935" s="1"/>
      <c r="G935" s="1"/>
      <c r="H935" s="1"/>
    </row>
    <row r="936" spans="1:8">
      <c r="A936" s="1"/>
      <c r="B936" s="1"/>
      <c r="C936" s="1"/>
      <c r="D936" s="1"/>
      <c r="E936" s="1"/>
      <c r="F936" s="1"/>
      <c r="G936" s="1"/>
      <c r="H936" s="1"/>
    </row>
    <row r="937" spans="1:8">
      <c r="A937" s="1"/>
      <c r="B937" s="1"/>
      <c r="C937" s="1"/>
      <c r="D937" s="1"/>
      <c r="E937" s="1"/>
      <c r="F937" s="1"/>
      <c r="G937" s="1"/>
      <c r="H937" s="1"/>
    </row>
    <row r="938" spans="1:8">
      <c r="A938" s="1"/>
      <c r="B938" s="1"/>
      <c r="C938" s="1"/>
      <c r="D938" s="1"/>
      <c r="E938" s="1"/>
      <c r="F938" s="1"/>
      <c r="G938" s="1"/>
      <c r="H938" s="1"/>
    </row>
    <row r="939" spans="1:8">
      <c r="A939" s="1"/>
      <c r="B939" s="1"/>
      <c r="C939" s="1"/>
      <c r="D939" s="1"/>
      <c r="E939" s="1"/>
      <c r="F939" s="1"/>
      <c r="G939" s="1"/>
      <c r="H939" s="1"/>
    </row>
    <row r="940" spans="1:8">
      <c r="A940" s="1"/>
      <c r="B940" s="1"/>
      <c r="C940" s="1"/>
      <c r="D940" s="1"/>
      <c r="E940" s="1"/>
      <c r="F940" s="1"/>
      <c r="G940" s="1"/>
      <c r="H940" s="1"/>
    </row>
    <row r="941" spans="1:8">
      <c r="A941" s="1"/>
      <c r="B941" s="1"/>
      <c r="C941" s="1"/>
      <c r="D941" s="1"/>
      <c r="E941" s="1"/>
      <c r="F941" s="1"/>
      <c r="G941" s="1"/>
      <c r="H941" s="1"/>
    </row>
    <row r="942" spans="1:8">
      <c r="A942" s="1"/>
      <c r="B942" s="1"/>
      <c r="C942" s="1"/>
      <c r="D942" s="1"/>
      <c r="E942" s="1"/>
      <c r="F942" s="1"/>
      <c r="G942" s="1"/>
      <c r="H942" s="1"/>
    </row>
    <row r="943" spans="1:8">
      <c r="A943" s="1"/>
      <c r="B943" s="1"/>
      <c r="C943" s="1"/>
      <c r="D943" s="1"/>
      <c r="E943" s="1"/>
      <c r="F943" s="1"/>
      <c r="G943" s="1"/>
      <c r="H943" s="1"/>
    </row>
    <row r="944" spans="1:8">
      <c r="A944" s="1"/>
      <c r="B944" s="1"/>
      <c r="C944" s="1"/>
      <c r="D944" s="1"/>
      <c r="E944" s="1"/>
      <c r="F944" s="1"/>
      <c r="G944" s="1"/>
      <c r="H944" s="1"/>
    </row>
    <row r="945" spans="1:8">
      <c r="A945" s="1"/>
      <c r="B945" s="1"/>
      <c r="C945" s="1"/>
      <c r="D945" s="1"/>
      <c r="E945" s="1"/>
      <c r="F945" s="1"/>
      <c r="G945" s="1"/>
      <c r="H945" s="1"/>
    </row>
    <row r="946" spans="1:8">
      <c r="A946" s="1"/>
      <c r="B946" s="1"/>
      <c r="C946" s="1"/>
      <c r="D946" s="1"/>
      <c r="E946" s="1"/>
      <c r="F946" s="1"/>
      <c r="G946" s="1"/>
      <c r="H946" s="1"/>
    </row>
    <row r="947" spans="1:8">
      <c r="A947" s="1"/>
      <c r="B947" s="1"/>
      <c r="C947" s="1"/>
      <c r="D947" s="1"/>
      <c r="E947" s="1"/>
      <c r="F947" s="1"/>
      <c r="G947" s="1"/>
      <c r="H947" s="1"/>
    </row>
    <row r="948" spans="1:8">
      <c r="A948" s="1"/>
      <c r="B948" s="1"/>
      <c r="C948" s="1"/>
      <c r="D948" s="1"/>
      <c r="E948" s="1"/>
      <c r="F948" s="1"/>
      <c r="G948" s="1"/>
      <c r="H948" s="1"/>
    </row>
    <row r="949" spans="1:8">
      <c r="A949" s="1"/>
      <c r="B949" s="1"/>
      <c r="C949" s="1"/>
      <c r="D949" s="1"/>
      <c r="E949" s="1"/>
      <c r="F949" s="1"/>
      <c r="G949" s="1"/>
      <c r="H949" s="1"/>
    </row>
    <row r="950" spans="1:8">
      <c r="A950" s="1"/>
      <c r="B950" s="1"/>
      <c r="C950" s="1"/>
      <c r="D950" s="1"/>
      <c r="E950" s="1"/>
      <c r="F950" s="1"/>
      <c r="G950" s="1"/>
      <c r="H950" s="1"/>
    </row>
    <row r="951" spans="1:8">
      <c r="A951" s="1"/>
      <c r="B951" s="1"/>
      <c r="C951" s="1"/>
      <c r="D951" s="1"/>
      <c r="E951" s="1"/>
      <c r="F951" s="1"/>
      <c r="G951" s="1"/>
      <c r="H951" s="1"/>
    </row>
    <row r="952" spans="1:8">
      <c r="A952" s="1"/>
      <c r="B952" s="1"/>
      <c r="C952" s="1"/>
      <c r="D952" s="1"/>
      <c r="E952" s="1"/>
      <c r="F952" s="1"/>
      <c r="G952" s="1"/>
      <c r="H952" s="1"/>
    </row>
    <row r="953" spans="1:8">
      <c r="A953" s="1"/>
      <c r="B953" s="1"/>
      <c r="C953" s="1"/>
      <c r="D953" s="1"/>
      <c r="E953" s="1"/>
      <c r="F953" s="1"/>
      <c r="G953" s="1"/>
      <c r="H953" s="1"/>
    </row>
    <row r="954" spans="1:8">
      <c r="A954" s="1"/>
      <c r="B954" s="1"/>
      <c r="C954" s="1"/>
      <c r="D954" s="1"/>
      <c r="E954" s="1"/>
      <c r="F954" s="1"/>
      <c r="G954" s="1"/>
      <c r="H954" s="1"/>
    </row>
    <row r="955" spans="1:8">
      <c r="A955" s="1"/>
      <c r="B955" s="1"/>
      <c r="C955" s="1"/>
      <c r="D955" s="1"/>
      <c r="E955" s="1"/>
      <c r="F955" s="1"/>
      <c r="G955" s="1"/>
      <c r="H955" s="1"/>
    </row>
    <row r="956" spans="1:8">
      <c r="A956" s="1"/>
      <c r="B956" s="1"/>
      <c r="C956" s="1"/>
      <c r="D956" s="1"/>
      <c r="E956" s="1"/>
      <c r="F956" s="1"/>
      <c r="G956" s="1"/>
      <c r="H956" s="1"/>
    </row>
    <row r="957" spans="1:8">
      <c r="A957" s="1"/>
      <c r="B957" s="1"/>
      <c r="C957" s="1"/>
      <c r="D957" s="1"/>
      <c r="E957" s="1"/>
      <c r="F957" s="1"/>
      <c r="G957" s="1"/>
      <c r="H957" s="1"/>
    </row>
    <row r="958" spans="1:8">
      <c r="A958" s="1"/>
      <c r="B958" s="1"/>
      <c r="C958" s="1"/>
      <c r="D958" s="1"/>
      <c r="E958" s="1"/>
      <c r="F958" s="1"/>
      <c r="G958" s="1"/>
      <c r="H958" s="1"/>
    </row>
    <row r="959" spans="1:8">
      <c r="A959" s="1"/>
      <c r="B959" s="1"/>
      <c r="C959" s="1"/>
      <c r="D959" s="1"/>
      <c r="E959" s="1"/>
      <c r="F959" s="1"/>
      <c r="G959" s="1"/>
      <c r="H959" s="1"/>
    </row>
    <row r="960" spans="1:8">
      <c r="A960" s="1"/>
      <c r="B960" s="1"/>
      <c r="C960" s="1"/>
      <c r="D960" s="1"/>
      <c r="E960" s="1"/>
      <c r="F960" s="1"/>
      <c r="G960" s="1"/>
      <c r="H960" s="1"/>
    </row>
    <row r="961" spans="1:8">
      <c r="A961" s="1"/>
      <c r="B961" s="1"/>
      <c r="C961" s="1"/>
      <c r="D961" s="1"/>
      <c r="E961" s="1"/>
      <c r="F961" s="1"/>
      <c r="G961" s="1"/>
      <c r="H961" s="1"/>
    </row>
    <row r="962" spans="1:8">
      <c r="A962" s="1"/>
      <c r="B962" s="1"/>
      <c r="C962" s="1"/>
      <c r="D962" s="1"/>
      <c r="E962" s="1"/>
      <c r="F962" s="1"/>
      <c r="G962" s="1"/>
      <c r="H962" s="1"/>
    </row>
    <row r="963" spans="1:8">
      <c r="A963" s="1"/>
      <c r="B963" s="1"/>
      <c r="C963" s="1"/>
      <c r="D963" s="1"/>
      <c r="E963" s="1"/>
      <c r="F963" s="1"/>
      <c r="G963" s="1"/>
      <c r="H963" s="1"/>
    </row>
    <row r="964" spans="1:8">
      <c r="A964" s="1"/>
      <c r="B964" s="1"/>
      <c r="C964" s="1"/>
      <c r="D964" s="1"/>
      <c r="E964" s="1"/>
      <c r="F964" s="1"/>
      <c r="G964" s="1"/>
      <c r="H964" s="1"/>
    </row>
    <row r="965" spans="1:8">
      <c r="A965" s="1"/>
      <c r="B965" s="1"/>
      <c r="C965" s="1"/>
      <c r="D965" s="1"/>
      <c r="E965" s="1"/>
      <c r="F965" s="1"/>
      <c r="G965" s="1"/>
      <c r="H965" s="1"/>
    </row>
    <row r="966" spans="1:8">
      <c r="A966" s="1"/>
      <c r="B966" s="1"/>
      <c r="C966" s="1"/>
      <c r="D966" s="1"/>
      <c r="E966" s="1"/>
      <c r="F966" s="1"/>
      <c r="G966" s="1"/>
      <c r="H966" s="1"/>
    </row>
    <row r="967" spans="1:8">
      <c r="A967" s="1"/>
      <c r="B967" s="1"/>
      <c r="C967" s="1"/>
      <c r="D967" s="1"/>
      <c r="E967" s="1"/>
      <c r="F967" s="1"/>
      <c r="G967" s="1"/>
      <c r="H967" s="1"/>
    </row>
    <row r="968" spans="1:8">
      <c r="A968" s="1"/>
      <c r="B968" s="1"/>
      <c r="C968" s="1"/>
      <c r="D968" s="1"/>
      <c r="E968" s="1"/>
      <c r="F968" s="1"/>
      <c r="G968" s="1"/>
      <c r="H968" s="1"/>
    </row>
    <row r="969" spans="1:8">
      <c r="A969" s="1"/>
      <c r="B969" s="1"/>
      <c r="C969" s="1"/>
      <c r="D969" s="1"/>
      <c r="E969" s="1"/>
      <c r="F969" s="1"/>
      <c r="G969" s="1"/>
      <c r="H969" s="1"/>
    </row>
    <row r="970" spans="1:8">
      <c r="A970" s="1"/>
      <c r="B970" s="1"/>
      <c r="C970" s="1"/>
      <c r="D970" s="1"/>
      <c r="E970" s="1"/>
      <c r="F970" s="1"/>
      <c r="G970" s="1"/>
      <c r="H970" s="1"/>
    </row>
    <row r="971" spans="1:8">
      <c r="A971" s="1"/>
      <c r="B971" s="1"/>
      <c r="C971" s="1"/>
      <c r="D971" s="1"/>
      <c r="E971" s="1"/>
      <c r="F971" s="1"/>
      <c r="G971" s="1"/>
      <c r="H971" s="1"/>
    </row>
    <row r="972" spans="1:8">
      <c r="A972" s="1"/>
      <c r="B972" s="1"/>
      <c r="C972" s="1"/>
      <c r="D972" s="1"/>
      <c r="E972" s="1"/>
      <c r="F972" s="1"/>
      <c r="G972" s="1"/>
      <c r="H972" s="1"/>
    </row>
    <row r="973" spans="1:8">
      <c r="A973" s="1"/>
      <c r="B973" s="1"/>
      <c r="C973" s="1"/>
      <c r="D973" s="1"/>
      <c r="E973" s="1"/>
      <c r="F973" s="1"/>
      <c r="G973" s="1"/>
      <c r="H973" s="1"/>
    </row>
    <row r="974" spans="1:8">
      <c r="A974" s="1"/>
      <c r="B974" s="1"/>
      <c r="C974" s="1"/>
      <c r="D974" s="1"/>
      <c r="E974" s="1"/>
      <c r="F974" s="1"/>
      <c r="G974" s="1"/>
      <c r="H974" s="1"/>
    </row>
    <row r="975" spans="1:8">
      <c r="A975" s="1"/>
      <c r="B975" s="1"/>
      <c r="C975" s="1"/>
      <c r="D975" s="1"/>
      <c r="E975" s="1"/>
      <c r="F975" s="1"/>
      <c r="G975" s="1"/>
      <c r="H975" s="1"/>
    </row>
    <row r="976" spans="1:8">
      <c r="A976" s="1"/>
      <c r="B976" s="1"/>
      <c r="C976" s="1"/>
      <c r="D976" s="1"/>
      <c r="E976" s="1"/>
      <c r="F976" s="1"/>
      <c r="G976" s="1"/>
      <c r="H976" s="1"/>
    </row>
    <row r="977" spans="1:8">
      <c r="A977" s="1"/>
      <c r="B977" s="1"/>
      <c r="C977" s="1"/>
      <c r="D977" s="1"/>
      <c r="E977" s="1"/>
      <c r="F977" s="1"/>
      <c r="G977" s="1"/>
      <c r="H977" s="1"/>
    </row>
    <row r="978" spans="1:8">
      <c r="A978" s="1"/>
      <c r="B978" s="1"/>
      <c r="C978" s="1"/>
      <c r="D978" s="1"/>
      <c r="E978" s="1"/>
      <c r="F978" s="1"/>
      <c r="G978" s="1"/>
      <c r="H978" s="1"/>
    </row>
    <row r="979" spans="1:8">
      <c r="A979" s="1"/>
      <c r="B979" s="1"/>
      <c r="C979" s="1"/>
      <c r="D979" s="1"/>
      <c r="E979" s="1"/>
      <c r="F979" s="1"/>
      <c r="G979" s="1"/>
      <c r="H979" s="1"/>
    </row>
    <row r="980" spans="1:8">
      <c r="A980" s="1"/>
      <c r="B980" s="1"/>
      <c r="C980" s="1"/>
      <c r="D980" s="1"/>
      <c r="E980" s="1"/>
      <c r="F980" s="1"/>
      <c r="G980" s="1"/>
      <c r="H980" s="1"/>
    </row>
    <row r="981" spans="1:8">
      <c r="A981" s="1"/>
      <c r="B981" s="1"/>
      <c r="C981" s="1"/>
      <c r="D981" s="1"/>
      <c r="E981" s="1"/>
      <c r="F981" s="1"/>
      <c r="G981" s="1"/>
      <c r="H981" s="1"/>
    </row>
    <row r="982" spans="1:8">
      <c r="A982" s="1"/>
      <c r="B982" s="1"/>
      <c r="C982" s="1"/>
      <c r="D982" s="1"/>
      <c r="E982" s="1"/>
      <c r="F982" s="1"/>
      <c r="G982" s="1"/>
      <c r="H982" s="1"/>
    </row>
    <row r="983" spans="1:8">
      <c r="A983" s="1"/>
      <c r="B983" s="1"/>
      <c r="C983" s="1"/>
      <c r="D983" s="1"/>
      <c r="E983" s="1"/>
      <c r="F983" s="1"/>
      <c r="G983" s="1"/>
      <c r="H983" s="1"/>
    </row>
    <row r="984" spans="1:8">
      <c r="A984" s="1"/>
      <c r="B984" s="1"/>
      <c r="C984" s="1"/>
      <c r="D984" s="1"/>
      <c r="E984" s="1"/>
      <c r="F984" s="1"/>
      <c r="G984" s="1"/>
      <c r="H984" s="1"/>
    </row>
    <row r="985" spans="1:8">
      <c r="A985" s="1"/>
      <c r="B985" s="1"/>
      <c r="C985" s="1"/>
      <c r="D985" s="1"/>
      <c r="E985" s="1"/>
      <c r="F985" s="1"/>
      <c r="G985" s="1"/>
      <c r="H985" s="1"/>
    </row>
    <row r="986" spans="1:8">
      <c r="A986" s="1"/>
      <c r="B986" s="1"/>
      <c r="C986" s="1"/>
      <c r="D986" s="1"/>
      <c r="E986" s="1"/>
      <c r="F986" s="1"/>
      <c r="G986" s="1"/>
      <c r="H986" s="1"/>
    </row>
    <row r="987" spans="1:8">
      <c r="A987" s="1"/>
      <c r="B987" s="1"/>
      <c r="C987" s="1"/>
      <c r="D987" s="1"/>
      <c r="E987" s="1"/>
      <c r="F987" s="1"/>
      <c r="G987" s="1"/>
      <c r="H987" s="1"/>
    </row>
    <row r="988" spans="1:8">
      <c r="A988" s="1"/>
      <c r="B988" s="1"/>
      <c r="C988" s="1"/>
      <c r="D988" s="1"/>
      <c r="E988" s="1"/>
      <c r="F988" s="1"/>
      <c r="G988" s="1"/>
      <c r="H988" s="1"/>
    </row>
    <row r="989" spans="1:8">
      <c r="A989" s="1"/>
      <c r="B989" s="1"/>
      <c r="C989" s="1"/>
      <c r="D989" s="1"/>
      <c r="E989" s="1"/>
      <c r="F989" s="1"/>
      <c r="G989" s="1"/>
      <c r="H989" s="1"/>
    </row>
    <row r="990" spans="1:8">
      <c r="A990" s="1"/>
      <c r="B990" s="1"/>
      <c r="C990" s="1"/>
      <c r="D990" s="1"/>
      <c r="E990" s="1"/>
      <c r="F990" s="1"/>
      <c r="G990" s="1"/>
      <c r="H990" s="1"/>
    </row>
    <row r="991" spans="1:8">
      <c r="A991" s="1"/>
      <c r="B991" s="1"/>
      <c r="C991" s="1"/>
      <c r="D991" s="1"/>
      <c r="E991" s="1"/>
      <c r="F991" s="1"/>
      <c r="G991" s="1"/>
      <c r="H991" s="1"/>
    </row>
    <row r="992" spans="1:8">
      <c r="A992" s="1"/>
      <c r="B992" s="1"/>
      <c r="C992" s="1"/>
      <c r="D992" s="1"/>
      <c r="E992" s="1"/>
      <c r="F992" s="1"/>
      <c r="G992" s="1"/>
      <c r="H992" s="1"/>
    </row>
    <row r="993" spans="1:8">
      <c r="A993" s="1"/>
      <c r="B993" s="1"/>
      <c r="C993" s="1"/>
      <c r="D993" s="1"/>
      <c r="E993" s="1"/>
      <c r="F993" s="1"/>
      <c r="G993" s="1"/>
      <c r="H993" s="1"/>
    </row>
    <row r="994" spans="1:8">
      <c r="A994" s="1"/>
      <c r="B994" s="1"/>
      <c r="C994" s="1"/>
      <c r="D994" s="1"/>
      <c r="E994" s="1"/>
      <c r="F994" s="1"/>
      <c r="G994" s="1"/>
      <c r="H994" s="1"/>
    </row>
    <row r="995" spans="1:8">
      <c r="A995" s="1"/>
      <c r="B995" s="1"/>
      <c r="C995" s="1"/>
      <c r="D995" s="1"/>
      <c r="E995" s="1"/>
      <c r="F995" s="1"/>
      <c r="G995" s="1"/>
      <c r="H995" s="1"/>
    </row>
    <row r="996" spans="1:8">
      <c r="A996" s="1"/>
      <c r="B996" s="1"/>
      <c r="C996" s="1"/>
      <c r="D996" s="1"/>
      <c r="E996" s="1"/>
      <c r="F996" s="1"/>
      <c r="G996" s="1"/>
      <c r="H996" s="1"/>
    </row>
    <row r="997" spans="1:8">
      <c r="A997" s="1"/>
      <c r="B997" s="1"/>
      <c r="C997" s="1"/>
      <c r="D997" s="1"/>
      <c r="E997" s="1"/>
      <c r="F997" s="1"/>
      <c r="G997" s="1"/>
      <c r="H997" s="1"/>
    </row>
    <row r="998" spans="1:8">
      <c r="A998" s="1"/>
      <c r="B998" s="1"/>
      <c r="C998" s="1"/>
      <c r="D998" s="1"/>
      <c r="E998" s="1"/>
      <c r="F998" s="1"/>
      <c r="G998" s="1"/>
      <c r="H998" s="1"/>
    </row>
    <row r="999" spans="1:8">
      <c r="A999" s="1"/>
      <c r="B999" s="1"/>
      <c r="C999" s="1"/>
      <c r="D999" s="1"/>
      <c r="E999" s="1"/>
      <c r="F999" s="1"/>
      <c r="G999" s="1"/>
      <c r="H999" s="1"/>
    </row>
    <row r="1000" spans="1:8">
      <c r="A1000" s="1"/>
      <c r="B1000" s="1"/>
      <c r="C1000" s="1"/>
      <c r="D1000" s="1"/>
      <c r="E1000" s="1"/>
      <c r="F1000" s="1"/>
      <c r="G1000" s="1"/>
      <c r="H1000" s="1"/>
    </row>
  </sheetData>
  <mergeCells count="1">
    <mergeCell ref="L2:M2"/>
  </mergeCells>
  <pageMargins left="0.7" right="0.7" top="0.75" bottom="0.75" header="0.3" footer="0.3"/>
  <pageSetup orientation="portrait"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12"/>
  <sheetViews>
    <sheetView zoomScale="65" zoomScaleNormal="78" workbookViewId="0">
      <selection activeCell="H71" sqref="H71"/>
    </sheetView>
  </sheetViews>
  <sheetFormatPr defaultRowHeight="14.5"/>
  <cols>
    <col min="1" max="1" width="12.6328125" customWidth="1"/>
    <col min="2" max="2" width="13.7265625" customWidth="1"/>
    <col min="3" max="3" width="10.90625" customWidth="1"/>
    <col min="4" max="4" width="13" customWidth="1"/>
    <col min="5" max="5" width="14.54296875" customWidth="1"/>
    <col min="6" max="6" width="16.08984375" customWidth="1"/>
    <col min="7" max="7" width="11.54296875" customWidth="1"/>
    <col min="8" max="8" width="17.453125" customWidth="1"/>
    <col min="9" max="9" width="19.1796875" customWidth="1"/>
    <col min="10" max="10" width="21.08984375" customWidth="1"/>
    <col min="11" max="11" width="16.90625" customWidth="1"/>
    <col min="12" max="12" width="20.7265625" customWidth="1"/>
    <col min="13" max="13" width="16.54296875" customWidth="1"/>
    <col min="14" max="16" width="16.6328125" customWidth="1"/>
    <col min="17" max="17" width="20.6328125" bestFit="1" customWidth="1"/>
  </cols>
  <sheetData>
    <row r="1" spans="1:13">
      <c r="A1" s="29" t="s">
        <v>29</v>
      </c>
      <c r="B1" s="29" t="s">
        <v>30</v>
      </c>
      <c r="C1" s="29" t="s">
        <v>19</v>
      </c>
      <c r="D1" s="29" t="s">
        <v>18</v>
      </c>
      <c r="E1" s="29" t="s">
        <v>17</v>
      </c>
      <c r="F1" s="29" t="s">
        <v>16</v>
      </c>
      <c r="G1" s="29" t="s">
        <v>15</v>
      </c>
      <c r="H1" s="29" t="s">
        <v>23</v>
      </c>
      <c r="I1" s="29" t="s">
        <v>24</v>
      </c>
      <c r="J1" s="29" t="s">
        <v>25</v>
      </c>
      <c r="K1" s="29" t="s">
        <v>26</v>
      </c>
      <c r="L1" s="29" t="s">
        <v>27</v>
      </c>
      <c r="M1" s="29" t="s">
        <v>12</v>
      </c>
    </row>
    <row r="2" spans="1:13">
      <c r="A2" s="5">
        <v>1</v>
      </c>
      <c r="B2" s="6">
        <v>40544</v>
      </c>
      <c r="C2" s="5">
        <v>0</v>
      </c>
      <c r="D2" s="5" t="b">
        <v>0</v>
      </c>
      <c r="E2" s="5">
        <v>6</v>
      </c>
      <c r="F2" s="5">
        <v>1</v>
      </c>
      <c r="G2" s="5">
        <v>0.24</v>
      </c>
      <c r="H2" s="5">
        <v>0.28789999999999999</v>
      </c>
      <c r="I2" s="5">
        <v>0.81</v>
      </c>
      <c r="J2" s="5">
        <v>0</v>
      </c>
      <c r="K2" s="5">
        <v>3</v>
      </c>
      <c r="L2" s="5">
        <v>13</v>
      </c>
      <c r="M2" s="5">
        <v>16</v>
      </c>
    </row>
    <row r="3" spans="1:13">
      <c r="A3" s="5">
        <v>2</v>
      </c>
      <c r="B3" s="6">
        <v>40544</v>
      </c>
      <c r="C3" s="5">
        <v>1</v>
      </c>
      <c r="D3" s="5" t="b">
        <v>0</v>
      </c>
      <c r="E3" s="5">
        <v>6</v>
      </c>
      <c r="F3" s="5">
        <v>1</v>
      </c>
      <c r="G3" s="5">
        <v>0.22</v>
      </c>
      <c r="H3" s="5">
        <v>0.2727</v>
      </c>
      <c r="I3" s="5">
        <v>0.8</v>
      </c>
      <c r="J3" s="5">
        <v>0</v>
      </c>
      <c r="K3" s="5">
        <v>8</v>
      </c>
      <c r="L3" s="5">
        <v>32</v>
      </c>
      <c r="M3" s="5">
        <v>40</v>
      </c>
    </row>
    <row r="4" spans="1:13">
      <c r="A4" s="5">
        <v>3</v>
      </c>
      <c r="B4" s="6">
        <v>40544</v>
      </c>
      <c r="C4" s="5">
        <v>2</v>
      </c>
      <c r="D4" s="5" t="b">
        <v>0</v>
      </c>
      <c r="E4" s="5">
        <v>6</v>
      </c>
      <c r="F4" s="5">
        <v>1</v>
      </c>
      <c r="G4" s="5">
        <v>0.22</v>
      </c>
      <c r="H4" s="5">
        <v>0.2727</v>
      </c>
      <c r="I4" s="5">
        <v>0.8</v>
      </c>
      <c r="J4" s="5">
        <v>0</v>
      </c>
      <c r="K4" s="5">
        <v>5</v>
      </c>
      <c r="L4" s="5">
        <v>27</v>
      </c>
      <c r="M4" s="5">
        <v>32</v>
      </c>
    </row>
    <row r="5" spans="1:13">
      <c r="A5" s="5">
        <v>4</v>
      </c>
      <c r="B5" s="6">
        <v>40544</v>
      </c>
      <c r="C5" s="5">
        <v>3</v>
      </c>
      <c r="D5" s="5" t="b">
        <v>0</v>
      </c>
      <c r="E5" s="5">
        <v>6</v>
      </c>
      <c r="F5" s="5">
        <v>1</v>
      </c>
      <c r="G5" s="5">
        <v>0.24</v>
      </c>
      <c r="H5" s="5">
        <v>0.28789999999999999</v>
      </c>
      <c r="I5" s="5">
        <v>0.75</v>
      </c>
      <c r="J5" s="5">
        <v>0</v>
      </c>
      <c r="K5" s="5">
        <v>3</v>
      </c>
      <c r="L5" s="5">
        <v>10</v>
      </c>
      <c r="M5" s="5">
        <v>13</v>
      </c>
    </row>
    <row r="6" spans="1:13">
      <c r="A6" s="5">
        <v>5</v>
      </c>
      <c r="B6" s="6">
        <v>40544</v>
      </c>
      <c r="C6" s="5">
        <v>4</v>
      </c>
      <c r="D6" s="5" t="b">
        <v>0</v>
      </c>
      <c r="E6" s="5">
        <v>6</v>
      </c>
      <c r="F6" s="5">
        <v>1</v>
      </c>
      <c r="G6" s="5">
        <v>0.24</v>
      </c>
      <c r="H6" s="5">
        <v>0.28789999999999999</v>
      </c>
      <c r="I6" s="5">
        <v>0.75</v>
      </c>
      <c r="J6" s="5">
        <v>0</v>
      </c>
      <c r="K6" s="5">
        <v>0</v>
      </c>
      <c r="L6" s="5">
        <v>1</v>
      </c>
      <c r="M6" s="5">
        <v>1</v>
      </c>
    </row>
    <row r="7" spans="1:13">
      <c r="A7" s="5">
        <v>6</v>
      </c>
      <c r="B7" s="6">
        <v>40544</v>
      </c>
      <c r="C7" s="5">
        <v>5</v>
      </c>
      <c r="D7" s="5" t="b">
        <v>0</v>
      </c>
      <c r="E7" s="5">
        <v>6</v>
      </c>
      <c r="F7" s="5">
        <v>2</v>
      </c>
      <c r="G7" s="5">
        <v>0.24</v>
      </c>
      <c r="H7" s="5">
        <v>0.2576</v>
      </c>
      <c r="I7" s="5">
        <v>0.75</v>
      </c>
      <c r="J7" s="5">
        <v>8.9599999999999999E-2</v>
      </c>
      <c r="K7" s="5">
        <v>0</v>
      </c>
      <c r="L7" s="5">
        <v>1</v>
      </c>
      <c r="M7" s="5">
        <v>1</v>
      </c>
    </row>
    <row r="8" spans="1:13">
      <c r="A8" s="5">
        <v>7</v>
      </c>
      <c r="B8" s="6">
        <v>40544</v>
      </c>
      <c r="C8" s="5">
        <v>6</v>
      </c>
      <c r="D8" s="5" t="b">
        <v>0</v>
      </c>
      <c r="E8" s="5">
        <v>6</v>
      </c>
      <c r="F8" s="5">
        <v>1</v>
      </c>
      <c r="G8" s="5">
        <v>0.22</v>
      </c>
      <c r="H8" s="5">
        <v>0.2727</v>
      </c>
      <c r="I8" s="5">
        <v>0.8</v>
      </c>
      <c r="J8" s="5">
        <v>0</v>
      </c>
      <c r="K8" s="5">
        <v>2</v>
      </c>
      <c r="L8" s="5">
        <v>0</v>
      </c>
      <c r="M8" s="5">
        <v>2</v>
      </c>
    </row>
    <row r="9" spans="1:13">
      <c r="A9" s="5">
        <v>8</v>
      </c>
      <c r="B9" s="6">
        <v>40544</v>
      </c>
      <c r="C9" s="5">
        <v>7</v>
      </c>
      <c r="D9" s="5" t="b">
        <v>0</v>
      </c>
      <c r="E9" s="5">
        <v>6</v>
      </c>
      <c r="F9" s="5">
        <v>1</v>
      </c>
      <c r="G9" s="5">
        <v>0.2</v>
      </c>
      <c r="H9" s="5">
        <v>0.2576</v>
      </c>
      <c r="I9" s="5">
        <v>0.86</v>
      </c>
      <c r="J9" s="5">
        <v>0</v>
      </c>
      <c r="K9" s="5">
        <v>1</v>
      </c>
      <c r="L9" s="5">
        <v>2</v>
      </c>
      <c r="M9" s="5">
        <v>3</v>
      </c>
    </row>
    <row r="10" spans="1:13">
      <c r="A10" s="5">
        <v>9</v>
      </c>
      <c r="B10" s="6">
        <v>40544</v>
      </c>
      <c r="C10" s="5">
        <v>8</v>
      </c>
      <c r="D10" s="5" t="b">
        <v>0</v>
      </c>
      <c r="E10" s="5">
        <v>6</v>
      </c>
      <c r="F10" s="5">
        <v>1</v>
      </c>
      <c r="G10" s="5">
        <v>0.24</v>
      </c>
      <c r="H10" s="42">
        <v>0</v>
      </c>
      <c r="I10" s="5">
        <v>0.75</v>
      </c>
      <c r="J10" s="5">
        <v>0</v>
      </c>
      <c r="K10" s="5">
        <v>1</v>
      </c>
      <c r="L10" s="5">
        <v>7</v>
      </c>
      <c r="M10" s="5">
        <v>8</v>
      </c>
    </row>
    <row r="11" spans="1:13">
      <c r="A11" s="5">
        <v>10</v>
      </c>
      <c r="B11" s="6">
        <v>40544</v>
      </c>
      <c r="C11" s="5">
        <v>9</v>
      </c>
      <c r="D11" s="5" t="b">
        <v>0</v>
      </c>
      <c r="E11" s="5">
        <v>6</v>
      </c>
      <c r="F11" s="5">
        <v>1</v>
      </c>
      <c r="G11" s="5">
        <v>0.32</v>
      </c>
      <c r="H11" s="5">
        <v>0.34849999999999998</v>
      </c>
      <c r="I11" s="5">
        <v>0.76</v>
      </c>
      <c r="J11" s="5">
        <v>0</v>
      </c>
      <c r="K11" s="5">
        <v>8</v>
      </c>
      <c r="L11" s="5">
        <v>6</v>
      </c>
      <c r="M11" s="5">
        <v>14</v>
      </c>
    </row>
    <row r="12" spans="1:13">
      <c r="A12" s="5">
        <v>11</v>
      </c>
      <c r="B12" s="6">
        <v>40544</v>
      </c>
      <c r="C12" s="5">
        <v>10</v>
      </c>
      <c r="D12" s="5" t="b">
        <v>0</v>
      </c>
      <c r="E12" s="5">
        <v>6</v>
      </c>
      <c r="F12" s="5">
        <v>1</v>
      </c>
      <c r="G12" s="5">
        <v>0.38</v>
      </c>
      <c r="H12" s="5">
        <v>0.39389999999999997</v>
      </c>
      <c r="I12" s="5">
        <v>0.76</v>
      </c>
      <c r="J12" s="5">
        <v>0.25369999999999998</v>
      </c>
      <c r="K12" s="5">
        <v>12</v>
      </c>
      <c r="L12" s="5">
        <v>24</v>
      </c>
      <c r="M12" s="5">
        <v>36</v>
      </c>
    </row>
    <row r="13" spans="1:13">
      <c r="A13" s="5">
        <v>12</v>
      </c>
      <c r="B13" s="6">
        <v>40544</v>
      </c>
      <c r="C13" s="5">
        <v>11</v>
      </c>
      <c r="D13" s="5" t="b">
        <v>0</v>
      </c>
      <c r="E13" s="5">
        <v>6</v>
      </c>
      <c r="F13" s="5">
        <v>1</v>
      </c>
      <c r="G13" s="5">
        <v>0.36</v>
      </c>
      <c r="H13" s="5">
        <v>0.33329999999999999</v>
      </c>
      <c r="I13" s="5">
        <v>0.81</v>
      </c>
      <c r="J13" s="5">
        <v>0.28360000000000002</v>
      </c>
      <c r="K13" s="5">
        <v>26</v>
      </c>
      <c r="L13" s="5">
        <v>30</v>
      </c>
      <c r="M13" s="5">
        <v>56</v>
      </c>
    </row>
    <row r="14" spans="1:13">
      <c r="A14" s="5">
        <v>13</v>
      </c>
      <c r="B14" s="6">
        <v>40544</v>
      </c>
      <c r="C14" s="5">
        <v>12</v>
      </c>
      <c r="D14" s="5" t="b">
        <v>0</v>
      </c>
      <c r="E14" s="5">
        <v>6</v>
      </c>
      <c r="F14" s="5">
        <v>1</v>
      </c>
      <c r="G14" s="5">
        <v>0.42</v>
      </c>
      <c r="H14" s="5">
        <v>0.42420000000000002</v>
      </c>
      <c r="I14" s="5">
        <v>0.77</v>
      </c>
      <c r="J14" s="5">
        <v>0.28360000000000002</v>
      </c>
      <c r="K14" s="5">
        <v>29</v>
      </c>
      <c r="L14" s="5">
        <v>55</v>
      </c>
      <c r="M14" s="5">
        <v>84</v>
      </c>
    </row>
    <row r="15" spans="1:13">
      <c r="A15" s="5">
        <v>14</v>
      </c>
      <c r="B15" s="6">
        <v>40544</v>
      </c>
      <c r="C15" s="5">
        <v>13</v>
      </c>
      <c r="D15" s="5" t="b">
        <v>0</v>
      </c>
      <c r="E15" s="5">
        <v>6</v>
      </c>
      <c r="F15" s="5">
        <v>2</v>
      </c>
      <c r="G15" s="5">
        <v>0.46</v>
      </c>
      <c r="H15" s="5">
        <v>0.45450000000000002</v>
      </c>
      <c r="I15" s="5">
        <v>0.72</v>
      </c>
      <c r="J15" s="5">
        <v>0.29849999999999999</v>
      </c>
      <c r="K15" s="5">
        <v>47</v>
      </c>
      <c r="L15" s="5">
        <v>47</v>
      </c>
      <c r="M15" s="5">
        <v>94</v>
      </c>
    </row>
    <row r="16" spans="1:13">
      <c r="A16" s="5">
        <v>15</v>
      </c>
      <c r="B16" s="6">
        <v>40544</v>
      </c>
      <c r="C16" s="5">
        <v>14</v>
      </c>
      <c r="D16" s="5" t="b">
        <v>0</v>
      </c>
      <c r="E16" s="5">
        <v>6</v>
      </c>
      <c r="F16" s="5">
        <v>2</v>
      </c>
      <c r="G16" s="5">
        <v>0.46</v>
      </c>
      <c r="H16" s="5">
        <v>0.45450000000000002</v>
      </c>
      <c r="I16" s="5">
        <v>0.72</v>
      </c>
      <c r="J16" s="5">
        <v>0.28360000000000002</v>
      </c>
      <c r="K16" s="5">
        <v>35</v>
      </c>
      <c r="L16" s="5">
        <v>71</v>
      </c>
      <c r="M16" s="5">
        <v>106</v>
      </c>
    </row>
    <row r="17" spans="1:13">
      <c r="A17" s="5">
        <v>16</v>
      </c>
      <c r="B17" s="6">
        <v>40544</v>
      </c>
      <c r="C17" s="5">
        <v>15</v>
      </c>
      <c r="D17" s="5" t="b">
        <v>0</v>
      </c>
      <c r="E17" s="5">
        <v>6</v>
      </c>
      <c r="F17" s="5">
        <v>2</v>
      </c>
      <c r="G17" s="5">
        <v>0.44</v>
      </c>
      <c r="H17" s="5">
        <v>0.43940000000000001</v>
      </c>
      <c r="I17" s="5">
        <v>0.77</v>
      </c>
      <c r="J17" s="5">
        <v>0.29849999999999999</v>
      </c>
      <c r="K17" s="5">
        <v>40</v>
      </c>
      <c r="L17" s="5">
        <v>70</v>
      </c>
      <c r="M17" s="5">
        <v>110</v>
      </c>
    </row>
    <row r="18" spans="1:13">
      <c r="A18" s="5">
        <v>17</v>
      </c>
      <c r="B18" s="6">
        <v>40544</v>
      </c>
      <c r="C18" s="5">
        <v>16</v>
      </c>
      <c r="D18" s="5" t="b">
        <v>0</v>
      </c>
      <c r="E18" s="5">
        <v>6</v>
      </c>
      <c r="F18" s="5">
        <v>2</v>
      </c>
      <c r="G18" s="5">
        <v>0.42</v>
      </c>
      <c r="H18" s="5">
        <v>0.42420000000000002</v>
      </c>
      <c r="I18" s="5">
        <v>0.82</v>
      </c>
      <c r="J18" s="5">
        <v>0.29849999999999999</v>
      </c>
      <c r="K18" s="5">
        <v>41</v>
      </c>
      <c r="L18" s="5">
        <v>52</v>
      </c>
      <c r="M18" s="5">
        <v>93</v>
      </c>
    </row>
    <row r="19" spans="1:13">
      <c r="A19" s="5">
        <v>18</v>
      </c>
      <c r="B19" s="6">
        <v>40544</v>
      </c>
      <c r="C19" s="5">
        <v>17</v>
      </c>
      <c r="D19" s="5" t="b">
        <v>0</v>
      </c>
      <c r="E19" s="5">
        <v>6</v>
      </c>
      <c r="F19" s="5">
        <v>2</v>
      </c>
      <c r="G19" s="5">
        <v>0.44</v>
      </c>
      <c r="H19" s="41">
        <v>0</v>
      </c>
      <c r="I19" s="5">
        <v>0.82</v>
      </c>
      <c r="J19" s="5">
        <v>0.28360000000000002</v>
      </c>
      <c r="K19" s="5">
        <v>15</v>
      </c>
      <c r="L19" s="5">
        <v>52</v>
      </c>
      <c r="M19" s="5">
        <v>67</v>
      </c>
    </row>
    <row r="20" spans="1:13">
      <c r="A20" s="5">
        <v>19</v>
      </c>
      <c r="B20" s="6">
        <v>40544</v>
      </c>
      <c r="C20" s="5">
        <v>18</v>
      </c>
      <c r="D20" s="5" t="b">
        <v>0</v>
      </c>
      <c r="E20" s="5">
        <v>6</v>
      </c>
      <c r="F20" s="5">
        <v>3</v>
      </c>
      <c r="G20" s="5">
        <v>0.42</v>
      </c>
      <c r="H20" s="5">
        <v>0.42420000000000002</v>
      </c>
      <c r="I20" s="5">
        <v>0.88</v>
      </c>
      <c r="J20" s="5">
        <v>0.25369999999999998</v>
      </c>
      <c r="K20" s="5">
        <v>9</v>
      </c>
      <c r="L20" s="5">
        <v>26</v>
      </c>
      <c r="M20" s="5">
        <v>35</v>
      </c>
    </row>
    <row r="21" spans="1:13">
      <c r="A21" s="5">
        <v>20</v>
      </c>
      <c r="B21" s="6">
        <v>40544</v>
      </c>
      <c r="C21" s="5">
        <v>19</v>
      </c>
      <c r="D21" s="5" t="b">
        <v>0</v>
      </c>
      <c r="E21" s="5">
        <v>6</v>
      </c>
      <c r="F21" s="5">
        <v>3</v>
      </c>
      <c r="G21" s="5">
        <v>0.42</v>
      </c>
      <c r="H21" s="5">
        <v>0.42420000000000002</v>
      </c>
      <c r="I21" s="5">
        <v>0.88</v>
      </c>
      <c r="J21" s="5">
        <v>0.25369999999999998</v>
      </c>
      <c r="K21" s="5">
        <v>6</v>
      </c>
      <c r="L21" s="5">
        <v>31</v>
      </c>
      <c r="M21" s="5">
        <v>37</v>
      </c>
    </row>
    <row r="22" spans="1:13">
      <c r="A22" s="5">
        <v>21</v>
      </c>
      <c r="B22" s="6">
        <v>40544</v>
      </c>
      <c r="C22" s="5">
        <v>20</v>
      </c>
      <c r="D22" s="5" t="b">
        <v>0</v>
      </c>
      <c r="E22" s="5">
        <v>6</v>
      </c>
      <c r="F22" s="5">
        <v>2</v>
      </c>
      <c r="G22" s="5">
        <v>0.4</v>
      </c>
      <c r="H22" s="5">
        <v>0.40910000000000002</v>
      </c>
      <c r="I22" s="5">
        <v>0.87</v>
      </c>
      <c r="J22" s="5">
        <v>0.25369999999999998</v>
      </c>
      <c r="K22" s="5">
        <v>11</v>
      </c>
      <c r="L22" s="5">
        <v>25</v>
      </c>
      <c r="M22" s="5">
        <v>36</v>
      </c>
    </row>
    <row r="23" spans="1:13">
      <c r="A23" s="5">
        <v>22</v>
      </c>
      <c r="B23" s="6">
        <v>40544</v>
      </c>
      <c r="C23" s="5">
        <v>21</v>
      </c>
      <c r="D23" s="5" t="b">
        <v>0</v>
      </c>
      <c r="E23" s="5">
        <v>6</v>
      </c>
      <c r="F23" s="5">
        <v>2</v>
      </c>
      <c r="G23" s="5">
        <v>0.4</v>
      </c>
      <c r="H23" s="5">
        <v>0.40910000000000002</v>
      </c>
      <c r="I23" s="5">
        <v>0.87</v>
      </c>
      <c r="J23" s="5">
        <v>0.19400000000000001</v>
      </c>
      <c r="K23" s="5">
        <v>3</v>
      </c>
      <c r="L23" s="5">
        <v>31</v>
      </c>
      <c r="M23" s="5">
        <v>34</v>
      </c>
    </row>
    <row r="24" spans="1:13">
      <c r="A24" s="5">
        <v>23</v>
      </c>
      <c r="B24" s="6">
        <v>40544</v>
      </c>
      <c r="C24" s="5">
        <v>22</v>
      </c>
      <c r="D24" s="5" t="b">
        <v>0</v>
      </c>
      <c r="E24" s="5">
        <v>6</v>
      </c>
      <c r="F24" s="5">
        <v>2</v>
      </c>
      <c r="G24" s="5">
        <v>0.4</v>
      </c>
      <c r="H24" s="5">
        <v>0.40910000000000002</v>
      </c>
      <c r="I24" s="5">
        <v>0.94</v>
      </c>
      <c r="J24" s="5">
        <v>0.22389999999999999</v>
      </c>
      <c r="K24" s="5">
        <v>11</v>
      </c>
      <c r="L24" s="5">
        <v>17</v>
      </c>
      <c r="M24" s="5">
        <v>28</v>
      </c>
    </row>
    <row r="25" spans="1:13">
      <c r="A25" s="5">
        <v>24</v>
      </c>
      <c r="B25" s="6">
        <v>40544</v>
      </c>
      <c r="C25" s="5">
        <v>23</v>
      </c>
      <c r="D25" s="5" t="b">
        <v>0</v>
      </c>
      <c r="E25" s="5">
        <v>6</v>
      </c>
      <c r="F25" s="5">
        <v>2</v>
      </c>
      <c r="G25" s="5">
        <v>0.46</v>
      </c>
      <c r="H25" s="41">
        <v>0</v>
      </c>
      <c r="I25" s="5">
        <v>0.88</v>
      </c>
      <c r="J25" s="5">
        <v>0.29849999999999999</v>
      </c>
      <c r="K25" s="5">
        <v>15</v>
      </c>
      <c r="L25" s="5">
        <v>24</v>
      </c>
      <c r="M25" s="5">
        <v>39</v>
      </c>
    </row>
    <row r="26" spans="1:13">
      <c r="A26" s="5">
        <v>25</v>
      </c>
      <c r="B26" s="6">
        <v>40545</v>
      </c>
      <c r="C26" s="5">
        <v>0</v>
      </c>
      <c r="D26" s="5" t="b">
        <v>0</v>
      </c>
      <c r="E26" s="5">
        <v>0</v>
      </c>
      <c r="F26" s="5">
        <v>2</v>
      </c>
      <c r="G26" s="5">
        <v>0.46</v>
      </c>
      <c r="H26" s="5">
        <v>0.45450000000000002</v>
      </c>
      <c r="I26" s="5">
        <v>0.88</v>
      </c>
      <c r="J26" s="5">
        <v>0.29849999999999999</v>
      </c>
      <c r="K26" s="5">
        <v>4</v>
      </c>
      <c r="L26" s="5">
        <v>13</v>
      </c>
      <c r="M26" s="5">
        <v>17</v>
      </c>
    </row>
    <row r="27" spans="1:13">
      <c r="A27" s="5">
        <v>26</v>
      </c>
      <c r="B27" s="6">
        <v>40545</v>
      </c>
      <c r="C27" s="5">
        <v>1</v>
      </c>
      <c r="D27" s="5" t="b">
        <v>0</v>
      </c>
      <c r="E27" s="5">
        <v>0</v>
      </c>
      <c r="F27" s="5">
        <v>2</v>
      </c>
      <c r="G27" s="5">
        <v>0.44</v>
      </c>
      <c r="H27" s="5">
        <v>0.43940000000000001</v>
      </c>
      <c r="I27" s="5">
        <v>0.94</v>
      </c>
      <c r="J27" s="5">
        <v>0.25369999999999998</v>
      </c>
      <c r="K27" s="5">
        <v>1</v>
      </c>
      <c r="L27" s="5">
        <v>16</v>
      </c>
      <c r="M27" s="5">
        <v>17</v>
      </c>
    </row>
    <row r="28" spans="1:13">
      <c r="A28" s="5">
        <v>27</v>
      </c>
      <c r="B28" s="6">
        <v>40545</v>
      </c>
      <c r="C28" s="5">
        <v>2</v>
      </c>
      <c r="D28" s="5" t="b">
        <v>0</v>
      </c>
      <c r="E28" s="5">
        <v>0</v>
      </c>
      <c r="F28" s="5">
        <v>2</v>
      </c>
      <c r="G28" s="5">
        <v>0.42</v>
      </c>
      <c r="H28" s="5">
        <v>0.42420000000000002</v>
      </c>
      <c r="I28" s="5">
        <v>1</v>
      </c>
      <c r="J28" s="5">
        <v>0.28360000000000002</v>
      </c>
      <c r="K28" s="5">
        <v>1</v>
      </c>
      <c r="L28" s="5">
        <v>8</v>
      </c>
      <c r="M28" s="5">
        <v>9</v>
      </c>
    </row>
    <row r="29" spans="1:13">
      <c r="A29" s="5">
        <v>28</v>
      </c>
      <c r="B29" s="6">
        <v>40545</v>
      </c>
      <c r="C29" s="5">
        <v>3</v>
      </c>
      <c r="D29" s="5" t="b">
        <v>0</v>
      </c>
      <c r="E29" s="5">
        <v>0</v>
      </c>
      <c r="F29" s="5">
        <v>2</v>
      </c>
      <c r="G29" s="5">
        <v>0.46</v>
      </c>
      <c r="H29" s="5">
        <v>0.45450000000000002</v>
      </c>
      <c r="I29" s="5">
        <v>0.94</v>
      </c>
      <c r="J29" s="5">
        <v>0.19400000000000001</v>
      </c>
      <c r="K29" s="5">
        <v>2</v>
      </c>
      <c r="L29" s="5">
        <v>4</v>
      </c>
      <c r="M29" s="5">
        <v>6</v>
      </c>
    </row>
    <row r="30" spans="1:13">
      <c r="A30" s="5">
        <v>29</v>
      </c>
      <c r="B30" s="6">
        <v>40545</v>
      </c>
      <c r="C30" s="5">
        <v>4</v>
      </c>
      <c r="D30" s="5" t="b">
        <v>0</v>
      </c>
      <c r="E30" s="5">
        <v>0</v>
      </c>
      <c r="F30" s="5">
        <v>2</v>
      </c>
      <c r="G30" s="5">
        <v>0.46</v>
      </c>
      <c r="H30" s="42">
        <v>0</v>
      </c>
      <c r="I30" s="5">
        <v>0.94</v>
      </c>
      <c r="J30" s="5">
        <v>0.19400000000000001</v>
      </c>
      <c r="K30" s="5">
        <v>2</v>
      </c>
      <c r="L30" s="5">
        <v>1</v>
      </c>
      <c r="M30" s="5">
        <v>3</v>
      </c>
    </row>
    <row r="31" spans="1:13">
      <c r="A31" s="5">
        <v>30</v>
      </c>
      <c r="B31" s="6">
        <v>40545</v>
      </c>
      <c r="C31" s="5">
        <v>6</v>
      </c>
      <c r="D31" s="5" t="b">
        <v>0</v>
      </c>
      <c r="E31" s="5">
        <v>0</v>
      </c>
      <c r="F31" s="5">
        <v>3</v>
      </c>
      <c r="G31" s="5">
        <v>0.42</v>
      </c>
      <c r="H31" s="5">
        <v>0.42420000000000002</v>
      </c>
      <c r="I31" s="5">
        <v>0.77</v>
      </c>
      <c r="J31" s="5">
        <v>0.29849999999999999</v>
      </c>
      <c r="K31" s="5">
        <v>0</v>
      </c>
      <c r="L31" s="5">
        <v>2</v>
      </c>
      <c r="M31" s="5">
        <v>2</v>
      </c>
    </row>
    <row r="32" spans="1:13">
      <c r="A32" s="5">
        <v>31</v>
      </c>
      <c r="B32" s="6">
        <v>40545</v>
      </c>
      <c r="C32" s="5">
        <v>7</v>
      </c>
      <c r="D32" s="5" t="b">
        <v>0</v>
      </c>
      <c r="E32" s="5">
        <v>0</v>
      </c>
      <c r="F32" s="5">
        <v>2</v>
      </c>
      <c r="G32" s="5">
        <v>0.4</v>
      </c>
      <c r="H32" s="5">
        <v>0.40910000000000002</v>
      </c>
      <c r="I32" s="5">
        <v>0.76</v>
      </c>
      <c r="J32" s="5">
        <v>0.19400000000000001</v>
      </c>
      <c r="K32" s="5">
        <v>0</v>
      </c>
      <c r="L32" s="5">
        <v>1</v>
      </c>
      <c r="M32" s="5">
        <v>1</v>
      </c>
    </row>
    <row r="33" spans="1:13">
      <c r="A33" s="5">
        <v>32</v>
      </c>
      <c r="B33" s="6">
        <v>40545</v>
      </c>
      <c r="C33" s="5">
        <v>8</v>
      </c>
      <c r="D33" s="5" t="b">
        <v>0</v>
      </c>
      <c r="E33" s="5">
        <v>0</v>
      </c>
      <c r="F33" s="5">
        <v>3</v>
      </c>
      <c r="G33" s="5">
        <v>0.4</v>
      </c>
      <c r="H33" s="5">
        <v>0.40910000000000002</v>
      </c>
      <c r="I33" s="5">
        <v>0.71</v>
      </c>
      <c r="J33" s="5">
        <v>0.22389999999999999</v>
      </c>
      <c r="K33" s="5">
        <v>0</v>
      </c>
      <c r="L33" s="5">
        <v>8</v>
      </c>
      <c r="M33" s="5">
        <v>8</v>
      </c>
    </row>
    <row r="34" spans="1:13">
      <c r="A34" s="5">
        <v>33</v>
      </c>
      <c r="B34" s="6">
        <v>40545</v>
      </c>
      <c r="C34" s="5">
        <v>9</v>
      </c>
      <c r="D34" s="5" t="b">
        <v>0</v>
      </c>
      <c r="E34" s="5">
        <v>0</v>
      </c>
      <c r="F34" s="5">
        <v>2</v>
      </c>
      <c r="G34" s="5">
        <v>0.38</v>
      </c>
      <c r="H34" s="42">
        <v>0</v>
      </c>
      <c r="I34" s="5">
        <v>0.76</v>
      </c>
      <c r="J34" s="5">
        <v>0.22389999999999999</v>
      </c>
      <c r="K34" s="5">
        <v>1</v>
      </c>
      <c r="L34" s="5">
        <v>19</v>
      </c>
      <c r="M34" s="5">
        <v>20</v>
      </c>
    </row>
    <row r="35" spans="1:13">
      <c r="A35" s="5">
        <v>34</v>
      </c>
      <c r="B35" s="6">
        <v>40545</v>
      </c>
      <c r="C35" s="5">
        <v>10</v>
      </c>
      <c r="D35" s="5" t="b">
        <v>0</v>
      </c>
      <c r="E35" s="5">
        <v>0</v>
      </c>
      <c r="F35" s="5">
        <v>2</v>
      </c>
      <c r="G35" s="5">
        <v>0.36</v>
      </c>
      <c r="H35" s="5">
        <v>0.34849999999999998</v>
      </c>
      <c r="I35" s="5">
        <v>0.81</v>
      </c>
      <c r="J35" s="5">
        <v>0.22389999999999999</v>
      </c>
      <c r="K35" s="5">
        <v>7</v>
      </c>
      <c r="L35" s="5">
        <v>46</v>
      </c>
      <c r="M35" s="5">
        <v>53</v>
      </c>
    </row>
    <row r="36" spans="1:13">
      <c r="A36" s="5">
        <v>35</v>
      </c>
      <c r="B36" s="6">
        <v>40545</v>
      </c>
      <c r="C36" s="5">
        <v>11</v>
      </c>
      <c r="D36" s="5" t="b">
        <v>0</v>
      </c>
      <c r="E36" s="5">
        <v>0</v>
      </c>
      <c r="F36" s="5">
        <v>2</v>
      </c>
      <c r="G36" s="5">
        <v>0.36</v>
      </c>
      <c r="H36" s="5">
        <v>0.33329999999999999</v>
      </c>
      <c r="I36" s="5">
        <v>0.71</v>
      </c>
      <c r="J36" s="5">
        <v>0.25369999999999998</v>
      </c>
      <c r="K36" s="5">
        <v>16</v>
      </c>
      <c r="L36" s="5">
        <v>54</v>
      </c>
      <c r="M36" s="5">
        <v>70</v>
      </c>
    </row>
    <row r="37" spans="1:13">
      <c r="A37" s="5">
        <v>36</v>
      </c>
      <c r="B37" s="6">
        <v>40545</v>
      </c>
      <c r="C37" s="5">
        <v>12</v>
      </c>
      <c r="D37" s="5" t="b">
        <v>0</v>
      </c>
      <c r="E37" s="5">
        <v>0</v>
      </c>
      <c r="F37" s="5">
        <v>2</v>
      </c>
      <c r="G37" s="5">
        <v>0.36</v>
      </c>
      <c r="H37" s="5">
        <v>0.33329999999999999</v>
      </c>
      <c r="I37" s="5">
        <v>0.66</v>
      </c>
      <c r="J37" s="5">
        <v>0.29849999999999999</v>
      </c>
      <c r="K37" s="5">
        <v>20</v>
      </c>
      <c r="L37" s="5">
        <v>73</v>
      </c>
      <c r="M37" s="5">
        <v>93</v>
      </c>
    </row>
    <row r="38" spans="1:13">
      <c r="A38" s="5">
        <v>37</v>
      </c>
      <c r="B38" s="6">
        <v>40545</v>
      </c>
      <c r="C38" s="5">
        <v>13</v>
      </c>
      <c r="D38" s="5" t="b">
        <v>0</v>
      </c>
      <c r="E38" s="5">
        <v>0</v>
      </c>
      <c r="F38" s="5">
        <v>2</v>
      </c>
      <c r="G38" s="5">
        <v>0.36</v>
      </c>
      <c r="H38" s="5">
        <v>0.34849999999999998</v>
      </c>
      <c r="I38" s="5">
        <v>0.66</v>
      </c>
      <c r="J38" s="5">
        <v>0.1343</v>
      </c>
      <c r="K38" s="5">
        <v>11</v>
      </c>
      <c r="L38" s="5">
        <v>64</v>
      </c>
      <c r="M38" s="5">
        <v>75</v>
      </c>
    </row>
    <row r="39" spans="1:13">
      <c r="A39" s="5">
        <v>38</v>
      </c>
      <c r="B39" s="6">
        <v>40545</v>
      </c>
      <c r="C39" s="5">
        <v>14</v>
      </c>
      <c r="D39" s="5" t="b">
        <v>0</v>
      </c>
      <c r="E39" s="5">
        <v>0</v>
      </c>
      <c r="F39" s="5">
        <v>3</v>
      </c>
      <c r="G39" s="5">
        <v>0.36</v>
      </c>
      <c r="H39" s="41">
        <v>0</v>
      </c>
      <c r="I39" s="5">
        <v>0.76</v>
      </c>
      <c r="J39" s="5">
        <v>0.19400000000000001</v>
      </c>
      <c r="K39" s="5">
        <v>4</v>
      </c>
      <c r="L39" s="5">
        <v>55</v>
      </c>
      <c r="M39" s="5">
        <v>59</v>
      </c>
    </row>
    <row r="40" spans="1:13">
      <c r="A40" s="5">
        <v>39</v>
      </c>
      <c r="B40" s="6">
        <v>40545</v>
      </c>
      <c r="C40" s="5">
        <v>15</v>
      </c>
      <c r="D40" s="5" t="b">
        <v>0</v>
      </c>
      <c r="E40" s="5">
        <v>0</v>
      </c>
      <c r="F40" s="5">
        <v>3</v>
      </c>
      <c r="G40" s="5">
        <v>0.34</v>
      </c>
      <c r="H40" s="5">
        <v>0.33329999999999999</v>
      </c>
      <c r="I40" s="5">
        <v>0.81</v>
      </c>
      <c r="J40" s="5">
        <v>0.16420000000000001</v>
      </c>
      <c r="K40" s="5">
        <v>19</v>
      </c>
      <c r="L40" s="5">
        <v>55</v>
      </c>
      <c r="M40" s="5">
        <v>74</v>
      </c>
    </row>
    <row r="41" spans="1:13">
      <c r="A41" s="5">
        <v>40</v>
      </c>
      <c r="B41" s="6">
        <v>40545</v>
      </c>
      <c r="C41" s="5">
        <v>16</v>
      </c>
      <c r="D41" s="5" t="b">
        <v>0</v>
      </c>
      <c r="E41" s="5">
        <v>0</v>
      </c>
      <c r="F41" s="5">
        <v>3</v>
      </c>
      <c r="G41" s="5">
        <v>0.34</v>
      </c>
      <c r="H41" s="5">
        <v>0.33329999999999999</v>
      </c>
      <c r="I41" s="5">
        <v>0.71</v>
      </c>
      <c r="J41" s="5">
        <v>0.16420000000000001</v>
      </c>
      <c r="K41" s="5">
        <v>9</v>
      </c>
      <c r="L41" s="5">
        <v>67</v>
      </c>
      <c r="M41" s="5">
        <v>76</v>
      </c>
    </row>
    <row r="42" spans="1:13">
      <c r="A42" s="5">
        <v>41</v>
      </c>
      <c r="B42" s="6">
        <v>40545</v>
      </c>
      <c r="C42" s="5">
        <v>17</v>
      </c>
      <c r="D42" s="5" t="b">
        <v>0</v>
      </c>
      <c r="E42" s="5">
        <v>0</v>
      </c>
      <c r="F42" s="5">
        <v>1</v>
      </c>
      <c r="G42" s="5">
        <v>0.34</v>
      </c>
      <c r="H42" s="5">
        <v>0.33329999999999999</v>
      </c>
      <c r="I42" s="5">
        <v>0.56999999999999995</v>
      </c>
      <c r="J42" s="5">
        <v>0.19400000000000001</v>
      </c>
      <c r="K42" s="5">
        <v>7</v>
      </c>
      <c r="L42" s="5">
        <v>58</v>
      </c>
      <c r="M42" s="5">
        <v>65</v>
      </c>
    </row>
    <row r="43" spans="1:13">
      <c r="A43" s="5">
        <v>42</v>
      </c>
      <c r="B43" s="6">
        <v>40545</v>
      </c>
      <c r="C43" s="5">
        <v>18</v>
      </c>
      <c r="D43" s="5" t="b">
        <v>0</v>
      </c>
      <c r="E43" s="5">
        <v>0</v>
      </c>
      <c r="F43" s="5">
        <v>2</v>
      </c>
      <c r="G43" s="5">
        <v>0.36</v>
      </c>
      <c r="H43" s="5">
        <v>0.33329999999999999</v>
      </c>
      <c r="I43" s="5">
        <v>0.46</v>
      </c>
      <c r="J43" s="5">
        <v>0.32840000000000003</v>
      </c>
      <c r="K43" s="5">
        <v>10</v>
      </c>
      <c r="L43" s="5">
        <v>43</v>
      </c>
      <c r="M43" s="5">
        <v>53</v>
      </c>
    </row>
    <row r="44" spans="1:13">
      <c r="A44" s="5">
        <v>43</v>
      </c>
      <c r="B44" s="6">
        <v>40545</v>
      </c>
      <c r="C44" s="5">
        <v>19</v>
      </c>
      <c r="D44" s="5" t="b">
        <v>0</v>
      </c>
      <c r="E44" s="5">
        <v>0</v>
      </c>
      <c r="F44" s="5">
        <v>1</v>
      </c>
      <c r="G44" s="5">
        <v>0.32</v>
      </c>
      <c r="H44" s="5">
        <v>0.28789999999999999</v>
      </c>
      <c r="I44" s="5">
        <v>0.42</v>
      </c>
      <c r="J44" s="5">
        <v>0.44779999999999998</v>
      </c>
      <c r="K44" s="5">
        <v>1</v>
      </c>
      <c r="L44" s="5">
        <v>29</v>
      </c>
      <c r="M44" s="5">
        <v>30</v>
      </c>
    </row>
    <row r="45" spans="1:13">
      <c r="A45" s="5">
        <v>44</v>
      </c>
      <c r="B45" s="6">
        <v>40545</v>
      </c>
      <c r="C45" s="5">
        <v>20</v>
      </c>
      <c r="D45" s="5" t="b">
        <v>0</v>
      </c>
      <c r="E45" s="5">
        <v>0</v>
      </c>
      <c r="F45" s="5">
        <v>1</v>
      </c>
      <c r="G45" s="5">
        <v>0.3</v>
      </c>
      <c r="H45" s="41">
        <v>0</v>
      </c>
      <c r="I45" s="5">
        <v>0.39</v>
      </c>
      <c r="J45" s="5">
        <v>0.35820000000000002</v>
      </c>
      <c r="K45" s="5">
        <v>5</v>
      </c>
      <c r="L45" s="5">
        <v>17</v>
      </c>
      <c r="M45" s="5">
        <v>22</v>
      </c>
    </row>
    <row r="46" spans="1:13">
      <c r="A46" s="5">
        <v>45</v>
      </c>
      <c r="B46" s="6">
        <v>40545</v>
      </c>
      <c r="C46" s="5">
        <v>21</v>
      </c>
      <c r="D46" s="5" t="b">
        <v>0</v>
      </c>
      <c r="E46" s="5">
        <v>0</v>
      </c>
      <c r="F46" s="5">
        <v>1</v>
      </c>
      <c r="G46" s="5">
        <v>0.26</v>
      </c>
      <c r="H46" s="5">
        <v>0.2273</v>
      </c>
      <c r="I46" s="5">
        <v>0.44</v>
      </c>
      <c r="J46" s="5">
        <v>0.32840000000000003</v>
      </c>
      <c r="K46" s="5">
        <v>11</v>
      </c>
      <c r="L46" s="5">
        <v>20</v>
      </c>
      <c r="M46" s="5">
        <v>31</v>
      </c>
    </row>
    <row r="47" spans="1:13">
      <c r="A47" s="5">
        <v>46</v>
      </c>
      <c r="B47" s="6">
        <v>40545</v>
      </c>
      <c r="C47" s="5">
        <v>22</v>
      </c>
      <c r="D47" s="5" t="b">
        <v>0</v>
      </c>
      <c r="E47" s="5">
        <v>0</v>
      </c>
      <c r="F47" s="5">
        <v>1</v>
      </c>
      <c r="G47" s="5">
        <v>0.24</v>
      </c>
      <c r="H47" s="5">
        <v>0.21210000000000001</v>
      </c>
      <c r="I47" s="5">
        <v>0.44</v>
      </c>
      <c r="J47" s="5">
        <v>0.29849999999999999</v>
      </c>
      <c r="K47" s="5">
        <v>0</v>
      </c>
      <c r="L47" s="5">
        <v>9</v>
      </c>
      <c r="M47" s="5">
        <v>9</v>
      </c>
    </row>
    <row r="48" spans="1:13">
      <c r="A48" s="5">
        <v>47</v>
      </c>
      <c r="B48" s="6">
        <v>40545</v>
      </c>
      <c r="C48" s="5">
        <v>23</v>
      </c>
      <c r="D48" s="5" t="b">
        <v>0</v>
      </c>
      <c r="E48" s="5">
        <v>0</v>
      </c>
      <c r="F48" s="5">
        <v>1</v>
      </c>
      <c r="G48" s="5">
        <v>0.22</v>
      </c>
      <c r="H48" s="5">
        <v>0.2273</v>
      </c>
      <c r="I48" s="5">
        <v>0.47</v>
      </c>
      <c r="J48" s="5">
        <v>0.16420000000000001</v>
      </c>
      <c r="K48" s="5">
        <v>0</v>
      </c>
      <c r="L48" s="5">
        <v>8</v>
      </c>
      <c r="M48" s="5">
        <v>8</v>
      </c>
    </row>
    <row r="49" spans="1:13">
      <c r="A49" s="5">
        <v>48</v>
      </c>
      <c r="B49" s="6">
        <v>40546</v>
      </c>
      <c r="C49" s="5">
        <v>0</v>
      </c>
      <c r="D49" s="5" t="b">
        <v>0</v>
      </c>
      <c r="E49" s="5">
        <v>1</v>
      </c>
      <c r="F49" s="5">
        <v>1</v>
      </c>
      <c r="G49" s="5">
        <v>0.22</v>
      </c>
      <c r="H49" s="5">
        <v>0.19700000000000001</v>
      </c>
      <c r="I49" s="5">
        <v>0.44</v>
      </c>
      <c r="J49" s="5">
        <v>0.35820000000000002</v>
      </c>
      <c r="K49" s="5">
        <v>0</v>
      </c>
      <c r="L49" s="5">
        <v>5</v>
      </c>
      <c r="M49" s="5">
        <v>5</v>
      </c>
    </row>
    <row r="50" spans="1:13">
      <c r="A50" s="5">
        <v>49</v>
      </c>
      <c r="B50" s="6">
        <v>40546</v>
      </c>
      <c r="C50" s="5">
        <v>1</v>
      </c>
      <c r="D50" s="5" t="b">
        <v>0</v>
      </c>
      <c r="E50" s="5">
        <v>1</v>
      </c>
      <c r="F50" s="5">
        <v>1</v>
      </c>
      <c r="G50" s="5">
        <v>0.2</v>
      </c>
      <c r="H50" s="42">
        <v>0</v>
      </c>
      <c r="I50" s="5">
        <v>0.44</v>
      </c>
      <c r="J50" s="5">
        <v>0.41789999999999999</v>
      </c>
      <c r="K50" s="5">
        <v>0</v>
      </c>
      <c r="L50" s="5">
        <v>2</v>
      </c>
      <c r="M50" s="5">
        <v>2</v>
      </c>
    </row>
    <row r="51" spans="1:13">
      <c r="A51" s="5">
        <v>50</v>
      </c>
      <c r="B51" s="6">
        <v>40546</v>
      </c>
      <c r="C51" s="5">
        <v>4</v>
      </c>
      <c r="D51" s="5" t="b">
        <v>0</v>
      </c>
      <c r="E51" s="5">
        <v>1</v>
      </c>
      <c r="F51" s="5">
        <v>1</v>
      </c>
      <c r="G51" s="5">
        <v>0.16</v>
      </c>
      <c r="H51" s="5">
        <v>0.13639999999999999</v>
      </c>
      <c r="I51" s="5">
        <v>0.47</v>
      </c>
      <c r="J51" s="5">
        <v>0.3881</v>
      </c>
      <c r="K51" s="5">
        <v>0</v>
      </c>
      <c r="L51" s="5">
        <v>1</v>
      </c>
      <c r="M51" s="5">
        <v>1</v>
      </c>
    </row>
    <row r="52" spans="1:13">
      <c r="A52" s="5">
        <v>51</v>
      </c>
      <c r="B52" s="6">
        <v>40546</v>
      </c>
      <c r="C52" s="5">
        <v>5</v>
      </c>
      <c r="D52" s="5" t="b">
        <v>0</v>
      </c>
      <c r="E52" s="5">
        <v>1</v>
      </c>
      <c r="F52" s="5">
        <v>1</v>
      </c>
      <c r="G52" s="5">
        <v>0.16</v>
      </c>
      <c r="H52" s="5">
        <v>0.13639999999999999</v>
      </c>
      <c r="I52" s="5">
        <v>0.47</v>
      </c>
      <c r="J52" s="5">
        <v>0.28360000000000002</v>
      </c>
      <c r="K52" s="5">
        <v>0</v>
      </c>
      <c r="L52" s="5">
        <v>3</v>
      </c>
      <c r="M52" s="5">
        <v>3</v>
      </c>
    </row>
    <row r="53" spans="1:13">
      <c r="A53" s="5">
        <v>52</v>
      </c>
      <c r="B53" s="6">
        <v>40546</v>
      </c>
      <c r="C53" s="5">
        <v>6</v>
      </c>
      <c r="D53" s="5" t="b">
        <v>0</v>
      </c>
      <c r="E53" s="5">
        <v>1</v>
      </c>
      <c r="F53" s="5">
        <v>1</v>
      </c>
      <c r="G53" s="5">
        <v>0.14000000000000001</v>
      </c>
      <c r="H53" s="5">
        <v>0.1061</v>
      </c>
      <c r="I53" s="5">
        <v>0.5</v>
      </c>
      <c r="J53" s="5">
        <v>0.3881</v>
      </c>
      <c r="K53" s="5">
        <v>0</v>
      </c>
      <c r="L53" s="5">
        <v>30</v>
      </c>
      <c r="M53" s="5">
        <v>30</v>
      </c>
    </row>
    <row r="54" spans="1:13">
      <c r="A54" s="5">
        <v>53</v>
      </c>
      <c r="B54" s="6">
        <v>40546</v>
      </c>
      <c r="C54" s="5">
        <v>7</v>
      </c>
      <c r="D54" s="5" t="b">
        <v>0</v>
      </c>
      <c r="E54" s="5">
        <v>1</v>
      </c>
      <c r="F54" s="5">
        <v>1</v>
      </c>
      <c r="G54" s="5">
        <v>0.14000000000000001</v>
      </c>
      <c r="H54" s="5">
        <v>0.13639999999999999</v>
      </c>
      <c r="I54" s="5">
        <v>0.5</v>
      </c>
      <c r="J54" s="5">
        <v>0.19400000000000001</v>
      </c>
      <c r="K54" s="5">
        <v>1</v>
      </c>
      <c r="L54" s="5">
        <v>63</v>
      </c>
      <c r="M54" s="5">
        <v>64</v>
      </c>
    </row>
    <row r="55" spans="1:13">
      <c r="A55" s="5">
        <v>54</v>
      </c>
      <c r="B55" s="6">
        <v>40546</v>
      </c>
      <c r="C55" s="5">
        <v>8</v>
      </c>
      <c r="D55" s="5" t="b">
        <v>0</v>
      </c>
      <c r="E55" s="5">
        <v>1</v>
      </c>
      <c r="F55" s="5">
        <v>1</v>
      </c>
      <c r="G55" s="5">
        <v>0.14000000000000001</v>
      </c>
      <c r="H55" s="5">
        <v>0.1212</v>
      </c>
      <c r="I55" s="5">
        <v>0.5</v>
      </c>
      <c r="J55" s="5">
        <v>0.28360000000000002</v>
      </c>
      <c r="K55" s="5">
        <v>1</v>
      </c>
      <c r="L55" s="5">
        <v>153</v>
      </c>
      <c r="M55" s="5">
        <v>154</v>
      </c>
    </row>
    <row r="56" spans="1:13">
      <c r="A56" s="5">
        <v>55</v>
      </c>
      <c r="B56" s="6">
        <v>40546</v>
      </c>
      <c r="C56" s="5">
        <v>9</v>
      </c>
      <c r="D56" s="5" t="b">
        <v>0</v>
      </c>
      <c r="E56" s="5">
        <v>1</v>
      </c>
      <c r="F56" s="5">
        <v>1</v>
      </c>
      <c r="G56" s="5">
        <v>0.16</v>
      </c>
      <c r="H56" s="5">
        <v>0.13639999999999999</v>
      </c>
      <c r="I56" s="5">
        <v>0.43</v>
      </c>
      <c r="J56" s="5">
        <v>0.3881</v>
      </c>
      <c r="K56" s="5">
        <v>7</v>
      </c>
      <c r="L56" s="5">
        <v>81</v>
      </c>
      <c r="M56" s="5">
        <v>88</v>
      </c>
    </row>
    <row r="57" spans="1:13">
      <c r="A57" s="5">
        <v>56</v>
      </c>
      <c r="B57" s="6">
        <v>40546</v>
      </c>
      <c r="C57" s="5">
        <v>10</v>
      </c>
      <c r="D57" s="5" t="b">
        <v>0</v>
      </c>
      <c r="E57" s="5">
        <v>1</v>
      </c>
      <c r="F57" s="5">
        <v>1</v>
      </c>
      <c r="G57" s="5">
        <v>0.18</v>
      </c>
      <c r="H57" s="5">
        <v>0.16669999999999999</v>
      </c>
      <c r="I57" s="5">
        <v>0.43</v>
      </c>
      <c r="J57" s="5">
        <v>0.25369999999999998</v>
      </c>
      <c r="K57" s="5">
        <v>11</v>
      </c>
      <c r="L57" s="5">
        <v>33</v>
      </c>
      <c r="M57" s="5">
        <v>44</v>
      </c>
    </row>
    <row r="58" spans="1:13">
      <c r="A58" s="5">
        <v>57</v>
      </c>
      <c r="B58" s="6">
        <v>40546</v>
      </c>
      <c r="C58" s="5">
        <v>11</v>
      </c>
      <c r="D58" s="5" t="b">
        <v>0</v>
      </c>
      <c r="E58" s="5">
        <v>1</v>
      </c>
      <c r="F58" s="5">
        <v>1</v>
      </c>
      <c r="G58" s="5">
        <v>0.2</v>
      </c>
      <c r="H58" s="5">
        <v>0.18179999999999999</v>
      </c>
      <c r="I58" s="5">
        <v>0.4</v>
      </c>
      <c r="J58" s="5">
        <v>0.32840000000000003</v>
      </c>
      <c r="K58" s="5">
        <v>10</v>
      </c>
      <c r="L58" s="5">
        <v>41</v>
      </c>
      <c r="M58" s="5">
        <v>51</v>
      </c>
    </row>
    <row r="59" spans="1:13">
      <c r="A59" s="5">
        <v>58</v>
      </c>
      <c r="B59" s="6">
        <v>40546</v>
      </c>
      <c r="C59" s="5">
        <v>12</v>
      </c>
      <c r="D59" s="5" t="b">
        <v>0</v>
      </c>
      <c r="E59" s="5">
        <v>1</v>
      </c>
      <c r="F59" s="5">
        <v>1</v>
      </c>
      <c r="G59" s="5">
        <v>0.22</v>
      </c>
      <c r="H59" s="5">
        <v>0.21210000000000001</v>
      </c>
      <c r="I59" s="5">
        <v>0.35</v>
      </c>
      <c r="J59" s="5">
        <v>0.29849999999999999</v>
      </c>
      <c r="K59" s="5">
        <v>13</v>
      </c>
      <c r="L59" s="5">
        <v>48</v>
      </c>
      <c r="M59" s="5">
        <v>61</v>
      </c>
    </row>
    <row r="60" spans="1:13">
      <c r="A60" s="5">
        <v>59</v>
      </c>
      <c r="B60" s="6">
        <v>40546</v>
      </c>
      <c r="C60" s="5">
        <v>13</v>
      </c>
      <c r="D60" s="5" t="b">
        <v>0</v>
      </c>
      <c r="E60" s="5">
        <v>1</v>
      </c>
      <c r="F60" s="5">
        <v>1</v>
      </c>
      <c r="G60" s="5">
        <v>0.24</v>
      </c>
      <c r="H60" s="42">
        <v>0</v>
      </c>
      <c r="I60" s="5">
        <v>0.35</v>
      </c>
      <c r="J60" s="5">
        <v>0.28360000000000002</v>
      </c>
      <c r="K60" s="5">
        <v>8</v>
      </c>
      <c r="L60" s="5">
        <v>53</v>
      </c>
      <c r="M60" s="5">
        <v>61</v>
      </c>
    </row>
    <row r="61" spans="1:13">
      <c r="A61" s="5">
        <v>60</v>
      </c>
      <c r="B61" s="6">
        <v>40546</v>
      </c>
      <c r="C61" s="5">
        <v>14</v>
      </c>
      <c r="D61" s="5" t="b">
        <v>0</v>
      </c>
      <c r="E61" s="5">
        <v>1</v>
      </c>
      <c r="F61" s="5">
        <v>1</v>
      </c>
      <c r="G61" s="5">
        <v>0.26</v>
      </c>
      <c r="H61" s="5">
        <v>0.2424</v>
      </c>
      <c r="I61" s="5">
        <v>0.3</v>
      </c>
      <c r="J61" s="5">
        <v>0.28360000000000002</v>
      </c>
      <c r="K61" s="5">
        <v>11</v>
      </c>
      <c r="L61" s="5">
        <v>66</v>
      </c>
      <c r="M61" s="5">
        <v>77</v>
      </c>
    </row>
    <row r="62" spans="1:13">
      <c r="A62" s="5">
        <v>61</v>
      </c>
      <c r="B62" s="6">
        <v>40546</v>
      </c>
      <c r="C62" s="5">
        <v>15</v>
      </c>
      <c r="D62" s="5" t="b">
        <v>0</v>
      </c>
      <c r="E62" s="5">
        <v>1</v>
      </c>
      <c r="F62" s="5">
        <v>1</v>
      </c>
      <c r="G62" s="5">
        <v>0.26</v>
      </c>
      <c r="H62" s="5">
        <v>0.2424</v>
      </c>
      <c r="I62" s="5">
        <v>0.3</v>
      </c>
      <c r="J62" s="5">
        <v>0.25369999999999998</v>
      </c>
      <c r="K62" s="5">
        <v>14</v>
      </c>
      <c r="L62" s="5">
        <v>58</v>
      </c>
      <c r="M62" s="5">
        <v>72</v>
      </c>
    </row>
    <row r="63" spans="1:13">
      <c r="A63" s="5">
        <v>62</v>
      </c>
      <c r="B63" s="6">
        <v>40546</v>
      </c>
      <c r="C63" s="5">
        <v>16</v>
      </c>
      <c r="D63" s="5" t="b">
        <v>0</v>
      </c>
      <c r="E63" s="5">
        <v>1</v>
      </c>
      <c r="F63" s="5">
        <v>1</v>
      </c>
      <c r="G63" s="5">
        <v>0.26</v>
      </c>
      <c r="H63" s="5">
        <v>0.2424</v>
      </c>
      <c r="I63" s="5">
        <v>0.3</v>
      </c>
      <c r="J63" s="5">
        <v>0.25369999999999998</v>
      </c>
      <c r="K63" s="5">
        <v>9</v>
      </c>
      <c r="L63" s="5">
        <v>67</v>
      </c>
      <c r="M63" s="5">
        <v>76</v>
      </c>
    </row>
    <row r="64" spans="1:13">
      <c r="A64" s="5">
        <v>63</v>
      </c>
      <c r="B64" s="6">
        <v>40546</v>
      </c>
      <c r="C64" s="5">
        <v>17</v>
      </c>
      <c r="D64" s="5" t="b">
        <v>0</v>
      </c>
      <c r="E64" s="5">
        <v>1</v>
      </c>
      <c r="F64" s="5">
        <v>1</v>
      </c>
      <c r="G64" s="5">
        <v>0.24</v>
      </c>
      <c r="H64" s="5">
        <v>0.2273</v>
      </c>
      <c r="I64" s="5">
        <v>0.3</v>
      </c>
      <c r="J64" s="5">
        <v>0.22389999999999999</v>
      </c>
      <c r="K64" s="5">
        <v>11</v>
      </c>
      <c r="L64" s="5">
        <v>146</v>
      </c>
      <c r="M64" s="5">
        <v>157</v>
      </c>
    </row>
    <row r="65" spans="1:13">
      <c r="A65" s="5">
        <v>64</v>
      </c>
      <c r="B65" s="6">
        <v>40546</v>
      </c>
      <c r="C65" s="5">
        <v>18</v>
      </c>
      <c r="D65" s="5" t="b">
        <v>0</v>
      </c>
      <c r="E65" s="5">
        <v>1</v>
      </c>
      <c r="F65" s="5">
        <v>1</v>
      </c>
      <c r="G65" s="5">
        <v>0.24</v>
      </c>
      <c r="H65" s="5">
        <v>0.2576</v>
      </c>
      <c r="I65" s="5">
        <v>0.32</v>
      </c>
      <c r="J65" s="5">
        <v>0.1045</v>
      </c>
      <c r="K65" s="5">
        <v>9</v>
      </c>
      <c r="L65" s="5">
        <v>148</v>
      </c>
      <c r="M65" s="5">
        <v>157</v>
      </c>
    </row>
    <row r="66" spans="1:13">
      <c r="A66" s="5">
        <v>65</v>
      </c>
      <c r="B66" s="6">
        <v>40546</v>
      </c>
      <c r="C66" s="5">
        <v>19</v>
      </c>
      <c r="D66" s="5" t="b">
        <v>0</v>
      </c>
      <c r="E66" s="5">
        <v>1</v>
      </c>
      <c r="F66" s="5">
        <v>1</v>
      </c>
      <c r="G66" s="5">
        <v>0.2</v>
      </c>
      <c r="H66" s="5">
        <v>0.2576</v>
      </c>
      <c r="I66" s="5">
        <v>0.47</v>
      </c>
      <c r="J66" s="5">
        <v>0</v>
      </c>
      <c r="K66" s="5">
        <v>8</v>
      </c>
      <c r="L66" s="5">
        <v>102</v>
      </c>
      <c r="M66" s="5">
        <v>110</v>
      </c>
    </row>
    <row r="67" spans="1:13">
      <c r="A67" s="5">
        <v>66</v>
      </c>
      <c r="B67" s="6">
        <v>40546</v>
      </c>
      <c r="C67" s="5">
        <v>20</v>
      </c>
      <c r="D67" s="5" t="b">
        <v>0</v>
      </c>
      <c r="E67" s="5">
        <v>1</v>
      </c>
      <c r="F67" s="5">
        <v>1</v>
      </c>
      <c r="G67" s="5">
        <v>0.2</v>
      </c>
      <c r="H67" s="41">
        <v>0</v>
      </c>
      <c r="I67" s="5">
        <v>0.47</v>
      </c>
      <c r="J67" s="5">
        <v>0.1045</v>
      </c>
      <c r="K67" s="5">
        <v>3</v>
      </c>
      <c r="L67" s="5">
        <v>49</v>
      </c>
      <c r="M67" s="5">
        <v>52</v>
      </c>
    </row>
    <row r="68" spans="1:13">
      <c r="A68" s="5">
        <v>67</v>
      </c>
      <c r="B68" s="6">
        <v>40546</v>
      </c>
      <c r="C68" s="5">
        <v>21</v>
      </c>
      <c r="D68" s="5" t="b">
        <v>0</v>
      </c>
      <c r="E68" s="5">
        <v>1</v>
      </c>
      <c r="F68" s="5">
        <v>1</v>
      </c>
      <c r="G68" s="5">
        <v>0.18</v>
      </c>
      <c r="H68" s="5">
        <v>0.19700000000000001</v>
      </c>
      <c r="I68" s="5">
        <v>0.64</v>
      </c>
      <c r="J68" s="5">
        <v>0.1343</v>
      </c>
      <c r="K68" s="5">
        <v>3</v>
      </c>
      <c r="L68" s="5">
        <v>49</v>
      </c>
      <c r="M68" s="5">
        <v>52</v>
      </c>
    </row>
    <row r="69" spans="1:13">
      <c r="A69" s="5">
        <v>68</v>
      </c>
      <c r="B69" s="6">
        <v>40546</v>
      </c>
      <c r="C69" s="5">
        <v>22</v>
      </c>
      <c r="D69" s="5" t="b">
        <v>0</v>
      </c>
      <c r="E69" s="5">
        <v>1</v>
      </c>
      <c r="F69" s="5">
        <v>1</v>
      </c>
      <c r="G69" s="5">
        <v>0.14000000000000001</v>
      </c>
      <c r="H69" s="5">
        <v>0.1515</v>
      </c>
      <c r="I69" s="5">
        <v>0.69</v>
      </c>
      <c r="J69" s="5">
        <v>0.1343</v>
      </c>
      <c r="K69" s="5">
        <v>0</v>
      </c>
      <c r="L69" s="5">
        <v>20</v>
      </c>
      <c r="M69" s="5">
        <v>20</v>
      </c>
    </row>
    <row r="70" spans="1:13">
      <c r="A70" s="5">
        <v>69</v>
      </c>
      <c r="B70" s="6">
        <v>40546</v>
      </c>
      <c r="C70" s="5">
        <v>23</v>
      </c>
      <c r="D70" s="5" t="b">
        <v>0</v>
      </c>
      <c r="E70" s="5">
        <v>1</v>
      </c>
      <c r="F70" s="5">
        <v>1</v>
      </c>
      <c r="G70" s="5">
        <v>0.18</v>
      </c>
      <c r="H70" s="5">
        <v>0.21210000000000001</v>
      </c>
      <c r="I70" s="5">
        <v>0.55000000000000004</v>
      </c>
      <c r="J70" s="5">
        <v>0.1045</v>
      </c>
      <c r="K70" s="5">
        <v>1</v>
      </c>
      <c r="L70" s="5">
        <v>11</v>
      </c>
      <c r="M70" s="5">
        <v>12</v>
      </c>
    </row>
    <row r="71" spans="1:13">
      <c r="A71" s="5">
        <v>70</v>
      </c>
      <c r="B71" s="6">
        <v>40547</v>
      </c>
      <c r="C71" s="5">
        <v>0</v>
      </c>
      <c r="D71" s="5" t="b">
        <v>0</v>
      </c>
      <c r="E71" s="5">
        <v>2</v>
      </c>
      <c r="F71" s="5">
        <v>1</v>
      </c>
      <c r="G71" s="5">
        <v>0.16</v>
      </c>
      <c r="H71" s="41">
        <v>0</v>
      </c>
      <c r="I71" s="5">
        <v>0.55000000000000004</v>
      </c>
      <c r="J71" s="5">
        <v>0.1045</v>
      </c>
      <c r="K71" s="5">
        <v>0</v>
      </c>
      <c r="L71" s="5">
        <v>5</v>
      </c>
      <c r="M71" s="5">
        <v>5</v>
      </c>
    </row>
    <row r="72" spans="1:13">
      <c r="A72" s="5">
        <v>71</v>
      </c>
      <c r="B72" s="6">
        <v>40547</v>
      </c>
      <c r="C72" s="5">
        <v>1</v>
      </c>
      <c r="D72" s="5" t="b">
        <v>0</v>
      </c>
      <c r="E72" s="5">
        <v>2</v>
      </c>
      <c r="F72" s="5">
        <v>1</v>
      </c>
      <c r="G72" s="5">
        <v>0.16</v>
      </c>
      <c r="H72" s="5">
        <v>0.18179999999999999</v>
      </c>
      <c r="I72" s="5">
        <v>0.59</v>
      </c>
      <c r="J72" s="5">
        <v>0.1045</v>
      </c>
      <c r="K72" s="5">
        <v>0</v>
      </c>
      <c r="L72" s="5">
        <v>2</v>
      </c>
      <c r="M72" s="5">
        <v>2</v>
      </c>
    </row>
    <row r="73" spans="1:13">
      <c r="A73" s="5">
        <v>72</v>
      </c>
      <c r="B73" s="6">
        <v>40547</v>
      </c>
      <c r="C73" s="5">
        <v>2</v>
      </c>
      <c r="D73" s="5" t="b">
        <v>0</v>
      </c>
      <c r="E73" s="5">
        <v>2</v>
      </c>
      <c r="F73" s="5">
        <v>1</v>
      </c>
      <c r="G73" s="5">
        <v>0.14000000000000001</v>
      </c>
      <c r="H73" s="5">
        <v>0.1515</v>
      </c>
      <c r="I73" s="5">
        <v>0.63</v>
      </c>
      <c r="J73" s="5">
        <v>0.1343</v>
      </c>
      <c r="K73" s="5">
        <v>0</v>
      </c>
      <c r="L73" s="5">
        <v>1</v>
      </c>
      <c r="M73" s="5">
        <v>1</v>
      </c>
    </row>
    <row r="74" spans="1:13">
      <c r="A74" s="5">
        <v>73</v>
      </c>
      <c r="B74" s="6">
        <v>40547</v>
      </c>
      <c r="C74" s="5">
        <v>4</v>
      </c>
      <c r="D74" s="5" t="b">
        <v>0</v>
      </c>
      <c r="E74" s="5">
        <v>2</v>
      </c>
      <c r="F74" s="5">
        <v>1</v>
      </c>
      <c r="G74" s="5">
        <v>0.14000000000000001</v>
      </c>
      <c r="H74" s="5">
        <v>0.18179999999999999</v>
      </c>
      <c r="I74" s="5">
        <v>0.63</v>
      </c>
      <c r="J74" s="5">
        <v>8.9599999999999999E-2</v>
      </c>
      <c r="K74" s="5">
        <v>0</v>
      </c>
      <c r="L74" s="5">
        <v>2</v>
      </c>
      <c r="M74" s="5">
        <v>2</v>
      </c>
    </row>
    <row r="75" spans="1:13">
      <c r="A75" s="5">
        <v>74</v>
      </c>
      <c r="B75" s="6">
        <v>40547</v>
      </c>
      <c r="C75" s="5">
        <v>5</v>
      </c>
      <c r="D75" s="5" t="b">
        <v>0</v>
      </c>
      <c r="E75" s="5">
        <v>2</v>
      </c>
      <c r="F75" s="5">
        <v>1</v>
      </c>
      <c r="G75" s="5">
        <v>0.12</v>
      </c>
      <c r="H75" s="5">
        <v>0.1515</v>
      </c>
      <c r="I75" s="5">
        <v>0.68</v>
      </c>
      <c r="J75" s="5">
        <v>0.1045</v>
      </c>
      <c r="K75" s="5">
        <v>0</v>
      </c>
      <c r="L75" s="5">
        <v>4</v>
      </c>
      <c r="M75" s="5">
        <v>4</v>
      </c>
    </row>
    <row r="76" spans="1:13">
      <c r="A76" s="5">
        <v>75</v>
      </c>
      <c r="B76" s="6">
        <v>40547</v>
      </c>
      <c r="C76" s="5">
        <v>6</v>
      </c>
      <c r="D76" s="5" t="b">
        <v>0</v>
      </c>
      <c r="E76" s="5">
        <v>2</v>
      </c>
      <c r="F76" s="5">
        <v>1</v>
      </c>
      <c r="G76" s="5">
        <v>0.12</v>
      </c>
      <c r="H76" s="5">
        <v>0.1515</v>
      </c>
      <c r="I76" s="5">
        <v>0.74</v>
      </c>
      <c r="J76" s="5">
        <v>0.1045</v>
      </c>
      <c r="K76" s="5">
        <v>0</v>
      </c>
      <c r="L76" s="5">
        <v>36</v>
      </c>
      <c r="M76" s="5">
        <v>36</v>
      </c>
    </row>
    <row r="77" spans="1:13">
      <c r="A77" s="5">
        <v>76</v>
      </c>
      <c r="B77" s="6">
        <v>40547</v>
      </c>
      <c r="C77" s="5">
        <v>7</v>
      </c>
      <c r="D77" s="5" t="b">
        <v>0</v>
      </c>
      <c r="E77" s="5">
        <v>2</v>
      </c>
      <c r="F77" s="5">
        <v>1</v>
      </c>
      <c r="G77" s="5">
        <v>0.12</v>
      </c>
      <c r="H77" s="5">
        <v>0.1515</v>
      </c>
      <c r="I77" s="5">
        <v>0.74</v>
      </c>
      <c r="J77" s="5">
        <v>0.1343</v>
      </c>
      <c r="K77" s="5">
        <v>2</v>
      </c>
      <c r="L77" s="5">
        <v>92</v>
      </c>
      <c r="M77" s="5">
        <v>94</v>
      </c>
    </row>
    <row r="78" spans="1:13">
      <c r="A78" s="5">
        <v>77</v>
      </c>
      <c r="B78" s="6">
        <v>40547</v>
      </c>
      <c r="C78" s="5">
        <v>8</v>
      </c>
      <c r="D78" s="5" t="b">
        <v>0</v>
      </c>
      <c r="E78" s="5">
        <v>2</v>
      </c>
      <c r="F78" s="5">
        <v>1</v>
      </c>
      <c r="G78" s="5">
        <v>0.14000000000000001</v>
      </c>
      <c r="H78" s="5">
        <v>0.1515</v>
      </c>
      <c r="I78" s="5">
        <v>0.69</v>
      </c>
      <c r="J78" s="5">
        <v>0.16420000000000001</v>
      </c>
      <c r="K78" s="5">
        <v>2</v>
      </c>
      <c r="L78" s="5">
        <v>177</v>
      </c>
      <c r="M78" s="5">
        <v>179</v>
      </c>
    </row>
    <row r="79" spans="1:13">
      <c r="A79" s="5">
        <v>78</v>
      </c>
      <c r="B79" s="6">
        <v>40547</v>
      </c>
      <c r="C79" s="5">
        <v>9</v>
      </c>
      <c r="D79" s="5" t="b">
        <v>0</v>
      </c>
      <c r="E79" s="5">
        <v>2</v>
      </c>
      <c r="F79" s="5">
        <v>1</v>
      </c>
      <c r="G79" s="5">
        <v>0.16</v>
      </c>
      <c r="H79" s="5">
        <v>0.1515</v>
      </c>
      <c r="I79" s="5">
        <v>0.64</v>
      </c>
      <c r="J79" s="5">
        <v>0.22389999999999999</v>
      </c>
      <c r="K79" s="5">
        <v>2</v>
      </c>
      <c r="L79" s="5">
        <v>98</v>
      </c>
      <c r="M79" s="5">
        <v>100</v>
      </c>
    </row>
    <row r="80" spans="1:13">
      <c r="A80" s="5">
        <v>79</v>
      </c>
      <c r="B80" s="6">
        <v>40547</v>
      </c>
      <c r="C80" s="5">
        <v>10</v>
      </c>
      <c r="D80" s="5" t="b">
        <v>0</v>
      </c>
      <c r="E80" s="5">
        <v>2</v>
      </c>
      <c r="F80" s="5">
        <v>2</v>
      </c>
      <c r="G80" s="5">
        <v>0.16</v>
      </c>
      <c r="H80" s="5">
        <v>0.13639999999999999</v>
      </c>
      <c r="I80" s="5">
        <v>0.69</v>
      </c>
      <c r="J80" s="5">
        <v>0.32840000000000003</v>
      </c>
      <c r="K80" s="5">
        <v>5</v>
      </c>
      <c r="L80" s="5">
        <v>37</v>
      </c>
      <c r="M80" s="5">
        <v>42</v>
      </c>
    </row>
    <row r="81" spans="1:13">
      <c r="A81" s="5">
        <v>80</v>
      </c>
      <c r="B81" s="6">
        <v>40547</v>
      </c>
      <c r="C81" s="5">
        <v>11</v>
      </c>
      <c r="D81" s="5" t="b">
        <v>0</v>
      </c>
      <c r="E81" s="5">
        <v>2</v>
      </c>
      <c r="F81" s="5">
        <v>1</v>
      </c>
      <c r="G81" s="5">
        <v>0.22</v>
      </c>
      <c r="H81" s="5">
        <v>0.21210000000000001</v>
      </c>
      <c r="I81" s="5">
        <v>0.51</v>
      </c>
      <c r="J81" s="5">
        <v>0.29849999999999999</v>
      </c>
      <c r="K81" s="5">
        <v>7</v>
      </c>
      <c r="L81" s="5">
        <v>50</v>
      </c>
      <c r="M81" s="5">
        <v>57</v>
      </c>
    </row>
    <row r="82" spans="1:13">
      <c r="A82" s="5">
        <v>81</v>
      </c>
      <c r="B82" s="6">
        <v>40547</v>
      </c>
      <c r="C82" s="5">
        <v>12</v>
      </c>
      <c r="D82" s="5" t="b">
        <v>0</v>
      </c>
      <c r="E82" s="5">
        <v>2</v>
      </c>
      <c r="F82" s="5">
        <v>1</v>
      </c>
      <c r="G82" s="5">
        <v>0.22</v>
      </c>
      <c r="H82" s="5">
        <v>0.2273</v>
      </c>
      <c r="I82" s="5">
        <v>0.51</v>
      </c>
      <c r="J82" s="5">
        <v>0.16420000000000001</v>
      </c>
      <c r="K82" s="5">
        <v>12</v>
      </c>
      <c r="L82" s="5">
        <v>66</v>
      </c>
      <c r="M82" s="5">
        <v>78</v>
      </c>
    </row>
    <row r="83" spans="1:13">
      <c r="A83" s="5">
        <v>82</v>
      </c>
      <c r="B83" s="6">
        <v>40547</v>
      </c>
      <c r="C83" s="5">
        <v>13</v>
      </c>
      <c r="D83" s="5" t="b">
        <v>0</v>
      </c>
      <c r="E83" s="5">
        <v>2</v>
      </c>
      <c r="F83" s="5">
        <v>1</v>
      </c>
      <c r="G83" s="5">
        <v>0.24</v>
      </c>
      <c r="H83" s="5">
        <v>0.2273</v>
      </c>
      <c r="I83" s="5">
        <v>0.56000000000000005</v>
      </c>
      <c r="J83" s="5">
        <v>0.19400000000000001</v>
      </c>
      <c r="K83" s="5">
        <v>18</v>
      </c>
      <c r="L83" s="5">
        <v>79</v>
      </c>
      <c r="M83" s="5">
        <v>97</v>
      </c>
    </row>
    <row r="84" spans="1:13">
      <c r="A84" s="5">
        <v>83</v>
      </c>
      <c r="B84" s="6">
        <v>40547</v>
      </c>
      <c r="C84" s="5">
        <v>14</v>
      </c>
      <c r="D84" s="5" t="b">
        <v>0</v>
      </c>
      <c r="E84" s="5">
        <v>2</v>
      </c>
      <c r="F84" s="5">
        <v>1</v>
      </c>
      <c r="G84" s="5">
        <v>0.26</v>
      </c>
      <c r="H84" s="5">
        <v>0.2576</v>
      </c>
      <c r="I84" s="5">
        <v>0.52</v>
      </c>
      <c r="J84" s="5">
        <v>0.22389999999999999</v>
      </c>
      <c r="K84" s="5">
        <v>9</v>
      </c>
      <c r="L84" s="5">
        <v>54</v>
      </c>
      <c r="M84" s="5">
        <v>63</v>
      </c>
    </row>
    <row r="85" spans="1:13">
      <c r="A85" s="5">
        <v>84</v>
      </c>
      <c r="B85" s="6">
        <v>40547</v>
      </c>
      <c r="C85" s="5">
        <v>15</v>
      </c>
      <c r="D85" s="5" t="b">
        <v>0</v>
      </c>
      <c r="E85" s="5">
        <v>2</v>
      </c>
      <c r="F85" s="5">
        <v>1</v>
      </c>
      <c r="G85" s="5">
        <v>0.28000000000000003</v>
      </c>
      <c r="H85" s="5">
        <v>0.2727</v>
      </c>
      <c r="I85" s="5">
        <v>0.52</v>
      </c>
      <c r="J85" s="5">
        <v>0.25369999999999998</v>
      </c>
      <c r="K85" s="5">
        <v>17</v>
      </c>
      <c r="L85" s="5">
        <v>48</v>
      </c>
      <c r="M85" s="5">
        <v>65</v>
      </c>
    </row>
    <row r="86" spans="1:13">
      <c r="A86" s="5">
        <v>85</v>
      </c>
      <c r="B86" s="6">
        <v>40547</v>
      </c>
      <c r="C86" s="5">
        <v>16</v>
      </c>
      <c r="D86" s="5" t="b">
        <v>0</v>
      </c>
      <c r="E86" s="5">
        <v>2</v>
      </c>
      <c r="F86" s="5">
        <v>1</v>
      </c>
      <c r="G86" s="5">
        <v>0.3</v>
      </c>
      <c r="H86" s="5">
        <v>0.28789999999999999</v>
      </c>
      <c r="I86" s="5">
        <v>0.49</v>
      </c>
      <c r="J86" s="5">
        <v>0.25369999999999998</v>
      </c>
      <c r="K86" s="5">
        <v>15</v>
      </c>
      <c r="L86" s="5">
        <v>68</v>
      </c>
      <c r="M86" s="5">
        <v>83</v>
      </c>
    </row>
    <row r="87" spans="1:13">
      <c r="A87" s="5">
        <v>86</v>
      </c>
      <c r="B87" s="6">
        <v>40547</v>
      </c>
      <c r="C87" s="5">
        <v>17</v>
      </c>
      <c r="D87" s="5" t="b">
        <v>0</v>
      </c>
      <c r="E87" s="5">
        <v>2</v>
      </c>
      <c r="F87" s="5">
        <v>1</v>
      </c>
      <c r="G87" s="5">
        <v>0.28000000000000003</v>
      </c>
      <c r="H87" s="5">
        <v>0.2727</v>
      </c>
      <c r="I87" s="5">
        <v>0.48</v>
      </c>
      <c r="J87" s="5">
        <v>0.22389999999999999</v>
      </c>
      <c r="K87" s="5">
        <v>10</v>
      </c>
      <c r="L87" s="5">
        <v>202</v>
      </c>
      <c r="M87" s="5">
        <v>212</v>
      </c>
    </row>
    <row r="88" spans="1:13">
      <c r="A88" s="5">
        <v>87</v>
      </c>
      <c r="B88" s="6">
        <v>40547</v>
      </c>
      <c r="C88" s="5">
        <v>18</v>
      </c>
      <c r="D88" s="5" t="b">
        <v>0</v>
      </c>
      <c r="E88" s="5">
        <v>2</v>
      </c>
      <c r="F88" s="5">
        <v>1</v>
      </c>
      <c r="G88" s="5">
        <v>0.26</v>
      </c>
      <c r="H88" s="5">
        <v>0.2576</v>
      </c>
      <c r="I88" s="5">
        <v>0.48</v>
      </c>
      <c r="J88" s="5">
        <v>0.19400000000000001</v>
      </c>
      <c r="K88" s="5">
        <v>3</v>
      </c>
      <c r="L88" s="5">
        <v>179</v>
      </c>
      <c r="M88" s="5">
        <v>182</v>
      </c>
    </row>
    <row r="89" spans="1:13">
      <c r="A89" s="5">
        <v>88</v>
      </c>
      <c r="B89" s="6">
        <v>40547</v>
      </c>
      <c r="C89" s="5">
        <v>19</v>
      </c>
      <c r="D89" s="5" t="b">
        <v>0</v>
      </c>
      <c r="E89" s="5">
        <v>2</v>
      </c>
      <c r="F89" s="5">
        <v>1</v>
      </c>
      <c r="G89" s="5">
        <v>0.24</v>
      </c>
      <c r="H89" s="5">
        <v>0.2576</v>
      </c>
      <c r="I89" s="5">
        <v>0.48</v>
      </c>
      <c r="J89" s="5">
        <v>0.1045</v>
      </c>
      <c r="K89" s="5">
        <v>2</v>
      </c>
      <c r="L89" s="5">
        <v>110</v>
      </c>
      <c r="M89" s="5">
        <v>112</v>
      </c>
    </row>
    <row r="90" spans="1:13">
      <c r="A90" s="5">
        <v>89</v>
      </c>
      <c r="B90" s="6">
        <v>40547</v>
      </c>
      <c r="C90" s="5">
        <v>20</v>
      </c>
      <c r="D90" s="5" t="b">
        <v>0</v>
      </c>
      <c r="E90" s="5">
        <v>2</v>
      </c>
      <c r="F90" s="5">
        <v>1</v>
      </c>
      <c r="G90" s="5">
        <v>0.24</v>
      </c>
      <c r="H90" s="5">
        <v>0.2576</v>
      </c>
      <c r="I90" s="5">
        <v>0.48</v>
      </c>
      <c r="J90" s="5">
        <v>0.1045</v>
      </c>
      <c r="K90" s="5">
        <v>1</v>
      </c>
      <c r="L90" s="5">
        <v>53</v>
      </c>
      <c r="M90" s="5">
        <v>54</v>
      </c>
    </row>
    <row r="91" spans="1:13">
      <c r="A91" s="5">
        <v>90</v>
      </c>
      <c r="B91" s="6">
        <v>40547</v>
      </c>
      <c r="C91" s="5">
        <v>21</v>
      </c>
      <c r="D91" s="5" t="b">
        <v>0</v>
      </c>
      <c r="E91" s="5">
        <v>2</v>
      </c>
      <c r="F91" s="5">
        <v>1</v>
      </c>
      <c r="G91" s="5">
        <v>0.22</v>
      </c>
      <c r="H91" s="5">
        <v>0.2727</v>
      </c>
      <c r="I91" s="5">
        <v>0.64</v>
      </c>
      <c r="J91" s="5">
        <v>0</v>
      </c>
      <c r="K91" s="5">
        <v>0</v>
      </c>
      <c r="L91" s="5">
        <v>48</v>
      </c>
      <c r="M91" s="5">
        <v>48</v>
      </c>
    </row>
    <row r="92" spans="1:13">
      <c r="A92" s="5">
        <v>91</v>
      </c>
      <c r="B92" s="6">
        <v>40547</v>
      </c>
      <c r="C92" s="5">
        <v>22</v>
      </c>
      <c r="D92" s="5" t="b">
        <v>0</v>
      </c>
      <c r="E92" s="5">
        <v>2</v>
      </c>
      <c r="F92" s="5">
        <v>1</v>
      </c>
      <c r="G92" s="5">
        <v>0.22</v>
      </c>
      <c r="H92" s="5">
        <v>0.2576</v>
      </c>
      <c r="I92" s="5">
        <v>0.64</v>
      </c>
      <c r="J92" s="5">
        <v>8.9599999999999999E-2</v>
      </c>
      <c r="K92" s="5">
        <v>1</v>
      </c>
      <c r="L92" s="5">
        <v>34</v>
      </c>
      <c r="M92" s="5">
        <v>35</v>
      </c>
    </row>
    <row r="93" spans="1:13">
      <c r="A93" s="5">
        <v>92</v>
      </c>
      <c r="B93" s="6">
        <v>40547</v>
      </c>
      <c r="C93" s="5">
        <v>23</v>
      </c>
      <c r="D93" s="5" t="b">
        <v>0</v>
      </c>
      <c r="E93" s="5">
        <v>2</v>
      </c>
      <c r="F93" s="5">
        <v>1</v>
      </c>
      <c r="G93" s="5">
        <v>0.2</v>
      </c>
      <c r="H93" s="5">
        <v>0.2273</v>
      </c>
      <c r="I93" s="5">
        <v>0.69</v>
      </c>
      <c r="J93" s="5">
        <v>8.9599999999999999E-2</v>
      </c>
      <c r="K93" s="5">
        <v>2</v>
      </c>
      <c r="L93" s="5">
        <v>9</v>
      </c>
      <c r="M93" s="5">
        <v>11</v>
      </c>
    </row>
    <row r="94" spans="1:13">
      <c r="A94" s="5">
        <v>93</v>
      </c>
      <c r="B94" s="6">
        <v>40548</v>
      </c>
      <c r="C94" s="5">
        <v>0</v>
      </c>
      <c r="D94" s="5" t="b">
        <v>0</v>
      </c>
      <c r="E94" s="5">
        <v>3</v>
      </c>
      <c r="F94" s="5">
        <v>1</v>
      </c>
      <c r="G94" s="5">
        <v>0.2</v>
      </c>
      <c r="H94" s="5">
        <v>0.2576</v>
      </c>
      <c r="I94" s="5">
        <v>0.64</v>
      </c>
      <c r="J94" s="5">
        <v>0</v>
      </c>
      <c r="K94" s="5">
        <v>0</v>
      </c>
      <c r="L94" s="5">
        <v>6</v>
      </c>
      <c r="M94" s="5">
        <v>6</v>
      </c>
    </row>
    <row r="95" spans="1:13">
      <c r="A95" s="5">
        <v>94</v>
      </c>
      <c r="B95" s="6">
        <v>40548</v>
      </c>
      <c r="C95" s="5">
        <v>1</v>
      </c>
      <c r="D95" s="5" t="b">
        <v>0</v>
      </c>
      <c r="E95" s="5">
        <v>3</v>
      </c>
      <c r="F95" s="5">
        <v>1</v>
      </c>
      <c r="G95" s="5">
        <v>0.16</v>
      </c>
      <c r="H95" s="5">
        <v>0.19700000000000001</v>
      </c>
      <c r="I95" s="5">
        <v>0.74</v>
      </c>
      <c r="J95" s="5">
        <v>8.9599999999999999E-2</v>
      </c>
      <c r="K95" s="5">
        <v>0</v>
      </c>
      <c r="L95" s="5">
        <v>6</v>
      </c>
      <c r="M95" s="5">
        <v>6</v>
      </c>
    </row>
    <row r="96" spans="1:13">
      <c r="A96" s="5">
        <v>95</v>
      </c>
      <c r="B96" s="6">
        <v>40548</v>
      </c>
      <c r="C96" s="5">
        <v>2</v>
      </c>
      <c r="D96" s="5" t="b">
        <v>0</v>
      </c>
      <c r="E96" s="5">
        <v>3</v>
      </c>
      <c r="F96" s="5">
        <v>1</v>
      </c>
      <c r="G96" s="5">
        <v>0.16</v>
      </c>
      <c r="H96" s="5">
        <v>0.19700000000000001</v>
      </c>
      <c r="I96" s="5">
        <v>0.74</v>
      </c>
      <c r="J96" s="5">
        <v>8.9599999999999999E-2</v>
      </c>
      <c r="K96" s="5">
        <v>0</v>
      </c>
      <c r="L96" s="5">
        <v>2</v>
      </c>
      <c r="M96" s="5">
        <v>2</v>
      </c>
    </row>
    <row r="97" spans="1:13">
      <c r="A97" s="5">
        <v>96</v>
      </c>
      <c r="B97" s="6">
        <v>40548</v>
      </c>
      <c r="C97" s="5">
        <v>4</v>
      </c>
      <c r="D97" s="5" t="b">
        <v>0</v>
      </c>
      <c r="E97" s="5">
        <v>3</v>
      </c>
      <c r="F97" s="5">
        <v>1</v>
      </c>
      <c r="G97" s="5">
        <v>0.24</v>
      </c>
      <c r="H97" s="5">
        <v>0.2273</v>
      </c>
      <c r="I97" s="5">
        <v>0.48</v>
      </c>
      <c r="J97" s="5">
        <v>0.22389999999999999</v>
      </c>
      <c r="K97" s="5">
        <v>0</v>
      </c>
      <c r="L97" s="5">
        <v>2</v>
      </c>
      <c r="M97" s="5">
        <v>2</v>
      </c>
    </row>
    <row r="98" spans="1:13">
      <c r="A98" s="5">
        <v>97</v>
      </c>
      <c r="B98" s="6">
        <v>40548</v>
      </c>
      <c r="C98" s="5">
        <v>5</v>
      </c>
      <c r="D98" s="5" t="b">
        <v>0</v>
      </c>
      <c r="E98" s="5">
        <v>3</v>
      </c>
      <c r="F98" s="5">
        <v>1</v>
      </c>
      <c r="G98" s="5">
        <v>0.22</v>
      </c>
      <c r="H98" s="5">
        <v>0.2273</v>
      </c>
      <c r="I98" s="5">
        <v>0.47</v>
      </c>
      <c r="J98" s="5">
        <v>0.16420000000000001</v>
      </c>
      <c r="K98" s="5">
        <v>0</v>
      </c>
      <c r="L98" s="5">
        <v>3</v>
      </c>
      <c r="M98" s="5">
        <v>3</v>
      </c>
    </row>
    <row r="99" spans="1:13">
      <c r="A99" s="5">
        <v>98</v>
      </c>
      <c r="B99" s="6">
        <v>40548</v>
      </c>
      <c r="C99" s="5">
        <v>6</v>
      </c>
      <c r="D99" s="5" t="b">
        <v>0</v>
      </c>
      <c r="E99" s="5">
        <v>3</v>
      </c>
      <c r="F99" s="5">
        <v>1</v>
      </c>
      <c r="G99" s="5">
        <v>0.2</v>
      </c>
      <c r="H99" s="5">
        <v>0.19700000000000001</v>
      </c>
      <c r="I99" s="5">
        <v>0.47</v>
      </c>
      <c r="J99" s="5">
        <v>0.22389999999999999</v>
      </c>
      <c r="K99" s="5">
        <v>0</v>
      </c>
      <c r="L99" s="5">
        <v>33</v>
      </c>
      <c r="M99" s="5">
        <v>33</v>
      </c>
    </row>
    <row r="100" spans="1:13">
      <c r="A100" s="5">
        <v>99</v>
      </c>
      <c r="B100" s="6">
        <v>40548</v>
      </c>
      <c r="C100" s="5">
        <v>7</v>
      </c>
      <c r="D100" s="5" t="b">
        <v>0</v>
      </c>
      <c r="E100" s="5">
        <v>3</v>
      </c>
      <c r="F100" s="5">
        <v>1</v>
      </c>
      <c r="G100" s="5">
        <v>0.18</v>
      </c>
      <c r="H100" s="5">
        <v>0.18179999999999999</v>
      </c>
      <c r="I100" s="5">
        <v>0.43</v>
      </c>
      <c r="J100" s="5">
        <v>0.19400000000000001</v>
      </c>
      <c r="K100" s="5">
        <v>1</v>
      </c>
      <c r="L100" s="5">
        <v>87</v>
      </c>
      <c r="M100" s="5">
        <v>88</v>
      </c>
    </row>
    <row r="101" spans="1:13">
      <c r="A101" s="5">
        <v>100</v>
      </c>
      <c r="B101" s="6">
        <v>40548</v>
      </c>
      <c r="C101" s="5">
        <v>8</v>
      </c>
      <c r="D101" s="5" t="b">
        <v>0</v>
      </c>
      <c r="E101" s="5">
        <v>3</v>
      </c>
      <c r="F101" s="5">
        <v>1</v>
      </c>
      <c r="G101" s="5">
        <v>0.2</v>
      </c>
      <c r="H101" s="5">
        <v>0.18179999999999999</v>
      </c>
      <c r="I101" s="5">
        <v>0.4</v>
      </c>
      <c r="J101" s="5">
        <v>0.29849999999999999</v>
      </c>
      <c r="K101" s="5">
        <v>3</v>
      </c>
      <c r="L101" s="5">
        <v>192</v>
      </c>
      <c r="M101" s="5">
        <v>195</v>
      </c>
    </row>
    <row r="102" spans="1:13">
      <c r="A102" s="5">
        <v>101</v>
      </c>
      <c r="B102" s="6">
        <v>40548</v>
      </c>
      <c r="C102" s="5">
        <v>9</v>
      </c>
      <c r="D102" s="5" t="b">
        <v>0</v>
      </c>
      <c r="E102" s="5">
        <v>3</v>
      </c>
      <c r="F102" s="5">
        <v>1</v>
      </c>
      <c r="G102" s="5">
        <v>0.22</v>
      </c>
      <c r="H102" s="5">
        <v>0.19700000000000001</v>
      </c>
      <c r="I102" s="5">
        <v>0.37</v>
      </c>
      <c r="J102" s="5">
        <v>0.32840000000000003</v>
      </c>
      <c r="K102" s="5">
        <v>6</v>
      </c>
      <c r="L102" s="5">
        <v>109</v>
      </c>
      <c r="M102" s="5">
        <v>115</v>
      </c>
    </row>
    <row r="103" spans="1:13">
      <c r="A103" s="5">
        <v>102</v>
      </c>
      <c r="B103" s="6">
        <v>40548</v>
      </c>
      <c r="C103" s="5">
        <v>10</v>
      </c>
      <c r="D103" s="5" t="b">
        <v>0</v>
      </c>
      <c r="E103" s="5">
        <v>3</v>
      </c>
      <c r="F103" s="5">
        <v>1</v>
      </c>
      <c r="G103" s="5">
        <v>0.22</v>
      </c>
      <c r="H103" s="5">
        <v>0.19700000000000001</v>
      </c>
      <c r="I103" s="5">
        <v>0.37</v>
      </c>
      <c r="J103" s="5">
        <v>0.32840000000000003</v>
      </c>
      <c r="K103" s="5">
        <v>4</v>
      </c>
      <c r="L103" s="5">
        <v>53</v>
      </c>
      <c r="M103" s="5">
        <v>57</v>
      </c>
    </row>
    <row r="104" spans="1:13">
      <c r="A104" s="5">
        <v>103</v>
      </c>
      <c r="B104" s="6">
        <v>40548</v>
      </c>
      <c r="C104" s="5">
        <v>11</v>
      </c>
      <c r="D104" s="5" t="b">
        <v>0</v>
      </c>
      <c r="E104" s="5">
        <v>3</v>
      </c>
      <c r="F104" s="5">
        <v>1</v>
      </c>
      <c r="G104" s="5">
        <v>0.26</v>
      </c>
      <c r="H104" s="5">
        <v>0.2273</v>
      </c>
      <c r="I104" s="5">
        <v>0.33</v>
      </c>
      <c r="J104" s="5">
        <v>0.32840000000000003</v>
      </c>
      <c r="K104" s="5">
        <v>12</v>
      </c>
      <c r="L104" s="5">
        <v>34</v>
      </c>
      <c r="M104" s="5">
        <v>46</v>
      </c>
    </row>
    <row r="105" spans="1:13">
      <c r="A105" s="5">
        <v>104</v>
      </c>
      <c r="B105" s="6">
        <v>40548</v>
      </c>
      <c r="C105" s="5">
        <v>12</v>
      </c>
      <c r="D105" s="5" t="b">
        <v>0</v>
      </c>
      <c r="E105" s="5">
        <v>3</v>
      </c>
      <c r="F105" s="5">
        <v>1</v>
      </c>
      <c r="G105" s="5">
        <v>0.26</v>
      </c>
      <c r="H105" s="5">
        <v>0.2273</v>
      </c>
      <c r="I105" s="5">
        <v>0.33</v>
      </c>
      <c r="J105" s="5">
        <v>0.32840000000000003</v>
      </c>
      <c r="K105" s="5">
        <v>5</v>
      </c>
      <c r="L105" s="5">
        <v>74</v>
      </c>
      <c r="M105" s="5">
        <v>79</v>
      </c>
    </row>
    <row r="106" spans="1:13">
      <c r="A106" s="5">
        <v>105</v>
      </c>
      <c r="B106" s="6">
        <v>40548</v>
      </c>
      <c r="C106" s="5">
        <v>13</v>
      </c>
      <c r="D106" s="5" t="b">
        <v>0</v>
      </c>
      <c r="E106" s="5">
        <v>3</v>
      </c>
      <c r="F106" s="5">
        <v>1</v>
      </c>
      <c r="G106" s="5">
        <v>0.28000000000000003</v>
      </c>
      <c r="H106" s="5">
        <v>0.2576</v>
      </c>
      <c r="I106" s="5">
        <v>0.3</v>
      </c>
      <c r="J106" s="5">
        <v>0.29849999999999999</v>
      </c>
      <c r="K106" s="5">
        <v>6</v>
      </c>
      <c r="L106" s="5">
        <v>65</v>
      </c>
      <c r="M106" s="5">
        <v>71</v>
      </c>
    </row>
    <row r="107" spans="1:13">
      <c r="A107" s="5">
        <v>106</v>
      </c>
      <c r="B107" s="6">
        <v>40548</v>
      </c>
      <c r="C107" s="5">
        <v>14</v>
      </c>
      <c r="D107" s="5" t="b">
        <v>0</v>
      </c>
      <c r="E107" s="5">
        <v>3</v>
      </c>
      <c r="F107" s="5">
        <v>1</v>
      </c>
      <c r="G107" s="5">
        <v>0.3</v>
      </c>
      <c r="H107" s="5">
        <v>0.28789999999999999</v>
      </c>
      <c r="I107" s="5">
        <v>0.28000000000000003</v>
      </c>
      <c r="J107" s="5">
        <v>0.19400000000000001</v>
      </c>
      <c r="K107" s="5">
        <v>10</v>
      </c>
      <c r="L107" s="5">
        <v>52</v>
      </c>
      <c r="M107" s="5">
        <v>62</v>
      </c>
    </row>
    <row r="108" spans="1:13">
      <c r="A108" s="5">
        <v>107</v>
      </c>
      <c r="B108" s="6">
        <v>40548</v>
      </c>
      <c r="C108" s="5">
        <v>15</v>
      </c>
      <c r="D108" s="5" t="b">
        <v>0</v>
      </c>
      <c r="E108" s="5">
        <v>3</v>
      </c>
      <c r="F108" s="5">
        <v>1</v>
      </c>
      <c r="G108" s="5">
        <v>0.3</v>
      </c>
      <c r="H108" s="5">
        <v>0.28789999999999999</v>
      </c>
      <c r="I108" s="5">
        <v>0.28000000000000003</v>
      </c>
      <c r="J108" s="5">
        <v>0.19400000000000001</v>
      </c>
      <c r="K108" s="5">
        <v>7</v>
      </c>
      <c r="L108" s="5">
        <v>55</v>
      </c>
      <c r="M108" s="5">
        <v>62</v>
      </c>
    </row>
    <row r="109" spans="1:13">
      <c r="A109" s="5">
        <v>108</v>
      </c>
      <c r="B109" s="6">
        <v>40548</v>
      </c>
      <c r="C109" s="5">
        <v>16</v>
      </c>
      <c r="D109" s="5" t="b">
        <v>0</v>
      </c>
      <c r="E109" s="5">
        <v>3</v>
      </c>
      <c r="F109" s="5">
        <v>1</v>
      </c>
      <c r="G109" s="5">
        <v>0.3</v>
      </c>
      <c r="H109" s="5">
        <v>0.31819999999999998</v>
      </c>
      <c r="I109" s="5">
        <v>0.28000000000000003</v>
      </c>
      <c r="J109" s="5">
        <v>8.9599999999999999E-2</v>
      </c>
      <c r="K109" s="5">
        <v>4</v>
      </c>
      <c r="L109" s="5">
        <v>85</v>
      </c>
      <c r="M109" s="5">
        <v>89</v>
      </c>
    </row>
    <row r="110" spans="1:13">
      <c r="A110" s="5">
        <v>109</v>
      </c>
      <c r="B110" s="6">
        <v>40548</v>
      </c>
      <c r="C110" s="5">
        <v>17</v>
      </c>
      <c r="D110" s="5" t="b">
        <v>0</v>
      </c>
      <c r="E110" s="5">
        <v>3</v>
      </c>
      <c r="F110" s="5">
        <v>1</v>
      </c>
      <c r="G110" s="5">
        <v>0.24</v>
      </c>
      <c r="H110" s="5">
        <v>0.2273</v>
      </c>
      <c r="I110" s="5">
        <v>0.38</v>
      </c>
      <c r="J110" s="5">
        <v>0.19400000000000001</v>
      </c>
      <c r="K110" s="5">
        <v>4</v>
      </c>
      <c r="L110" s="5">
        <v>186</v>
      </c>
      <c r="M110" s="5">
        <v>190</v>
      </c>
    </row>
    <row r="111" spans="1:13">
      <c r="A111" s="5">
        <v>110</v>
      </c>
      <c r="B111" s="6">
        <v>40548</v>
      </c>
      <c r="C111" s="5">
        <v>18</v>
      </c>
      <c r="D111" s="5" t="b">
        <v>0</v>
      </c>
      <c r="E111" s="5">
        <v>3</v>
      </c>
      <c r="F111" s="5">
        <v>1</v>
      </c>
      <c r="G111" s="5">
        <v>0.24</v>
      </c>
      <c r="H111" s="5">
        <v>0.2424</v>
      </c>
      <c r="I111" s="5">
        <v>0.38</v>
      </c>
      <c r="J111" s="5">
        <v>0.1343</v>
      </c>
      <c r="K111" s="5">
        <v>3</v>
      </c>
      <c r="L111" s="5">
        <v>166</v>
      </c>
      <c r="M111" s="5">
        <v>169</v>
      </c>
    </row>
    <row r="112" spans="1:13">
      <c r="A112" s="5">
        <v>111</v>
      </c>
      <c r="B112" s="6">
        <v>40548</v>
      </c>
      <c r="C112" s="5">
        <v>19</v>
      </c>
      <c r="D112" s="5" t="b">
        <v>0</v>
      </c>
      <c r="E112" s="5">
        <v>3</v>
      </c>
      <c r="F112" s="5">
        <v>1</v>
      </c>
      <c r="G112" s="5">
        <v>0.24</v>
      </c>
      <c r="H112" s="5">
        <v>0.2576</v>
      </c>
      <c r="I112" s="5">
        <v>0.38</v>
      </c>
      <c r="J112" s="5">
        <v>0.1045</v>
      </c>
      <c r="K112" s="5">
        <v>5</v>
      </c>
      <c r="L112" s="5">
        <v>127</v>
      </c>
      <c r="M112" s="5">
        <v>132</v>
      </c>
    </row>
    <row r="113" spans="1:13">
      <c r="A113" s="5">
        <v>112</v>
      </c>
      <c r="B113" s="6">
        <v>40548</v>
      </c>
      <c r="C113" s="5">
        <v>20</v>
      </c>
      <c r="D113" s="5" t="b">
        <v>0</v>
      </c>
      <c r="E113" s="5">
        <v>3</v>
      </c>
      <c r="F113" s="5">
        <v>1</v>
      </c>
      <c r="G113" s="5">
        <v>0.22</v>
      </c>
      <c r="H113" s="5">
        <v>0.2273</v>
      </c>
      <c r="I113" s="5">
        <v>0.47</v>
      </c>
      <c r="J113" s="5">
        <v>0.16420000000000001</v>
      </c>
      <c r="K113" s="5">
        <v>7</v>
      </c>
      <c r="L113" s="5">
        <v>82</v>
      </c>
      <c r="M113" s="5">
        <v>89</v>
      </c>
    </row>
    <row r="114" spans="1:13">
      <c r="A114" s="5">
        <v>113</v>
      </c>
      <c r="B114" s="6">
        <v>40548</v>
      </c>
      <c r="C114" s="5">
        <v>21</v>
      </c>
      <c r="D114" s="5" t="b">
        <v>0</v>
      </c>
      <c r="E114" s="5">
        <v>3</v>
      </c>
      <c r="F114" s="5">
        <v>1</v>
      </c>
      <c r="G114" s="5">
        <v>0.2</v>
      </c>
      <c r="H114" s="5">
        <v>0.19700000000000001</v>
      </c>
      <c r="I114" s="5">
        <v>0.51</v>
      </c>
      <c r="J114" s="5">
        <v>0.19400000000000001</v>
      </c>
      <c r="K114" s="5">
        <v>3</v>
      </c>
      <c r="L114" s="5">
        <v>40</v>
      </c>
      <c r="M114" s="5">
        <v>43</v>
      </c>
    </row>
    <row r="115" spans="1:13">
      <c r="A115" s="5">
        <v>114</v>
      </c>
      <c r="B115" s="6">
        <v>40548</v>
      </c>
      <c r="C115" s="5">
        <v>22</v>
      </c>
      <c r="D115" s="5" t="b">
        <v>0</v>
      </c>
      <c r="E115" s="5">
        <v>3</v>
      </c>
      <c r="F115" s="5">
        <v>1</v>
      </c>
      <c r="G115" s="5">
        <v>0.18</v>
      </c>
      <c r="H115" s="5">
        <v>0.19700000000000001</v>
      </c>
      <c r="I115" s="5">
        <v>0.55000000000000004</v>
      </c>
      <c r="J115" s="5">
        <v>0.1343</v>
      </c>
      <c r="K115" s="5">
        <v>1</v>
      </c>
      <c r="L115" s="5">
        <v>41</v>
      </c>
      <c r="M115" s="5">
        <v>42</v>
      </c>
    </row>
    <row r="116" spans="1:13">
      <c r="A116" s="5">
        <v>115</v>
      </c>
      <c r="B116" s="6">
        <v>40548</v>
      </c>
      <c r="C116" s="5">
        <v>23</v>
      </c>
      <c r="D116" s="5" t="b">
        <v>0</v>
      </c>
      <c r="E116" s="5">
        <v>3</v>
      </c>
      <c r="F116" s="5">
        <v>1</v>
      </c>
      <c r="G116" s="5">
        <v>0.2</v>
      </c>
      <c r="H116" s="5">
        <v>0.2576</v>
      </c>
      <c r="I116" s="5">
        <v>0.47</v>
      </c>
      <c r="J116" s="5">
        <v>0</v>
      </c>
      <c r="K116" s="5">
        <v>1</v>
      </c>
      <c r="L116" s="5">
        <v>18</v>
      </c>
      <c r="M116" s="5">
        <v>19</v>
      </c>
    </row>
    <row r="117" spans="1:13">
      <c r="A117" s="5">
        <v>116</v>
      </c>
      <c r="B117" s="6">
        <v>40549</v>
      </c>
      <c r="C117" s="5">
        <v>0</v>
      </c>
      <c r="D117" s="5" t="b">
        <v>0</v>
      </c>
      <c r="E117" s="5">
        <v>4</v>
      </c>
      <c r="F117" s="5">
        <v>1</v>
      </c>
      <c r="G117" s="5">
        <v>0.18</v>
      </c>
      <c r="H117" s="5">
        <v>0.2424</v>
      </c>
      <c r="I117" s="5">
        <v>0.55000000000000004</v>
      </c>
      <c r="J117" s="5">
        <v>0</v>
      </c>
      <c r="K117" s="5">
        <v>0</v>
      </c>
      <c r="L117" s="5">
        <v>11</v>
      </c>
      <c r="M117" s="5">
        <v>11</v>
      </c>
    </row>
    <row r="118" spans="1:13">
      <c r="A118" s="5">
        <v>117</v>
      </c>
      <c r="B118" s="6">
        <v>40549</v>
      </c>
      <c r="C118" s="5">
        <v>1</v>
      </c>
      <c r="D118" s="5" t="b">
        <v>0</v>
      </c>
      <c r="E118" s="5">
        <v>4</v>
      </c>
      <c r="F118" s="5">
        <v>1</v>
      </c>
      <c r="G118" s="5">
        <v>0.16</v>
      </c>
      <c r="H118" s="5">
        <v>0.2273</v>
      </c>
      <c r="I118" s="5">
        <v>0.64</v>
      </c>
      <c r="J118" s="5">
        <v>0</v>
      </c>
      <c r="K118" s="5">
        <v>0</v>
      </c>
      <c r="L118" s="5">
        <v>4</v>
      </c>
      <c r="M118" s="5">
        <v>4</v>
      </c>
    </row>
    <row r="119" spans="1:13">
      <c r="A119" s="5">
        <v>118</v>
      </c>
      <c r="B119" s="6">
        <v>40549</v>
      </c>
      <c r="C119" s="5">
        <v>2</v>
      </c>
      <c r="D119" s="5" t="b">
        <v>0</v>
      </c>
      <c r="E119" s="5">
        <v>4</v>
      </c>
      <c r="F119" s="5">
        <v>1</v>
      </c>
      <c r="G119" s="5">
        <v>0.16</v>
      </c>
      <c r="H119" s="5">
        <v>0.2273</v>
      </c>
      <c r="I119" s="5">
        <v>0.64</v>
      </c>
      <c r="J119" s="5">
        <v>0</v>
      </c>
      <c r="K119" s="5">
        <v>0</v>
      </c>
      <c r="L119" s="5">
        <v>2</v>
      </c>
      <c r="M119" s="5">
        <v>2</v>
      </c>
    </row>
    <row r="120" spans="1:13">
      <c r="A120" s="5">
        <v>119</v>
      </c>
      <c r="B120" s="6">
        <v>40549</v>
      </c>
      <c r="C120" s="5">
        <v>4</v>
      </c>
      <c r="D120" s="5" t="b">
        <v>0</v>
      </c>
      <c r="E120" s="5">
        <v>4</v>
      </c>
      <c r="F120" s="5">
        <v>2</v>
      </c>
      <c r="G120" s="5">
        <v>0.16</v>
      </c>
      <c r="H120" s="5">
        <v>0.19700000000000001</v>
      </c>
      <c r="I120" s="5">
        <v>0.64</v>
      </c>
      <c r="J120" s="5">
        <v>8.9599999999999999E-2</v>
      </c>
      <c r="K120" s="5">
        <v>0</v>
      </c>
      <c r="L120" s="5">
        <v>1</v>
      </c>
      <c r="M120" s="5">
        <v>1</v>
      </c>
    </row>
    <row r="121" spans="1:13">
      <c r="A121" s="5">
        <v>120</v>
      </c>
      <c r="B121" s="6">
        <v>40549</v>
      </c>
      <c r="C121" s="5">
        <v>5</v>
      </c>
      <c r="D121" s="5" t="b">
        <v>0</v>
      </c>
      <c r="E121" s="5">
        <v>4</v>
      </c>
      <c r="F121" s="5">
        <v>2</v>
      </c>
      <c r="G121" s="5">
        <v>0.14000000000000001</v>
      </c>
      <c r="H121" s="5">
        <v>0.18179999999999999</v>
      </c>
      <c r="I121" s="5">
        <v>0.69</v>
      </c>
      <c r="J121" s="5">
        <v>8.9599999999999999E-2</v>
      </c>
      <c r="K121" s="5">
        <v>0</v>
      </c>
      <c r="L121" s="5">
        <v>4</v>
      </c>
      <c r="M121" s="5">
        <v>4</v>
      </c>
    </row>
    <row r="122" spans="1:13">
      <c r="A122" s="5">
        <v>121</v>
      </c>
      <c r="B122" s="6">
        <v>40549</v>
      </c>
      <c r="C122" s="5">
        <v>6</v>
      </c>
      <c r="D122" s="5" t="b">
        <v>0</v>
      </c>
      <c r="E122" s="5">
        <v>4</v>
      </c>
      <c r="F122" s="5">
        <v>2</v>
      </c>
      <c r="G122" s="5">
        <v>0.14000000000000001</v>
      </c>
      <c r="H122" s="5">
        <v>0.16669999999999999</v>
      </c>
      <c r="I122" s="5">
        <v>0.63</v>
      </c>
      <c r="J122" s="5">
        <v>0.1045</v>
      </c>
      <c r="K122" s="5">
        <v>0</v>
      </c>
      <c r="L122" s="5">
        <v>36</v>
      </c>
      <c r="M122" s="5">
        <v>36</v>
      </c>
    </row>
    <row r="123" spans="1:13">
      <c r="A123" s="5">
        <v>122</v>
      </c>
      <c r="B123" s="6">
        <v>40549</v>
      </c>
      <c r="C123" s="5">
        <v>7</v>
      </c>
      <c r="D123" s="5" t="b">
        <v>0</v>
      </c>
      <c r="E123" s="5">
        <v>4</v>
      </c>
      <c r="F123" s="5">
        <v>2</v>
      </c>
      <c r="G123" s="5">
        <v>0.16</v>
      </c>
      <c r="H123" s="5">
        <v>0.2273</v>
      </c>
      <c r="I123" s="5">
        <v>0.59</v>
      </c>
      <c r="J123" s="5">
        <v>0</v>
      </c>
      <c r="K123" s="5">
        <v>0</v>
      </c>
      <c r="L123" s="5">
        <v>95</v>
      </c>
      <c r="M123" s="5">
        <v>95</v>
      </c>
    </row>
    <row r="124" spans="1:13">
      <c r="A124" s="5">
        <v>123</v>
      </c>
      <c r="B124" s="6">
        <v>40549</v>
      </c>
      <c r="C124" s="5">
        <v>8</v>
      </c>
      <c r="D124" s="5" t="b">
        <v>0</v>
      </c>
      <c r="E124" s="5">
        <v>4</v>
      </c>
      <c r="F124" s="5">
        <v>1</v>
      </c>
      <c r="G124" s="5">
        <v>0.16</v>
      </c>
      <c r="H124" s="5">
        <v>0.2273</v>
      </c>
      <c r="I124" s="5">
        <v>0.59</v>
      </c>
      <c r="J124" s="5">
        <v>0</v>
      </c>
      <c r="K124" s="5">
        <v>3</v>
      </c>
      <c r="L124" s="5">
        <v>216</v>
      </c>
      <c r="M124" s="5">
        <v>219</v>
      </c>
    </row>
    <row r="125" spans="1:13">
      <c r="A125" s="5">
        <v>124</v>
      </c>
      <c r="B125" s="6">
        <v>40549</v>
      </c>
      <c r="C125" s="5">
        <v>9</v>
      </c>
      <c r="D125" s="5" t="b">
        <v>0</v>
      </c>
      <c r="E125" s="5">
        <v>4</v>
      </c>
      <c r="F125" s="5">
        <v>2</v>
      </c>
      <c r="G125" s="5">
        <v>0.18</v>
      </c>
      <c r="H125" s="5">
        <v>0.2424</v>
      </c>
      <c r="I125" s="5">
        <v>0.51</v>
      </c>
      <c r="J125" s="5">
        <v>0</v>
      </c>
      <c r="K125" s="5">
        <v>6</v>
      </c>
      <c r="L125" s="5">
        <v>116</v>
      </c>
      <c r="M125" s="5">
        <v>122</v>
      </c>
    </row>
    <row r="126" spans="1:13">
      <c r="A126" s="5">
        <v>125</v>
      </c>
      <c r="B126" s="6">
        <v>40549</v>
      </c>
      <c r="C126" s="5">
        <v>10</v>
      </c>
      <c r="D126" s="5" t="b">
        <v>0</v>
      </c>
      <c r="E126" s="5">
        <v>4</v>
      </c>
      <c r="F126" s="5">
        <v>1</v>
      </c>
      <c r="G126" s="5">
        <v>0.2</v>
      </c>
      <c r="H126" s="5">
        <v>0.2576</v>
      </c>
      <c r="I126" s="5">
        <v>0.47</v>
      </c>
      <c r="J126" s="5">
        <v>0</v>
      </c>
      <c r="K126" s="5">
        <v>3</v>
      </c>
      <c r="L126" s="5">
        <v>42</v>
      </c>
      <c r="M126" s="5">
        <v>45</v>
      </c>
    </row>
    <row r="127" spans="1:13">
      <c r="A127" s="5">
        <v>126</v>
      </c>
      <c r="B127" s="6">
        <v>40549</v>
      </c>
      <c r="C127" s="5">
        <v>11</v>
      </c>
      <c r="D127" s="5" t="b">
        <v>0</v>
      </c>
      <c r="E127" s="5">
        <v>4</v>
      </c>
      <c r="F127" s="5">
        <v>1</v>
      </c>
      <c r="G127" s="5">
        <v>0.22</v>
      </c>
      <c r="H127" s="5">
        <v>0.2576</v>
      </c>
      <c r="I127" s="5">
        <v>0.44</v>
      </c>
      <c r="J127" s="5">
        <v>8.9599999999999999E-2</v>
      </c>
      <c r="K127" s="5">
        <v>2</v>
      </c>
      <c r="L127" s="5">
        <v>57</v>
      </c>
      <c r="M127" s="5">
        <v>59</v>
      </c>
    </row>
    <row r="128" spans="1:13">
      <c r="A128" s="5">
        <v>127</v>
      </c>
      <c r="B128" s="6">
        <v>40549</v>
      </c>
      <c r="C128" s="5">
        <v>12</v>
      </c>
      <c r="D128" s="5" t="b">
        <v>0</v>
      </c>
      <c r="E128" s="5">
        <v>4</v>
      </c>
      <c r="F128" s="5">
        <v>1</v>
      </c>
      <c r="G128" s="5">
        <v>0.26</v>
      </c>
      <c r="H128" s="5">
        <v>0.28789999999999999</v>
      </c>
      <c r="I128" s="5">
        <v>0.35</v>
      </c>
      <c r="J128" s="5">
        <v>0</v>
      </c>
      <c r="K128" s="5">
        <v>6</v>
      </c>
      <c r="L128" s="5">
        <v>78</v>
      </c>
      <c r="M128" s="5">
        <v>84</v>
      </c>
    </row>
    <row r="129" spans="1:13">
      <c r="A129" s="5">
        <v>128</v>
      </c>
      <c r="B129" s="6">
        <v>40549</v>
      </c>
      <c r="C129" s="5">
        <v>13</v>
      </c>
      <c r="D129" s="5" t="b">
        <v>0</v>
      </c>
      <c r="E129" s="5">
        <v>4</v>
      </c>
      <c r="F129" s="5">
        <v>1</v>
      </c>
      <c r="G129" s="5">
        <v>0.26</v>
      </c>
      <c r="H129" s="5">
        <v>0.2727</v>
      </c>
      <c r="I129" s="5">
        <v>0.35</v>
      </c>
      <c r="J129" s="5">
        <v>0.1045</v>
      </c>
      <c r="K129" s="5">
        <v>12</v>
      </c>
      <c r="L129" s="5">
        <v>55</v>
      </c>
      <c r="M129" s="5">
        <v>67</v>
      </c>
    </row>
    <row r="130" spans="1:13">
      <c r="A130" s="5">
        <v>129</v>
      </c>
      <c r="B130" s="6">
        <v>40549</v>
      </c>
      <c r="C130" s="5">
        <v>14</v>
      </c>
      <c r="D130" s="5" t="b">
        <v>0</v>
      </c>
      <c r="E130" s="5">
        <v>4</v>
      </c>
      <c r="F130" s="5">
        <v>1</v>
      </c>
      <c r="G130" s="5">
        <v>0.28000000000000003</v>
      </c>
      <c r="H130" s="5">
        <v>0.2727</v>
      </c>
      <c r="I130" s="5">
        <v>0.36</v>
      </c>
      <c r="J130" s="5">
        <v>0.16420000000000001</v>
      </c>
      <c r="K130" s="5">
        <v>11</v>
      </c>
      <c r="L130" s="5">
        <v>59</v>
      </c>
      <c r="M130" s="5">
        <v>70</v>
      </c>
    </row>
    <row r="131" spans="1:13">
      <c r="A131" s="5">
        <v>130</v>
      </c>
      <c r="B131" s="6">
        <v>40549</v>
      </c>
      <c r="C131" s="5">
        <v>15</v>
      </c>
      <c r="D131" s="5" t="b">
        <v>0</v>
      </c>
      <c r="E131" s="5">
        <v>4</v>
      </c>
      <c r="F131" s="5">
        <v>1</v>
      </c>
      <c r="G131" s="5">
        <v>0.28000000000000003</v>
      </c>
      <c r="H131" s="5">
        <v>0.2727</v>
      </c>
      <c r="I131" s="5">
        <v>0.36</v>
      </c>
      <c r="J131" s="5">
        <v>0</v>
      </c>
      <c r="K131" s="5">
        <v>8</v>
      </c>
      <c r="L131" s="5">
        <v>54</v>
      </c>
      <c r="M131" s="5">
        <v>62</v>
      </c>
    </row>
    <row r="132" spans="1:13">
      <c r="A132" s="5">
        <v>131</v>
      </c>
      <c r="B132" s="6">
        <v>40549</v>
      </c>
      <c r="C132" s="5">
        <v>16</v>
      </c>
      <c r="D132" s="5" t="b">
        <v>0</v>
      </c>
      <c r="E132" s="5">
        <v>4</v>
      </c>
      <c r="F132" s="5">
        <v>1</v>
      </c>
      <c r="G132" s="5">
        <v>0.26</v>
      </c>
      <c r="H132" s="5">
        <v>0.2576</v>
      </c>
      <c r="I132" s="5">
        <v>0.38</v>
      </c>
      <c r="J132" s="5">
        <v>0.16420000000000001</v>
      </c>
      <c r="K132" s="5">
        <v>12</v>
      </c>
      <c r="L132" s="5">
        <v>74</v>
      </c>
      <c r="M132" s="5">
        <v>86</v>
      </c>
    </row>
    <row r="133" spans="1:13">
      <c r="A133" s="5">
        <v>132</v>
      </c>
      <c r="B133" s="6">
        <v>40549</v>
      </c>
      <c r="C133" s="5">
        <v>17</v>
      </c>
      <c r="D133" s="5" t="b">
        <v>0</v>
      </c>
      <c r="E133" s="5">
        <v>4</v>
      </c>
      <c r="F133" s="5">
        <v>1</v>
      </c>
      <c r="G133" s="5">
        <v>0.22</v>
      </c>
      <c r="H133" s="5">
        <v>0.2273</v>
      </c>
      <c r="I133" s="5">
        <v>0.51</v>
      </c>
      <c r="J133" s="5">
        <v>0.16420000000000001</v>
      </c>
      <c r="K133" s="5">
        <v>9</v>
      </c>
      <c r="L133" s="5">
        <v>163</v>
      </c>
      <c r="M133" s="5">
        <v>172</v>
      </c>
    </row>
    <row r="134" spans="1:13">
      <c r="A134" s="5">
        <v>133</v>
      </c>
      <c r="B134" s="6">
        <v>40549</v>
      </c>
      <c r="C134" s="5">
        <v>18</v>
      </c>
      <c r="D134" s="5" t="b">
        <v>0</v>
      </c>
      <c r="E134" s="5">
        <v>4</v>
      </c>
      <c r="F134" s="5">
        <v>1</v>
      </c>
      <c r="G134" s="5">
        <v>0.22</v>
      </c>
      <c r="H134" s="5">
        <v>0.2273</v>
      </c>
      <c r="I134" s="5">
        <v>0.51</v>
      </c>
      <c r="J134" s="5">
        <v>0.1343</v>
      </c>
      <c r="K134" s="5">
        <v>5</v>
      </c>
      <c r="L134" s="5">
        <v>158</v>
      </c>
      <c r="M134" s="5">
        <v>163</v>
      </c>
    </row>
    <row r="135" spans="1:13">
      <c r="A135" s="5">
        <v>134</v>
      </c>
      <c r="B135" s="6">
        <v>40549</v>
      </c>
      <c r="C135" s="5">
        <v>19</v>
      </c>
      <c r="D135" s="5" t="b">
        <v>0</v>
      </c>
      <c r="E135" s="5">
        <v>4</v>
      </c>
      <c r="F135" s="5">
        <v>1</v>
      </c>
      <c r="G135" s="5">
        <v>0.22</v>
      </c>
      <c r="H135" s="5">
        <v>0.2576</v>
      </c>
      <c r="I135" s="5">
        <v>0.55000000000000004</v>
      </c>
      <c r="J135" s="5">
        <v>8.9599999999999999E-2</v>
      </c>
      <c r="K135" s="5">
        <v>3</v>
      </c>
      <c r="L135" s="5">
        <v>109</v>
      </c>
      <c r="M135" s="5">
        <v>112</v>
      </c>
    </row>
    <row r="136" spans="1:13">
      <c r="A136" s="5">
        <v>135</v>
      </c>
      <c r="B136" s="6">
        <v>40549</v>
      </c>
      <c r="C136" s="5">
        <v>20</v>
      </c>
      <c r="D136" s="5" t="b">
        <v>0</v>
      </c>
      <c r="E136" s="5">
        <v>4</v>
      </c>
      <c r="F136" s="5">
        <v>1</v>
      </c>
      <c r="G136" s="5">
        <v>0.2</v>
      </c>
      <c r="H136" s="5">
        <v>0.21210000000000001</v>
      </c>
      <c r="I136" s="5">
        <v>0.51</v>
      </c>
      <c r="J136" s="5">
        <v>0.16420000000000001</v>
      </c>
      <c r="K136" s="5">
        <v>3</v>
      </c>
      <c r="L136" s="5">
        <v>66</v>
      </c>
      <c r="M136" s="5">
        <v>69</v>
      </c>
    </row>
    <row r="137" spans="1:13">
      <c r="A137" s="5">
        <v>136</v>
      </c>
      <c r="B137" s="6">
        <v>40549</v>
      </c>
      <c r="C137" s="5">
        <v>21</v>
      </c>
      <c r="D137" s="5" t="b">
        <v>0</v>
      </c>
      <c r="E137" s="5">
        <v>4</v>
      </c>
      <c r="F137" s="5">
        <v>2</v>
      </c>
      <c r="G137" s="5">
        <v>0.22</v>
      </c>
      <c r="H137" s="5">
        <v>0.21210000000000001</v>
      </c>
      <c r="I137" s="5">
        <v>0.55000000000000004</v>
      </c>
      <c r="J137" s="5">
        <v>0.22389999999999999</v>
      </c>
      <c r="K137" s="5">
        <v>0</v>
      </c>
      <c r="L137" s="5">
        <v>48</v>
      </c>
      <c r="M137" s="5">
        <v>48</v>
      </c>
    </row>
    <row r="138" spans="1:13">
      <c r="A138" s="5">
        <v>137</v>
      </c>
      <c r="B138" s="6">
        <v>40549</v>
      </c>
      <c r="C138" s="5">
        <v>22</v>
      </c>
      <c r="D138" s="5" t="b">
        <v>0</v>
      </c>
      <c r="E138" s="5">
        <v>4</v>
      </c>
      <c r="F138" s="5">
        <v>2</v>
      </c>
      <c r="G138" s="5">
        <v>0.22</v>
      </c>
      <c r="H138" s="5">
        <v>0.21210000000000001</v>
      </c>
      <c r="I138" s="5">
        <v>0.51</v>
      </c>
      <c r="J138" s="5">
        <v>0.28360000000000002</v>
      </c>
      <c r="K138" s="5">
        <v>1</v>
      </c>
      <c r="L138" s="5">
        <v>51</v>
      </c>
      <c r="M138" s="5">
        <v>52</v>
      </c>
    </row>
    <row r="139" spans="1:13">
      <c r="A139" s="5">
        <v>138</v>
      </c>
      <c r="B139" s="6">
        <v>40549</v>
      </c>
      <c r="C139" s="5">
        <v>23</v>
      </c>
      <c r="D139" s="5" t="b">
        <v>0</v>
      </c>
      <c r="E139" s="5">
        <v>4</v>
      </c>
      <c r="F139" s="5">
        <v>2</v>
      </c>
      <c r="G139" s="5">
        <v>0.2</v>
      </c>
      <c r="H139" s="5">
        <v>0.19700000000000001</v>
      </c>
      <c r="I139" s="5">
        <v>0.59</v>
      </c>
      <c r="J139" s="5">
        <v>0.19400000000000001</v>
      </c>
      <c r="K139" s="5">
        <v>4</v>
      </c>
      <c r="L139" s="5">
        <v>19</v>
      </c>
      <c r="M139" s="5">
        <v>23</v>
      </c>
    </row>
    <row r="140" spans="1:13">
      <c r="A140" s="5">
        <v>139</v>
      </c>
      <c r="B140" s="6">
        <v>40550</v>
      </c>
      <c r="C140" s="5">
        <v>0</v>
      </c>
      <c r="D140" s="5" t="b">
        <v>0</v>
      </c>
      <c r="E140" s="5">
        <v>5</v>
      </c>
      <c r="F140" s="5">
        <v>2</v>
      </c>
      <c r="G140" s="5">
        <v>0.2</v>
      </c>
      <c r="H140" s="5">
        <v>0.19700000000000001</v>
      </c>
      <c r="I140" s="5">
        <v>0.64</v>
      </c>
      <c r="J140" s="5">
        <v>0.19400000000000001</v>
      </c>
      <c r="K140" s="5">
        <v>4</v>
      </c>
      <c r="L140" s="5">
        <v>13</v>
      </c>
      <c r="M140" s="5">
        <v>17</v>
      </c>
    </row>
    <row r="141" spans="1:13">
      <c r="A141" s="5">
        <v>140</v>
      </c>
      <c r="B141" s="6">
        <v>40550</v>
      </c>
      <c r="C141" s="5">
        <v>1</v>
      </c>
      <c r="D141" s="5" t="b">
        <v>0</v>
      </c>
      <c r="E141" s="5">
        <v>5</v>
      </c>
      <c r="F141" s="5">
        <v>2</v>
      </c>
      <c r="G141" s="5">
        <v>0.2</v>
      </c>
      <c r="H141" s="5">
        <v>0.19700000000000001</v>
      </c>
      <c r="I141" s="5">
        <v>0.69</v>
      </c>
      <c r="J141" s="5">
        <v>0.22389999999999999</v>
      </c>
      <c r="K141" s="5">
        <v>2</v>
      </c>
      <c r="L141" s="5">
        <v>5</v>
      </c>
      <c r="M141" s="5">
        <v>7</v>
      </c>
    </row>
    <row r="142" spans="1:13">
      <c r="A142" s="5">
        <v>141</v>
      </c>
      <c r="B142" s="6">
        <v>40550</v>
      </c>
      <c r="C142" s="5">
        <v>2</v>
      </c>
      <c r="D142" s="5" t="b">
        <v>0</v>
      </c>
      <c r="E142" s="5">
        <v>5</v>
      </c>
      <c r="F142" s="5">
        <v>2</v>
      </c>
      <c r="G142" s="5">
        <v>0.2</v>
      </c>
      <c r="H142" s="5">
        <v>0.19700000000000001</v>
      </c>
      <c r="I142" s="5">
        <v>0.69</v>
      </c>
      <c r="J142" s="5">
        <v>0.22389999999999999</v>
      </c>
      <c r="K142" s="5">
        <v>0</v>
      </c>
      <c r="L142" s="5">
        <v>1</v>
      </c>
      <c r="M142" s="5">
        <v>1</v>
      </c>
    </row>
    <row r="143" spans="1:13">
      <c r="A143" s="5">
        <v>142</v>
      </c>
      <c r="B143" s="6">
        <v>40550</v>
      </c>
      <c r="C143" s="5">
        <v>4</v>
      </c>
      <c r="D143" s="5" t="b">
        <v>0</v>
      </c>
      <c r="E143" s="5">
        <v>5</v>
      </c>
      <c r="F143" s="5">
        <v>2</v>
      </c>
      <c r="G143" s="5">
        <v>0.2</v>
      </c>
      <c r="H143" s="5">
        <v>0.21210000000000001</v>
      </c>
      <c r="I143" s="5">
        <v>0.69</v>
      </c>
      <c r="J143" s="5">
        <v>0.1343</v>
      </c>
      <c r="K143" s="5">
        <v>0</v>
      </c>
      <c r="L143" s="5">
        <v>1</v>
      </c>
      <c r="M143" s="5">
        <v>1</v>
      </c>
    </row>
    <row r="144" spans="1:13">
      <c r="A144" s="5">
        <v>143</v>
      </c>
      <c r="B144" s="6">
        <v>40550</v>
      </c>
      <c r="C144" s="5">
        <v>5</v>
      </c>
      <c r="D144" s="5" t="b">
        <v>0</v>
      </c>
      <c r="E144" s="5">
        <v>5</v>
      </c>
      <c r="F144" s="5">
        <v>3</v>
      </c>
      <c r="G144" s="5">
        <v>0.22</v>
      </c>
      <c r="H144" s="5">
        <v>0.2727</v>
      </c>
      <c r="I144" s="5">
        <v>0.55000000000000004</v>
      </c>
      <c r="J144" s="5">
        <v>0</v>
      </c>
      <c r="K144" s="5">
        <v>0</v>
      </c>
      <c r="L144" s="5">
        <v>5</v>
      </c>
      <c r="M144" s="5">
        <v>5</v>
      </c>
    </row>
    <row r="145" spans="1:13">
      <c r="A145" s="5">
        <v>144</v>
      </c>
      <c r="B145" s="6">
        <v>40550</v>
      </c>
      <c r="C145" s="5">
        <v>6</v>
      </c>
      <c r="D145" s="5" t="b">
        <v>0</v>
      </c>
      <c r="E145" s="5">
        <v>5</v>
      </c>
      <c r="F145" s="5">
        <v>2</v>
      </c>
      <c r="G145" s="5">
        <v>0.2</v>
      </c>
      <c r="H145" s="5">
        <v>0.2576</v>
      </c>
      <c r="I145" s="5">
        <v>0.69</v>
      </c>
      <c r="J145" s="5">
        <v>0</v>
      </c>
      <c r="K145" s="5">
        <v>8</v>
      </c>
      <c r="L145" s="5">
        <v>26</v>
      </c>
      <c r="M145" s="5">
        <v>34</v>
      </c>
    </row>
    <row r="146" spans="1:13">
      <c r="A146" s="5">
        <v>145</v>
      </c>
      <c r="B146" s="6">
        <v>40550</v>
      </c>
      <c r="C146" s="5">
        <v>7</v>
      </c>
      <c r="D146" s="5" t="b">
        <v>0</v>
      </c>
      <c r="E146" s="5">
        <v>5</v>
      </c>
      <c r="F146" s="5">
        <v>1</v>
      </c>
      <c r="G146" s="5">
        <v>0.2</v>
      </c>
      <c r="H146" s="5">
        <v>0.21210000000000001</v>
      </c>
      <c r="I146" s="5">
        <v>0.69</v>
      </c>
      <c r="J146" s="5">
        <v>0.1343</v>
      </c>
      <c r="K146" s="5">
        <v>8</v>
      </c>
      <c r="L146" s="5">
        <v>76</v>
      </c>
      <c r="M146" s="5">
        <v>84</v>
      </c>
    </row>
    <row r="147" spans="1:13">
      <c r="A147" s="5">
        <v>146</v>
      </c>
      <c r="B147" s="6">
        <v>40550</v>
      </c>
      <c r="C147" s="5">
        <v>8</v>
      </c>
      <c r="D147" s="5" t="b">
        <v>0</v>
      </c>
      <c r="E147" s="5">
        <v>5</v>
      </c>
      <c r="F147" s="5">
        <v>1</v>
      </c>
      <c r="G147" s="5">
        <v>0.2</v>
      </c>
      <c r="H147" s="5">
        <v>0.19700000000000001</v>
      </c>
      <c r="I147" s="5">
        <v>0.51</v>
      </c>
      <c r="J147" s="5">
        <v>0.25369999999999998</v>
      </c>
      <c r="K147" s="5">
        <v>20</v>
      </c>
      <c r="L147" s="5">
        <v>190</v>
      </c>
      <c r="M147" s="5">
        <v>210</v>
      </c>
    </row>
    <row r="148" spans="1:13">
      <c r="A148" s="5">
        <v>147</v>
      </c>
      <c r="B148" s="6">
        <v>40550</v>
      </c>
      <c r="C148" s="5">
        <v>9</v>
      </c>
      <c r="D148" s="5" t="b">
        <v>0</v>
      </c>
      <c r="E148" s="5">
        <v>5</v>
      </c>
      <c r="F148" s="5">
        <v>1</v>
      </c>
      <c r="G148" s="5">
        <v>0.2</v>
      </c>
      <c r="H148" s="5">
        <v>0.18179999999999999</v>
      </c>
      <c r="I148" s="5">
        <v>0.47</v>
      </c>
      <c r="J148" s="5">
        <v>0.29849999999999999</v>
      </c>
      <c r="K148" s="5">
        <v>9</v>
      </c>
      <c r="L148" s="5">
        <v>125</v>
      </c>
      <c r="M148" s="5">
        <v>134</v>
      </c>
    </row>
    <row r="149" spans="1:13">
      <c r="A149" s="5">
        <v>148</v>
      </c>
      <c r="B149" s="6">
        <v>40550</v>
      </c>
      <c r="C149" s="5">
        <v>10</v>
      </c>
      <c r="D149" s="5" t="b">
        <v>0</v>
      </c>
      <c r="E149" s="5">
        <v>5</v>
      </c>
      <c r="F149" s="5">
        <v>1</v>
      </c>
      <c r="G149" s="5">
        <v>0.22</v>
      </c>
      <c r="H149" s="5">
        <v>0.19700000000000001</v>
      </c>
      <c r="I149" s="5">
        <v>0.37</v>
      </c>
      <c r="J149" s="5">
        <v>0.32840000000000003</v>
      </c>
      <c r="K149" s="5">
        <v>16</v>
      </c>
      <c r="L149" s="5">
        <v>47</v>
      </c>
      <c r="M149" s="5">
        <v>63</v>
      </c>
    </row>
    <row r="150" spans="1:13">
      <c r="A150" s="5">
        <v>149</v>
      </c>
      <c r="B150" s="6">
        <v>40550</v>
      </c>
      <c r="C150" s="5">
        <v>11</v>
      </c>
      <c r="D150" s="5" t="b">
        <v>0</v>
      </c>
      <c r="E150" s="5">
        <v>5</v>
      </c>
      <c r="F150" s="5">
        <v>2</v>
      </c>
      <c r="G150" s="5">
        <v>0.2</v>
      </c>
      <c r="H150" s="5">
        <v>0.19700000000000001</v>
      </c>
      <c r="I150" s="5">
        <v>0.4</v>
      </c>
      <c r="J150" s="5">
        <v>0.22389999999999999</v>
      </c>
      <c r="K150" s="5">
        <v>19</v>
      </c>
      <c r="L150" s="5">
        <v>48</v>
      </c>
      <c r="M150" s="5">
        <v>67</v>
      </c>
    </row>
    <row r="151" spans="1:13">
      <c r="A151" s="5">
        <v>150</v>
      </c>
      <c r="B151" s="6">
        <v>40550</v>
      </c>
      <c r="C151" s="5">
        <v>12</v>
      </c>
      <c r="D151" s="5" t="b">
        <v>0</v>
      </c>
      <c r="E151" s="5">
        <v>5</v>
      </c>
      <c r="F151" s="5">
        <v>2</v>
      </c>
      <c r="G151" s="5">
        <v>0.2</v>
      </c>
      <c r="H151" s="5">
        <v>0.19700000000000001</v>
      </c>
      <c r="I151" s="5">
        <v>0.37</v>
      </c>
      <c r="J151" s="5">
        <v>0.25369999999999998</v>
      </c>
      <c r="K151" s="5">
        <v>9</v>
      </c>
      <c r="L151" s="5">
        <v>50</v>
      </c>
      <c r="M151" s="5">
        <v>59</v>
      </c>
    </row>
    <row r="152" spans="1:13">
      <c r="A152" s="5">
        <v>151</v>
      </c>
      <c r="B152" s="6">
        <v>40550</v>
      </c>
      <c r="C152" s="5">
        <v>13</v>
      </c>
      <c r="D152" s="5" t="b">
        <v>0</v>
      </c>
      <c r="E152" s="5">
        <v>5</v>
      </c>
      <c r="F152" s="5">
        <v>2</v>
      </c>
      <c r="G152" s="5">
        <v>0.2</v>
      </c>
      <c r="H152" s="5">
        <v>0.18179999999999999</v>
      </c>
      <c r="I152" s="5">
        <v>0.37</v>
      </c>
      <c r="J152" s="5">
        <v>0.28360000000000002</v>
      </c>
      <c r="K152" s="5">
        <v>9</v>
      </c>
      <c r="L152" s="5">
        <v>64</v>
      </c>
      <c r="M152" s="5">
        <v>73</v>
      </c>
    </row>
    <row r="153" spans="1:13">
      <c r="A153" s="5">
        <v>152</v>
      </c>
      <c r="B153" s="6">
        <v>40550</v>
      </c>
      <c r="C153" s="5">
        <v>14</v>
      </c>
      <c r="D153" s="5" t="b">
        <v>0</v>
      </c>
      <c r="E153" s="5">
        <v>5</v>
      </c>
      <c r="F153" s="5">
        <v>2</v>
      </c>
      <c r="G153" s="5">
        <v>0.2</v>
      </c>
      <c r="H153" s="5">
        <v>0.19700000000000001</v>
      </c>
      <c r="I153" s="5">
        <v>0.4</v>
      </c>
      <c r="J153" s="5">
        <v>0.25369999999999998</v>
      </c>
      <c r="K153" s="5">
        <v>7</v>
      </c>
      <c r="L153" s="5">
        <v>43</v>
      </c>
      <c r="M153" s="5">
        <v>50</v>
      </c>
    </row>
    <row r="154" spans="1:13">
      <c r="A154" s="5">
        <v>153</v>
      </c>
      <c r="B154" s="6">
        <v>40550</v>
      </c>
      <c r="C154" s="5">
        <v>15</v>
      </c>
      <c r="D154" s="5" t="b">
        <v>0</v>
      </c>
      <c r="E154" s="5">
        <v>5</v>
      </c>
      <c r="F154" s="5">
        <v>2</v>
      </c>
      <c r="G154" s="5">
        <v>0.2</v>
      </c>
      <c r="H154" s="5">
        <v>0.21210000000000001</v>
      </c>
      <c r="I154" s="5">
        <v>0.37</v>
      </c>
      <c r="J154" s="5">
        <v>0.16420000000000001</v>
      </c>
      <c r="K154" s="5">
        <v>9</v>
      </c>
      <c r="L154" s="5">
        <v>63</v>
      </c>
      <c r="M154" s="5">
        <v>72</v>
      </c>
    </row>
    <row r="155" spans="1:13">
      <c r="A155" s="5">
        <v>154</v>
      </c>
      <c r="B155" s="6">
        <v>40550</v>
      </c>
      <c r="C155" s="5">
        <v>16</v>
      </c>
      <c r="D155" s="5" t="b">
        <v>0</v>
      </c>
      <c r="E155" s="5">
        <v>5</v>
      </c>
      <c r="F155" s="5">
        <v>2</v>
      </c>
      <c r="G155" s="5">
        <v>0.2</v>
      </c>
      <c r="H155" s="5">
        <v>0.21210000000000001</v>
      </c>
      <c r="I155" s="5">
        <v>0.37</v>
      </c>
      <c r="J155" s="5">
        <v>0.16420000000000001</v>
      </c>
      <c r="K155" s="5">
        <v>5</v>
      </c>
      <c r="L155" s="5">
        <v>82</v>
      </c>
      <c r="M155" s="5">
        <v>87</v>
      </c>
    </row>
    <row r="156" spans="1:13">
      <c r="A156" s="5">
        <v>155</v>
      </c>
      <c r="B156" s="6">
        <v>40550</v>
      </c>
      <c r="C156" s="5">
        <v>17</v>
      </c>
      <c r="D156" s="5" t="b">
        <v>0</v>
      </c>
      <c r="E156" s="5">
        <v>5</v>
      </c>
      <c r="F156" s="5">
        <v>2</v>
      </c>
      <c r="G156" s="5">
        <v>0.2</v>
      </c>
      <c r="H156" s="5">
        <v>0.2576</v>
      </c>
      <c r="I156" s="5">
        <v>0.37</v>
      </c>
      <c r="J156" s="5">
        <v>0</v>
      </c>
      <c r="K156" s="5">
        <v>9</v>
      </c>
      <c r="L156" s="5">
        <v>178</v>
      </c>
      <c r="M156" s="5">
        <v>187</v>
      </c>
    </row>
    <row r="157" spans="1:13">
      <c r="A157" s="5">
        <v>156</v>
      </c>
      <c r="B157" s="6">
        <v>40550</v>
      </c>
      <c r="C157" s="5">
        <v>18</v>
      </c>
      <c r="D157" s="5" t="b">
        <v>0</v>
      </c>
      <c r="E157" s="5">
        <v>5</v>
      </c>
      <c r="F157" s="5">
        <v>1</v>
      </c>
      <c r="G157" s="5">
        <v>0.2</v>
      </c>
      <c r="H157" s="5">
        <v>0.2273</v>
      </c>
      <c r="I157" s="5">
        <v>0.4</v>
      </c>
      <c r="J157" s="5">
        <v>8.9599999999999999E-2</v>
      </c>
      <c r="K157" s="5">
        <v>7</v>
      </c>
      <c r="L157" s="5">
        <v>116</v>
      </c>
      <c r="M157" s="5">
        <v>123</v>
      </c>
    </row>
    <row r="158" spans="1:13">
      <c r="A158" s="5">
        <v>157</v>
      </c>
      <c r="B158" s="6">
        <v>40550</v>
      </c>
      <c r="C158" s="5">
        <v>19</v>
      </c>
      <c r="D158" s="5" t="b">
        <v>0</v>
      </c>
      <c r="E158" s="5">
        <v>5</v>
      </c>
      <c r="F158" s="5">
        <v>1</v>
      </c>
      <c r="G158" s="5">
        <v>0.16</v>
      </c>
      <c r="H158" s="5">
        <v>0.19700000000000001</v>
      </c>
      <c r="I158" s="5">
        <v>0.55000000000000004</v>
      </c>
      <c r="J158" s="5">
        <v>8.9599999999999999E-2</v>
      </c>
      <c r="K158" s="5">
        <v>3</v>
      </c>
      <c r="L158" s="5">
        <v>92</v>
      </c>
      <c r="M158" s="5">
        <v>95</v>
      </c>
    </row>
    <row r="159" spans="1:13">
      <c r="A159" s="5">
        <v>158</v>
      </c>
      <c r="B159" s="6">
        <v>40550</v>
      </c>
      <c r="C159" s="5">
        <v>20</v>
      </c>
      <c r="D159" s="5" t="b">
        <v>0</v>
      </c>
      <c r="E159" s="5">
        <v>5</v>
      </c>
      <c r="F159" s="5">
        <v>1</v>
      </c>
      <c r="G159" s="5">
        <v>0.18</v>
      </c>
      <c r="H159" s="5">
        <v>0.21210000000000001</v>
      </c>
      <c r="I159" s="5">
        <v>0.47</v>
      </c>
      <c r="J159" s="5">
        <v>0.1045</v>
      </c>
      <c r="K159" s="5">
        <v>1</v>
      </c>
      <c r="L159" s="5">
        <v>50</v>
      </c>
      <c r="M159" s="5">
        <v>51</v>
      </c>
    </row>
    <row r="160" spans="1:13">
      <c r="A160" s="5">
        <v>159</v>
      </c>
      <c r="B160" s="6">
        <v>40550</v>
      </c>
      <c r="C160" s="5">
        <v>21</v>
      </c>
      <c r="D160" s="5" t="b">
        <v>0</v>
      </c>
      <c r="E160" s="5">
        <v>5</v>
      </c>
      <c r="F160" s="5">
        <v>1</v>
      </c>
      <c r="G160" s="5">
        <v>0.18</v>
      </c>
      <c r="H160" s="5">
        <v>0.19700000000000001</v>
      </c>
      <c r="I160" s="5">
        <v>0.47</v>
      </c>
      <c r="J160" s="5">
        <v>0.1343</v>
      </c>
      <c r="K160" s="5">
        <v>0</v>
      </c>
      <c r="L160" s="5">
        <v>39</v>
      </c>
      <c r="M160" s="5">
        <v>39</v>
      </c>
    </row>
    <row r="161" spans="1:13">
      <c r="A161" s="5">
        <v>160</v>
      </c>
      <c r="B161" s="6">
        <v>40550</v>
      </c>
      <c r="C161" s="5">
        <v>22</v>
      </c>
      <c r="D161" s="5" t="b">
        <v>0</v>
      </c>
      <c r="E161" s="5">
        <v>5</v>
      </c>
      <c r="F161" s="5">
        <v>2</v>
      </c>
      <c r="G161" s="5">
        <v>0.18</v>
      </c>
      <c r="H161" s="5">
        <v>0.19700000000000001</v>
      </c>
      <c r="I161" s="5">
        <v>0.43</v>
      </c>
      <c r="J161" s="5">
        <v>0.16420000000000001</v>
      </c>
      <c r="K161" s="5">
        <v>2</v>
      </c>
      <c r="L161" s="5">
        <v>34</v>
      </c>
      <c r="M161" s="5">
        <v>36</v>
      </c>
    </row>
    <row r="162" spans="1:13">
      <c r="A162" s="5">
        <v>161</v>
      </c>
      <c r="B162" s="6">
        <v>40550</v>
      </c>
      <c r="C162" s="5">
        <v>23</v>
      </c>
      <c r="D162" s="5" t="b">
        <v>0</v>
      </c>
      <c r="E162" s="5">
        <v>5</v>
      </c>
      <c r="F162" s="5">
        <v>2</v>
      </c>
      <c r="G162" s="5">
        <v>0.18</v>
      </c>
      <c r="H162" s="5">
        <v>0.19700000000000001</v>
      </c>
      <c r="I162" s="5">
        <v>0.51</v>
      </c>
      <c r="J162" s="5">
        <v>0.16420000000000001</v>
      </c>
      <c r="K162" s="5">
        <v>1</v>
      </c>
      <c r="L162" s="5">
        <v>14</v>
      </c>
      <c r="M162" s="5">
        <v>15</v>
      </c>
    </row>
    <row r="163" spans="1:13">
      <c r="A163" s="5">
        <v>162</v>
      </c>
      <c r="B163" s="6">
        <v>40551</v>
      </c>
      <c r="C163" s="5">
        <v>0</v>
      </c>
      <c r="D163" s="5" t="b">
        <v>0</v>
      </c>
      <c r="E163" s="5">
        <v>6</v>
      </c>
      <c r="F163" s="5">
        <v>2</v>
      </c>
      <c r="G163" s="5">
        <v>0.18</v>
      </c>
      <c r="H163" s="5">
        <v>0.19700000000000001</v>
      </c>
      <c r="I163" s="5">
        <v>0.51</v>
      </c>
      <c r="J163" s="5">
        <v>0.16420000000000001</v>
      </c>
      <c r="K163" s="5">
        <v>1</v>
      </c>
      <c r="L163" s="5">
        <v>24</v>
      </c>
      <c r="M163" s="5">
        <v>25</v>
      </c>
    </row>
    <row r="164" spans="1:13">
      <c r="A164" s="5">
        <v>163</v>
      </c>
      <c r="B164" s="6">
        <v>40551</v>
      </c>
      <c r="C164" s="5">
        <v>1</v>
      </c>
      <c r="D164" s="5" t="b">
        <v>0</v>
      </c>
      <c r="E164" s="5">
        <v>6</v>
      </c>
      <c r="F164" s="5">
        <v>2</v>
      </c>
      <c r="G164" s="5">
        <v>0.18</v>
      </c>
      <c r="H164" s="5">
        <v>0.21210000000000001</v>
      </c>
      <c r="I164" s="5">
        <v>0.55000000000000004</v>
      </c>
      <c r="J164" s="5">
        <v>8.9599999999999999E-2</v>
      </c>
      <c r="K164" s="5">
        <v>1</v>
      </c>
      <c r="L164" s="5">
        <v>15</v>
      </c>
      <c r="M164" s="5">
        <v>16</v>
      </c>
    </row>
    <row r="165" spans="1:13">
      <c r="A165" s="5">
        <v>164</v>
      </c>
      <c r="B165" s="6">
        <v>40551</v>
      </c>
      <c r="C165" s="5">
        <v>2</v>
      </c>
      <c r="D165" s="5" t="b">
        <v>0</v>
      </c>
      <c r="E165" s="5">
        <v>6</v>
      </c>
      <c r="F165" s="5">
        <v>2</v>
      </c>
      <c r="G165" s="5">
        <v>0.18</v>
      </c>
      <c r="H165" s="5">
        <v>0.2424</v>
      </c>
      <c r="I165" s="5">
        <v>0.55000000000000004</v>
      </c>
      <c r="J165" s="5">
        <v>0</v>
      </c>
      <c r="K165" s="5">
        <v>3</v>
      </c>
      <c r="L165" s="5">
        <v>13</v>
      </c>
      <c r="M165" s="5">
        <v>16</v>
      </c>
    </row>
    <row r="166" spans="1:13">
      <c r="A166" s="5">
        <v>165</v>
      </c>
      <c r="B166" s="6">
        <v>40551</v>
      </c>
      <c r="C166" s="5">
        <v>3</v>
      </c>
      <c r="D166" s="5" t="b">
        <v>0</v>
      </c>
      <c r="E166" s="5">
        <v>6</v>
      </c>
      <c r="F166" s="5">
        <v>3</v>
      </c>
      <c r="G166" s="5">
        <v>0.18</v>
      </c>
      <c r="H166" s="5">
        <v>0.19700000000000001</v>
      </c>
      <c r="I166" s="5">
        <v>0.55000000000000004</v>
      </c>
      <c r="J166" s="5">
        <v>0.16420000000000001</v>
      </c>
      <c r="K166" s="5">
        <v>0</v>
      </c>
      <c r="L166" s="5">
        <v>7</v>
      </c>
      <c r="M166" s="5">
        <v>7</v>
      </c>
    </row>
    <row r="167" spans="1:13">
      <c r="A167" s="5">
        <v>166</v>
      </c>
      <c r="B167" s="6">
        <v>40551</v>
      </c>
      <c r="C167" s="5">
        <v>4</v>
      </c>
      <c r="D167" s="5" t="b">
        <v>0</v>
      </c>
      <c r="E167" s="5">
        <v>6</v>
      </c>
      <c r="F167" s="5">
        <v>3</v>
      </c>
      <c r="G167" s="5">
        <v>0.18</v>
      </c>
      <c r="H167" s="5">
        <v>0.19700000000000001</v>
      </c>
      <c r="I167" s="5">
        <v>0.55000000000000004</v>
      </c>
      <c r="J167" s="5">
        <v>0.16420000000000001</v>
      </c>
      <c r="K167" s="5">
        <v>0</v>
      </c>
      <c r="L167" s="5">
        <v>1</v>
      </c>
      <c r="M167" s="5">
        <v>1</v>
      </c>
    </row>
    <row r="168" spans="1:13">
      <c r="A168" s="5">
        <v>167</v>
      </c>
      <c r="B168" s="6">
        <v>40551</v>
      </c>
      <c r="C168" s="5">
        <v>5</v>
      </c>
      <c r="D168" s="5" t="b">
        <v>0</v>
      </c>
      <c r="E168" s="5">
        <v>6</v>
      </c>
      <c r="F168" s="5">
        <v>2</v>
      </c>
      <c r="G168" s="5">
        <v>0.16</v>
      </c>
      <c r="H168" s="5">
        <v>0.16669999999999999</v>
      </c>
      <c r="I168" s="5">
        <v>0.74</v>
      </c>
      <c r="J168" s="5">
        <v>0.16420000000000001</v>
      </c>
      <c r="K168" s="5">
        <v>0</v>
      </c>
      <c r="L168" s="5">
        <v>5</v>
      </c>
      <c r="M168" s="5">
        <v>5</v>
      </c>
    </row>
    <row r="169" spans="1:13">
      <c r="A169" s="5">
        <v>168</v>
      </c>
      <c r="B169" s="6">
        <v>40551</v>
      </c>
      <c r="C169" s="5">
        <v>6</v>
      </c>
      <c r="D169" s="5" t="b">
        <v>0</v>
      </c>
      <c r="E169" s="5">
        <v>6</v>
      </c>
      <c r="F169" s="5">
        <v>2</v>
      </c>
      <c r="G169" s="5">
        <v>0.16</v>
      </c>
      <c r="H169" s="5">
        <v>0.16669999999999999</v>
      </c>
      <c r="I169" s="5">
        <v>0.74</v>
      </c>
      <c r="J169" s="5">
        <v>0.16420000000000001</v>
      </c>
      <c r="K169" s="5">
        <v>0</v>
      </c>
      <c r="L169" s="5">
        <v>2</v>
      </c>
      <c r="M169" s="5">
        <v>2</v>
      </c>
    </row>
    <row r="170" spans="1:13">
      <c r="A170" s="5">
        <v>169</v>
      </c>
      <c r="B170" s="6">
        <v>40551</v>
      </c>
      <c r="C170" s="5">
        <v>7</v>
      </c>
      <c r="D170" s="5" t="b">
        <v>0</v>
      </c>
      <c r="E170" s="5">
        <v>6</v>
      </c>
      <c r="F170" s="5">
        <v>2</v>
      </c>
      <c r="G170" s="5">
        <v>0.16</v>
      </c>
      <c r="H170" s="5">
        <v>0.18179999999999999</v>
      </c>
      <c r="I170" s="5">
        <v>0.74</v>
      </c>
      <c r="J170" s="5">
        <v>0.1045</v>
      </c>
      <c r="K170" s="5">
        <v>1</v>
      </c>
      <c r="L170" s="5">
        <v>8</v>
      </c>
      <c r="M170" s="5">
        <v>9</v>
      </c>
    </row>
    <row r="171" spans="1:13">
      <c r="A171" s="5">
        <v>170</v>
      </c>
      <c r="B171" s="6">
        <v>40551</v>
      </c>
      <c r="C171" s="5">
        <v>8</v>
      </c>
      <c r="D171" s="5" t="b">
        <v>0</v>
      </c>
      <c r="E171" s="5">
        <v>6</v>
      </c>
      <c r="F171" s="5">
        <v>3</v>
      </c>
      <c r="G171" s="5">
        <v>0.16</v>
      </c>
      <c r="H171" s="5">
        <v>0.18179999999999999</v>
      </c>
      <c r="I171" s="5">
        <v>0.93</v>
      </c>
      <c r="J171" s="5">
        <v>0.1045</v>
      </c>
      <c r="K171" s="5">
        <v>0</v>
      </c>
      <c r="L171" s="5">
        <v>15</v>
      </c>
      <c r="M171" s="5">
        <v>15</v>
      </c>
    </row>
    <row r="172" spans="1:13">
      <c r="A172" s="5">
        <v>171</v>
      </c>
      <c r="B172" s="6">
        <v>40551</v>
      </c>
      <c r="C172" s="5">
        <v>9</v>
      </c>
      <c r="D172" s="5" t="b">
        <v>0</v>
      </c>
      <c r="E172" s="5">
        <v>6</v>
      </c>
      <c r="F172" s="5">
        <v>3</v>
      </c>
      <c r="G172" s="5">
        <v>0.16</v>
      </c>
      <c r="H172" s="5">
        <v>0.18179999999999999</v>
      </c>
      <c r="I172" s="5">
        <v>0.93</v>
      </c>
      <c r="J172" s="5">
        <v>0.1045</v>
      </c>
      <c r="K172" s="5">
        <v>0</v>
      </c>
      <c r="L172" s="5">
        <v>20</v>
      </c>
      <c r="M172" s="5">
        <v>20</v>
      </c>
    </row>
    <row r="173" spans="1:13">
      <c r="A173" s="5">
        <v>172</v>
      </c>
      <c r="B173" s="6">
        <v>40551</v>
      </c>
      <c r="C173" s="5">
        <v>10</v>
      </c>
      <c r="D173" s="5" t="b">
        <v>0</v>
      </c>
      <c r="E173" s="5">
        <v>6</v>
      </c>
      <c r="F173" s="5">
        <v>2</v>
      </c>
      <c r="G173" s="5">
        <v>0.18</v>
      </c>
      <c r="H173" s="5">
        <v>0.19700000000000001</v>
      </c>
      <c r="I173" s="5">
        <v>0.8</v>
      </c>
      <c r="J173" s="5">
        <v>0.16420000000000001</v>
      </c>
      <c r="K173" s="5">
        <v>5</v>
      </c>
      <c r="L173" s="5">
        <v>56</v>
      </c>
      <c r="M173" s="5">
        <v>61</v>
      </c>
    </row>
    <row r="174" spans="1:13">
      <c r="A174" s="5">
        <v>173</v>
      </c>
      <c r="B174" s="6">
        <v>40551</v>
      </c>
      <c r="C174" s="5">
        <v>11</v>
      </c>
      <c r="D174" s="5" t="b">
        <v>0</v>
      </c>
      <c r="E174" s="5">
        <v>6</v>
      </c>
      <c r="F174" s="5">
        <v>2</v>
      </c>
      <c r="G174" s="5">
        <v>0.2</v>
      </c>
      <c r="H174" s="5">
        <v>0.18179999999999999</v>
      </c>
      <c r="I174" s="5">
        <v>0.69</v>
      </c>
      <c r="J174" s="5">
        <v>0.3881</v>
      </c>
      <c r="K174" s="5">
        <v>2</v>
      </c>
      <c r="L174" s="5">
        <v>60</v>
      </c>
      <c r="M174" s="5">
        <v>62</v>
      </c>
    </row>
    <row r="175" spans="1:13">
      <c r="A175" s="5">
        <v>174</v>
      </c>
      <c r="B175" s="6">
        <v>40551</v>
      </c>
      <c r="C175" s="5">
        <v>12</v>
      </c>
      <c r="D175" s="5" t="b">
        <v>0</v>
      </c>
      <c r="E175" s="5">
        <v>6</v>
      </c>
      <c r="F175" s="5">
        <v>2</v>
      </c>
      <c r="G175" s="5">
        <v>0.2</v>
      </c>
      <c r="H175" s="5">
        <v>0.18179999999999999</v>
      </c>
      <c r="I175" s="5">
        <v>0.59</v>
      </c>
      <c r="J175" s="5">
        <v>0.35820000000000002</v>
      </c>
      <c r="K175" s="5">
        <v>8</v>
      </c>
      <c r="L175" s="5">
        <v>90</v>
      </c>
      <c r="M175" s="5">
        <v>98</v>
      </c>
    </row>
    <row r="176" spans="1:13">
      <c r="A176" s="5">
        <v>175</v>
      </c>
      <c r="B176" s="6">
        <v>40551</v>
      </c>
      <c r="C176" s="5">
        <v>13</v>
      </c>
      <c r="D176" s="5" t="b">
        <v>0</v>
      </c>
      <c r="E176" s="5">
        <v>6</v>
      </c>
      <c r="F176" s="5">
        <v>1</v>
      </c>
      <c r="G176" s="5">
        <v>0.2</v>
      </c>
      <c r="H176" s="5">
        <v>0.18179999999999999</v>
      </c>
      <c r="I176" s="5">
        <v>0.44</v>
      </c>
      <c r="J176" s="5">
        <v>0.32840000000000003</v>
      </c>
      <c r="K176" s="5">
        <v>7</v>
      </c>
      <c r="L176" s="5">
        <v>95</v>
      </c>
      <c r="M176" s="5">
        <v>102</v>
      </c>
    </row>
    <row r="177" spans="1:13">
      <c r="A177" s="5">
        <v>176</v>
      </c>
      <c r="B177" s="6">
        <v>40551</v>
      </c>
      <c r="C177" s="5">
        <v>14</v>
      </c>
      <c r="D177" s="5" t="b">
        <v>0</v>
      </c>
      <c r="E177" s="5">
        <v>6</v>
      </c>
      <c r="F177" s="5">
        <v>1</v>
      </c>
      <c r="G177" s="5">
        <v>0.2</v>
      </c>
      <c r="H177" s="5">
        <v>0.16669999999999999</v>
      </c>
      <c r="I177" s="5">
        <v>0.32</v>
      </c>
      <c r="J177" s="5">
        <v>0.49249999999999999</v>
      </c>
      <c r="K177" s="5">
        <v>12</v>
      </c>
      <c r="L177" s="5">
        <v>83</v>
      </c>
      <c r="M177" s="5">
        <v>95</v>
      </c>
    </row>
    <row r="178" spans="1:13">
      <c r="A178" s="5">
        <v>177</v>
      </c>
      <c r="B178" s="6">
        <v>40551</v>
      </c>
      <c r="C178" s="5">
        <v>15</v>
      </c>
      <c r="D178" s="5" t="b">
        <v>0</v>
      </c>
      <c r="E178" s="5">
        <v>6</v>
      </c>
      <c r="F178" s="5">
        <v>1</v>
      </c>
      <c r="G178" s="5">
        <v>0.2</v>
      </c>
      <c r="H178" s="5">
        <v>0.16669999999999999</v>
      </c>
      <c r="I178" s="5">
        <v>0.32</v>
      </c>
      <c r="J178" s="5">
        <v>0.44779999999999998</v>
      </c>
      <c r="K178" s="5">
        <v>5</v>
      </c>
      <c r="L178" s="5">
        <v>69</v>
      </c>
      <c r="M178" s="5">
        <v>74</v>
      </c>
    </row>
    <row r="179" spans="1:13">
      <c r="A179" s="5">
        <v>178</v>
      </c>
      <c r="B179" s="6">
        <v>40551</v>
      </c>
      <c r="C179" s="5">
        <v>16</v>
      </c>
      <c r="D179" s="5" t="b">
        <v>0</v>
      </c>
      <c r="E179" s="5">
        <v>6</v>
      </c>
      <c r="F179" s="5">
        <v>1</v>
      </c>
      <c r="G179" s="5">
        <v>0.18</v>
      </c>
      <c r="H179" s="5">
        <v>0.13639999999999999</v>
      </c>
      <c r="I179" s="5">
        <v>0.28999999999999998</v>
      </c>
      <c r="J179" s="5">
        <v>0.44779999999999998</v>
      </c>
      <c r="K179" s="5">
        <v>8</v>
      </c>
      <c r="L179" s="5">
        <v>68</v>
      </c>
      <c r="M179" s="5">
        <v>76</v>
      </c>
    </row>
    <row r="180" spans="1:13">
      <c r="A180" s="5">
        <v>179</v>
      </c>
      <c r="B180" s="6">
        <v>40551</v>
      </c>
      <c r="C180" s="5">
        <v>17</v>
      </c>
      <c r="D180" s="5" t="b">
        <v>0</v>
      </c>
      <c r="E180" s="5">
        <v>6</v>
      </c>
      <c r="F180" s="5">
        <v>1</v>
      </c>
      <c r="G180" s="5">
        <v>0.16</v>
      </c>
      <c r="H180" s="5">
        <v>0.1212</v>
      </c>
      <c r="I180" s="5">
        <v>0.37</v>
      </c>
      <c r="J180" s="5">
        <v>0.55220000000000002</v>
      </c>
      <c r="K180" s="5">
        <v>5</v>
      </c>
      <c r="L180" s="5">
        <v>64</v>
      </c>
      <c r="M180" s="5">
        <v>69</v>
      </c>
    </row>
    <row r="181" spans="1:13">
      <c r="A181" s="5">
        <v>180</v>
      </c>
      <c r="B181" s="6">
        <v>40551</v>
      </c>
      <c r="C181" s="5">
        <v>18</v>
      </c>
      <c r="D181" s="5" t="b">
        <v>0</v>
      </c>
      <c r="E181" s="5">
        <v>6</v>
      </c>
      <c r="F181" s="5">
        <v>1</v>
      </c>
      <c r="G181" s="5">
        <v>0.14000000000000001</v>
      </c>
      <c r="H181" s="5">
        <v>0.1212</v>
      </c>
      <c r="I181" s="5">
        <v>0.39</v>
      </c>
      <c r="J181" s="5">
        <v>0.29849999999999999</v>
      </c>
      <c r="K181" s="5">
        <v>3</v>
      </c>
      <c r="L181" s="5">
        <v>52</v>
      </c>
      <c r="M181" s="5">
        <v>55</v>
      </c>
    </row>
    <row r="182" spans="1:13">
      <c r="A182" s="5">
        <v>181</v>
      </c>
      <c r="B182" s="6">
        <v>40551</v>
      </c>
      <c r="C182" s="5">
        <v>19</v>
      </c>
      <c r="D182" s="5" t="b">
        <v>0</v>
      </c>
      <c r="E182" s="5">
        <v>6</v>
      </c>
      <c r="F182" s="5">
        <v>1</v>
      </c>
      <c r="G182" s="5">
        <v>0.14000000000000001</v>
      </c>
      <c r="H182" s="5">
        <v>0.1212</v>
      </c>
      <c r="I182" s="5">
        <v>0.36</v>
      </c>
      <c r="J182" s="5">
        <v>0.25369999999999998</v>
      </c>
      <c r="K182" s="5">
        <v>4</v>
      </c>
      <c r="L182" s="5">
        <v>26</v>
      </c>
      <c r="M182" s="5">
        <v>30</v>
      </c>
    </row>
    <row r="183" spans="1:13">
      <c r="A183" s="5">
        <v>182</v>
      </c>
      <c r="B183" s="6">
        <v>40551</v>
      </c>
      <c r="C183" s="5">
        <v>20</v>
      </c>
      <c r="D183" s="5" t="b">
        <v>0</v>
      </c>
      <c r="E183" s="5">
        <v>6</v>
      </c>
      <c r="F183" s="5">
        <v>1</v>
      </c>
      <c r="G183" s="5">
        <v>0.12</v>
      </c>
      <c r="H183" s="5">
        <v>0.1212</v>
      </c>
      <c r="I183" s="5">
        <v>0.36</v>
      </c>
      <c r="J183" s="5">
        <v>0.25369999999999998</v>
      </c>
      <c r="K183" s="5">
        <v>0</v>
      </c>
      <c r="L183" s="5">
        <v>28</v>
      </c>
      <c r="M183" s="5">
        <v>28</v>
      </c>
    </row>
    <row r="184" spans="1:13">
      <c r="A184" s="5">
        <v>183</v>
      </c>
      <c r="B184" s="6">
        <v>40551</v>
      </c>
      <c r="C184" s="5">
        <v>21</v>
      </c>
      <c r="D184" s="5" t="b">
        <v>0</v>
      </c>
      <c r="E184" s="5">
        <v>6</v>
      </c>
      <c r="F184" s="5">
        <v>1</v>
      </c>
      <c r="G184" s="5">
        <v>0.12</v>
      </c>
      <c r="H184" s="5">
        <v>0.1061</v>
      </c>
      <c r="I184" s="5">
        <v>0.39</v>
      </c>
      <c r="J184" s="5">
        <v>0.35820000000000002</v>
      </c>
      <c r="K184" s="5">
        <v>2</v>
      </c>
      <c r="L184" s="5">
        <v>35</v>
      </c>
      <c r="M184" s="5">
        <v>37</v>
      </c>
    </row>
    <row r="185" spans="1:13">
      <c r="A185" s="5">
        <v>184</v>
      </c>
      <c r="B185" s="6">
        <v>40551</v>
      </c>
      <c r="C185" s="5">
        <v>22</v>
      </c>
      <c r="D185" s="5" t="b">
        <v>0</v>
      </c>
      <c r="E185" s="5">
        <v>6</v>
      </c>
      <c r="F185" s="5">
        <v>1</v>
      </c>
      <c r="G185" s="5">
        <v>0.12</v>
      </c>
      <c r="H185" s="5">
        <v>0.1061</v>
      </c>
      <c r="I185" s="5">
        <v>0.36</v>
      </c>
      <c r="J185" s="5">
        <v>0.3881</v>
      </c>
      <c r="K185" s="5">
        <v>1</v>
      </c>
      <c r="L185" s="5">
        <v>33</v>
      </c>
      <c r="M185" s="5">
        <v>34</v>
      </c>
    </row>
    <row r="186" spans="1:13">
      <c r="A186" s="5">
        <v>185</v>
      </c>
      <c r="B186" s="6">
        <v>40551</v>
      </c>
      <c r="C186" s="5">
        <v>23</v>
      </c>
      <c r="D186" s="5" t="b">
        <v>0</v>
      </c>
      <c r="E186" s="5">
        <v>6</v>
      </c>
      <c r="F186" s="5">
        <v>1</v>
      </c>
      <c r="G186" s="5">
        <v>0.1</v>
      </c>
      <c r="H186" s="5">
        <v>6.0600000000000001E-2</v>
      </c>
      <c r="I186" s="5">
        <v>0.39</v>
      </c>
      <c r="J186" s="5">
        <v>0.44779999999999998</v>
      </c>
      <c r="K186" s="5">
        <v>0</v>
      </c>
      <c r="L186" s="5">
        <v>22</v>
      </c>
      <c r="M186" s="5">
        <v>22</v>
      </c>
    </row>
    <row r="187" spans="1:13">
      <c r="A187" s="5">
        <v>186</v>
      </c>
      <c r="B187" s="6">
        <v>40552</v>
      </c>
      <c r="C187" s="5">
        <v>0</v>
      </c>
      <c r="D187" s="5" t="b">
        <v>0</v>
      </c>
      <c r="E187" s="5">
        <v>0</v>
      </c>
      <c r="F187" s="5">
        <v>1</v>
      </c>
      <c r="G187" s="5">
        <v>0.1</v>
      </c>
      <c r="H187" s="5">
        <v>7.5800000000000006E-2</v>
      </c>
      <c r="I187" s="5">
        <v>0.42</v>
      </c>
      <c r="J187" s="5">
        <v>0.3881</v>
      </c>
      <c r="K187" s="5">
        <v>1</v>
      </c>
      <c r="L187" s="5">
        <v>24</v>
      </c>
      <c r="M187" s="5">
        <v>25</v>
      </c>
    </row>
    <row r="188" spans="1:13">
      <c r="A188" s="5">
        <v>187</v>
      </c>
      <c r="B188" s="6">
        <v>40552</v>
      </c>
      <c r="C188" s="5">
        <v>1</v>
      </c>
      <c r="D188" s="5" t="b">
        <v>0</v>
      </c>
      <c r="E188" s="5">
        <v>0</v>
      </c>
      <c r="F188" s="5">
        <v>1</v>
      </c>
      <c r="G188" s="5">
        <v>0.1</v>
      </c>
      <c r="H188" s="5">
        <v>6.0600000000000001E-2</v>
      </c>
      <c r="I188" s="5">
        <v>0.42</v>
      </c>
      <c r="J188" s="5">
        <v>0.4627</v>
      </c>
      <c r="K188" s="5">
        <v>0</v>
      </c>
      <c r="L188" s="5">
        <v>12</v>
      </c>
      <c r="M188" s="5">
        <v>12</v>
      </c>
    </row>
    <row r="189" spans="1:13">
      <c r="A189" s="5">
        <v>188</v>
      </c>
      <c r="B189" s="6">
        <v>40552</v>
      </c>
      <c r="C189" s="5">
        <v>2</v>
      </c>
      <c r="D189" s="5" t="b">
        <v>0</v>
      </c>
      <c r="E189" s="5">
        <v>0</v>
      </c>
      <c r="F189" s="5">
        <v>1</v>
      </c>
      <c r="G189" s="5">
        <v>0.1</v>
      </c>
      <c r="H189" s="5">
        <v>6.0600000000000001E-2</v>
      </c>
      <c r="I189" s="5">
        <v>0.46</v>
      </c>
      <c r="J189" s="5">
        <v>0.4627</v>
      </c>
      <c r="K189" s="5">
        <v>0</v>
      </c>
      <c r="L189" s="5">
        <v>11</v>
      </c>
      <c r="M189" s="5">
        <v>11</v>
      </c>
    </row>
    <row r="190" spans="1:13">
      <c r="A190" s="5">
        <v>189</v>
      </c>
      <c r="B190" s="6">
        <v>40552</v>
      </c>
      <c r="C190" s="5">
        <v>3</v>
      </c>
      <c r="D190" s="5" t="b">
        <v>0</v>
      </c>
      <c r="E190" s="5">
        <v>0</v>
      </c>
      <c r="F190" s="5">
        <v>1</v>
      </c>
      <c r="G190" s="5">
        <v>0.1</v>
      </c>
      <c r="H190" s="5">
        <v>7.5800000000000006E-2</v>
      </c>
      <c r="I190" s="5">
        <v>0.46</v>
      </c>
      <c r="J190" s="5">
        <v>0.41789999999999999</v>
      </c>
      <c r="K190" s="5">
        <v>0</v>
      </c>
      <c r="L190" s="5">
        <v>4</v>
      </c>
      <c r="M190" s="5">
        <v>4</v>
      </c>
    </row>
    <row r="191" spans="1:13">
      <c r="A191" s="5">
        <v>190</v>
      </c>
      <c r="B191" s="6">
        <v>40552</v>
      </c>
      <c r="C191" s="5">
        <v>4</v>
      </c>
      <c r="D191" s="5" t="b">
        <v>0</v>
      </c>
      <c r="E191" s="5">
        <v>0</v>
      </c>
      <c r="F191" s="5">
        <v>1</v>
      </c>
      <c r="G191" s="5">
        <v>0.08</v>
      </c>
      <c r="H191" s="5">
        <v>9.0899999999999995E-2</v>
      </c>
      <c r="I191" s="5">
        <v>0.53</v>
      </c>
      <c r="J191" s="5">
        <v>0.19400000000000001</v>
      </c>
      <c r="K191" s="5">
        <v>0</v>
      </c>
      <c r="L191" s="5">
        <v>1</v>
      </c>
      <c r="M191" s="5">
        <v>1</v>
      </c>
    </row>
    <row r="192" spans="1:13">
      <c r="A192" s="5">
        <v>191</v>
      </c>
      <c r="B192" s="6">
        <v>40552</v>
      </c>
      <c r="C192" s="5">
        <v>5</v>
      </c>
      <c r="D192" s="5" t="b">
        <v>0</v>
      </c>
      <c r="E192" s="5">
        <v>0</v>
      </c>
      <c r="F192" s="5">
        <v>1</v>
      </c>
      <c r="G192" s="5">
        <v>0.08</v>
      </c>
      <c r="H192" s="5">
        <v>9.0899999999999995E-2</v>
      </c>
      <c r="I192" s="5">
        <v>0.53</v>
      </c>
      <c r="J192" s="5">
        <v>0.19400000000000001</v>
      </c>
      <c r="K192" s="5">
        <v>0</v>
      </c>
      <c r="L192" s="5">
        <v>1</v>
      </c>
      <c r="M192" s="5">
        <v>1</v>
      </c>
    </row>
    <row r="193" spans="1:13">
      <c r="A193" s="5">
        <v>192</v>
      </c>
      <c r="B193" s="6">
        <v>40552</v>
      </c>
      <c r="C193" s="5">
        <v>6</v>
      </c>
      <c r="D193" s="5" t="b">
        <v>0</v>
      </c>
      <c r="E193" s="5">
        <v>0</v>
      </c>
      <c r="F193" s="5">
        <v>1</v>
      </c>
      <c r="G193" s="5">
        <v>0.1</v>
      </c>
      <c r="H193" s="5">
        <v>9.0899999999999995E-2</v>
      </c>
      <c r="I193" s="5">
        <v>0.49</v>
      </c>
      <c r="J193" s="5">
        <v>0.28360000000000002</v>
      </c>
      <c r="K193" s="5">
        <v>0</v>
      </c>
      <c r="L193" s="5">
        <v>1</v>
      </c>
      <c r="M193" s="5">
        <v>1</v>
      </c>
    </row>
    <row r="194" spans="1:13">
      <c r="A194" s="5">
        <v>193</v>
      </c>
      <c r="B194" s="6">
        <v>40552</v>
      </c>
      <c r="C194" s="5">
        <v>7</v>
      </c>
      <c r="D194" s="5" t="b">
        <v>0</v>
      </c>
      <c r="E194" s="5">
        <v>0</v>
      </c>
      <c r="F194" s="5">
        <v>1</v>
      </c>
      <c r="G194" s="5">
        <v>0.08</v>
      </c>
      <c r="H194" s="5">
        <v>9.0899999999999995E-2</v>
      </c>
      <c r="I194" s="5">
        <v>0.53</v>
      </c>
      <c r="J194" s="5">
        <v>0.19400000000000001</v>
      </c>
      <c r="K194" s="5">
        <v>1</v>
      </c>
      <c r="L194" s="5">
        <v>5</v>
      </c>
      <c r="M194" s="5">
        <v>6</v>
      </c>
    </row>
    <row r="195" spans="1:13">
      <c r="A195" s="5">
        <v>194</v>
      </c>
      <c r="B195" s="6">
        <v>40552</v>
      </c>
      <c r="C195" s="5">
        <v>8</v>
      </c>
      <c r="D195" s="5" t="b">
        <v>0</v>
      </c>
      <c r="E195" s="5">
        <v>0</v>
      </c>
      <c r="F195" s="5">
        <v>1</v>
      </c>
      <c r="G195" s="5">
        <v>0.1</v>
      </c>
      <c r="H195" s="5">
        <v>9.0899999999999995E-2</v>
      </c>
      <c r="I195" s="5">
        <v>0.49</v>
      </c>
      <c r="J195" s="5">
        <v>0.28360000000000002</v>
      </c>
      <c r="K195" s="5">
        <v>0</v>
      </c>
      <c r="L195" s="5">
        <v>10</v>
      </c>
      <c r="M195" s="5">
        <v>10</v>
      </c>
    </row>
    <row r="196" spans="1:13">
      <c r="A196" s="5">
        <v>195</v>
      </c>
      <c r="B196" s="6">
        <v>40552</v>
      </c>
      <c r="C196" s="5">
        <v>9</v>
      </c>
      <c r="D196" s="5" t="b">
        <v>0</v>
      </c>
      <c r="E196" s="5">
        <v>0</v>
      </c>
      <c r="F196" s="5">
        <v>1</v>
      </c>
      <c r="G196" s="5">
        <v>0.12</v>
      </c>
      <c r="H196" s="5">
        <v>7.5800000000000006E-2</v>
      </c>
      <c r="I196" s="5">
        <v>0.46</v>
      </c>
      <c r="J196" s="5">
        <v>0.52239999999999998</v>
      </c>
      <c r="K196" s="5">
        <v>0</v>
      </c>
      <c r="L196" s="5">
        <v>19</v>
      </c>
      <c r="M196" s="5">
        <v>19</v>
      </c>
    </row>
    <row r="197" spans="1:13">
      <c r="A197" s="5">
        <v>196</v>
      </c>
      <c r="B197" s="6">
        <v>40552</v>
      </c>
      <c r="C197" s="5">
        <v>10</v>
      </c>
      <c r="D197" s="5" t="b">
        <v>0</v>
      </c>
      <c r="E197" s="5">
        <v>0</v>
      </c>
      <c r="F197" s="5">
        <v>1</v>
      </c>
      <c r="G197" s="5">
        <v>0.14000000000000001</v>
      </c>
      <c r="H197" s="5">
        <v>0.1061</v>
      </c>
      <c r="I197" s="5">
        <v>0.43</v>
      </c>
      <c r="J197" s="5">
        <v>0.3881</v>
      </c>
      <c r="K197" s="5">
        <v>0</v>
      </c>
      <c r="L197" s="5">
        <v>49</v>
      </c>
      <c r="M197" s="5">
        <v>49</v>
      </c>
    </row>
    <row r="198" spans="1:13">
      <c r="A198" s="5">
        <v>197</v>
      </c>
      <c r="B198" s="6">
        <v>40552</v>
      </c>
      <c r="C198" s="5">
        <v>11</v>
      </c>
      <c r="D198" s="5" t="b">
        <v>0</v>
      </c>
      <c r="E198" s="5">
        <v>0</v>
      </c>
      <c r="F198" s="5">
        <v>1</v>
      </c>
      <c r="G198" s="5">
        <v>0.16</v>
      </c>
      <c r="H198" s="5">
        <v>0.1212</v>
      </c>
      <c r="I198" s="5">
        <v>0.4</v>
      </c>
      <c r="J198" s="5">
        <v>0.52239999999999998</v>
      </c>
      <c r="K198" s="5">
        <v>2</v>
      </c>
      <c r="L198" s="5">
        <v>47</v>
      </c>
      <c r="M198" s="5">
        <v>49</v>
      </c>
    </row>
    <row r="199" spans="1:13">
      <c r="A199" s="5">
        <v>198</v>
      </c>
      <c r="B199" s="6">
        <v>40552</v>
      </c>
      <c r="C199" s="5">
        <v>12</v>
      </c>
      <c r="D199" s="5" t="b">
        <v>0</v>
      </c>
      <c r="E199" s="5">
        <v>0</v>
      </c>
      <c r="F199" s="5">
        <v>1</v>
      </c>
      <c r="G199" s="5">
        <v>0.18</v>
      </c>
      <c r="H199" s="5">
        <v>0.13639999999999999</v>
      </c>
      <c r="I199" s="5">
        <v>0.37</v>
      </c>
      <c r="J199" s="5">
        <v>0.44779999999999998</v>
      </c>
      <c r="K199" s="5">
        <v>4</v>
      </c>
      <c r="L199" s="5">
        <v>79</v>
      </c>
      <c r="M199" s="5">
        <v>83</v>
      </c>
    </row>
    <row r="200" spans="1:13">
      <c r="A200" s="5">
        <v>199</v>
      </c>
      <c r="B200" s="6">
        <v>40552</v>
      </c>
      <c r="C200" s="5">
        <v>13</v>
      </c>
      <c r="D200" s="5" t="b">
        <v>0</v>
      </c>
      <c r="E200" s="5">
        <v>0</v>
      </c>
      <c r="F200" s="5">
        <v>1</v>
      </c>
      <c r="G200" s="5">
        <v>0.2</v>
      </c>
      <c r="H200" s="5">
        <v>0.16669999999999999</v>
      </c>
      <c r="I200" s="5">
        <v>0.34</v>
      </c>
      <c r="J200" s="5">
        <v>0.44779999999999998</v>
      </c>
      <c r="K200" s="5">
        <v>6</v>
      </c>
      <c r="L200" s="5">
        <v>69</v>
      </c>
      <c r="M200" s="5">
        <v>75</v>
      </c>
    </row>
    <row r="201" spans="1:13">
      <c r="A201" s="5">
        <v>200</v>
      </c>
      <c r="B201" s="6">
        <v>40552</v>
      </c>
      <c r="C201" s="5">
        <v>14</v>
      </c>
      <c r="D201" s="5" t="b">
        <v>0</v>
      </c>
      <c r="E201" s="5">
        <v>0</v>
      </c>
      <c r="F201" s="5">
        <v>1</v>
      </c>
      <c r="G201" s="5">
        <v>0.22</v>
      </c>
      <c r="H201" s="5">
        <v>0.18179999999999999</v>
      </c>
      <c r="I201" s="5">
        <v>0.32</v>
      </c>
      <c r="J201" s="5">
        <v>0.4627</v>
      </c>
      <c r="K201" s="5">
        <v>8</v>
      </c>
      <c r="L201" s="5">
        <v>64</v>
      </c>
      <c r="M201" s="5">
        <v>72</v>
      </c>
    </row>
    <row r="202" spans="1:13">
      <c r="A202" s="5">
        <v>201</v>
      </c>
      <c r="B202" s="6">
        <v>40552</v>
      </c>
      <c r="C202" s="5">
        <v>15</v>
      </c>
      <c r="D202" s="5" t="b">
        <v>0</v>
      </c>
      <c r="E202" s="5">
        <v>0</v>
      </c>
      <c r="F202" s="5">
        <v>1</v>
      </c>
      <c r="G202" s="5">
        <v>0.22</v>
      </c>
      <c r="H202" s="5">
        <v>0.19700000000000001</v>
      </c>
      <c r="I202" s="5">
        <v>0.35</v>
      </c>
      <c r="J202" s="5">
        <v>0.35820000000000002</v>
      </c>
      <c r="K202" s="5">
        <v>5</v>
      </c>
      <c r="L202" s="5">
        <v>77</v>
      </c>
      <c r="M202" s="5">
        <v>82</v>
      </c>
    </row>
    <row r="203" spans="1:13">
      <c r="A203" s="5">
        <v>202</v>
      </c>
      <c r="B203" s="6">
        <v>40552</v>
      </c>
      <c r="C203" s="5">
        <v>16</v>
      </c>
      <c r="D203" s="5" t="b">
        <v>0</v>
      </c>
      <c r="E203" s="5">
        <v>0</v>
      </c>
      <c r="F203" s="5">
        <v>1</v>
      </c>
      <c r="G203" s="5">
        <v>0.2</v>
      </c>
      <c r="H203" s="5">
        <v>0.16669999999999999</v>
      </c>
      <c r="I203" s="5">
        <v>0.34</v>
      </c>
      <c r="J203" s="5">
        <v>0.44779999999999998</v>
      </c>
      <c r="K203" s="5">
        <v>13</v>
      </c>
      <c r="L203" s="5">
        <v>79</v>
      </c>
      <c r="M203" s="5">
        <v>92</v>
      </c>
    </row>
    <row r="204" spans="1:13">
      <c r="A204" s="5">
        <v>203</v>
      </c>
      <c r="B204" s="6">
        <v>40552</v>
      </c>
      <c r="C204" s="5">
        <v>17</v>
      </c>
      <c r="D204" s="5" t="b">
        <v>0</v>
      </c>
      <c r="E204" s="5">
        <v>0</v>
      </c>
      <c r="F204" s="5">
        <v>1</v>
      </c>
      <c r="G204" s="5">
        <v>0.18</v>
      </c>
      <c r="H204" s="5">
        <v>0.1515</v>
      </c>
      <c r="I204" s="5">
        <v>0.37</v>
      </c>
      <c r="J204" s="5">
        <v>0.3881</v>
      </c>
      <c r="K204" s="5">
        <v>3</v>
      </c>
      <c r="L204" s="5">
        <v>59</v>
      </c>
      <c r="M204" s="5">
        <v>62</v>
      </c>
    </row>
    <row r="205" spans="1:13">
      <c r="A205" s="5">
        <v>204</v>
      </c>
      <c r="B205" s="6">
        <v>40552</v>
      </c>
      <c r="C205" s="5">
        <v>18</v>
      </c>
      <c r="D205" s="5" t="b">
        <v>0</v>
      </c>
      <c r="E205" s="5">
        <v>0</v>
      </c>
      <c r="F205" s="5">
        <v>1</v>
      </c>
      <c r="G205" s="5">
        <v>0.16</v>
      </c>
      <c r="H205" s="5">
        <v>0.13639999999999999</v>
      </c>
      <c r="I205" s="5">
        <v>0.4</v>
      </c>
      <c r="J205" s="5">
        <v>0.32840000000000003</v>
      </c>
      <c r="K205" s="5">
        <v>4</v>
      </c>
      <c r="L205" s="5">
        <v>44</v>
      </c>
      <c r="M205" s="5">
        <v>48</v>
      </c>
    </row>
    <row r="206" spans="1:13">
      <c r="A206" s="5">
        <v>205</v>
      </c>
      <c r="B206" s="6">
        <v>40552</v>
      </c>
      <c r="C206" s="5">
        <v>19</v>
      </c>
      <c r="D206" s="5" t="b">
        <v>0</v>
      </c>
      <c r="E206" s="5">
        <v>0</v>
      </c>
      <c r="F206" s="5">
        <v>1</v>
      </c>
      <c r="G206" s="5">
        <v>0.16</v>
      </c>
      <c r="H206" s="5">
        <v>0.13639999999999999</v>
      </c>
      <c r="I206" s="5">
        <v>0.43</v>
      </c>
      <c r="J206" s="5">
        <v>0.32840000000000003</v>
      </c>
      <c r="K206" s="5">
        <v>1</v>
      </c>
      <c r="L206" s="5">
        <v>40</v>
      </c>
      <c r="M206" s="5">
        <v>41</v>
      </c>
    </row>
    <row r="207" spans="1:13">
      <c r="A207" s="5">
        <v>206</v>
      </c>
      <c r="B207" s="6">
        <v>40552</v>
      </c>
      <c r="C207" s="5">
        <v>20</v>
      </c>
      <c r="D207" s="5" t="b">
        <v>0</v>
      </c>
      <c r="E207" s="5">
        <v>0</v>
      </c>
      <c r="F207" s="5">
        <v>1</v>
      </c>
      <c r="G207" s="5">
        <v>0.14000000000000001</v>
      </c>
      <c r="H207" s="5">
        <v>0.1212</v>
      </c>
      <c r="I207" s="5">
        <v>0.46</v>
      </c>
      <c r="J207" s="5">
        <v>0.25369999999999998</v>
      </c>
      <c r="K207" s="5">
        <v>0</v>
      </c>
      <c r="L207" s="5">
        <v>38</v>
      </c>
      <c r="M207" s="5">
        <v>38</v>
      </c>
    </row>
    <row r="208" spans="1:13">
      <c r="A208" s="5">
        <v>207</v>
      </c>
      <c r="B208" s="6">
        <v>40552</v>
      </c>
      <c r="C208" s="5">
        <v>21</v>
      </c>
      <c r="D208" s="5" t="b">
        <v>0</v>
      </c>
      <c r="E208" s="5">
        <v>0</v>
      </c>
      <c r="F208" s="5">
        <v>1</v>
      </c>
      <c r="G208" s="5">
        <v>0.14000000000000001</v>
      </c>
      <c r="H208" s="5">
        <v>0.1061</v>
      </c>
      <c r="I208" s="5">
        <v>0.46</v>
      </c>
      <c r="J208" s="5">
        <v>0.41789999999999999</v>
      </c>
      <c r="K208" s="5">
        <v>1</v>
      </c>
      <c r="L208" s="5">
        <v>19</v>
      </c>
      <c r="M208" s="5">
        <v>20</v>
      </c>
    </row>
    <row r="209" spans="1:13">
      <c r="A209" s="5">
        <v>208</v>
      </c>
      <c r="B209" s="6">
        <v>40552</v>
      </c>
      <c r="C209" s="5">
        <v>22</v>
      </c>
      <c r="D209" s="5" t="b">
        <v>0</v>
      </c>
      <c r="E209" s="5">
        <v>0</v>
      </c>
      <c r="F209" s="5">
        <v>1</v>
      </c>
      <c r="G209" s="5">
        <v>0.14000000000000001</v>
      </c>
      <c r="H209" s="5">
        <v>0.1212</v>
      </c>
      <c r="I209" s="5">
        <v>0.46</v>
      </c>
      <c r="J209" s="5">
        <v>0.29849999999999999</v>
      </c>
      <c r="K209" s="5">
        <v>5</v>
      </c>
      <c r="L209" s="5">
        <v>10</v>
      </c>
      <c r="M209" s="5">
        <v>15</v>
      </c>
    </row>
    <row r="210" spans="1:13">
      <c r="A210" s="5">
        <v>209</v>
      </c>
      <c r="B210" s="6">
        <v>40552</v>
      </c>
      <c r="C210" s="5">
        <v>23</v>
      </c>
      <c r="D210" s="5" t="b">
        <v>0</v>
      </c>
      <c r="E210" s="5">
        <v>0</v>
      </c>
      <c r="F210" s="5">
        <v>1</v>
      </c>
      <c r="G210" s="5">
        <v>0.12</v>
      </c>
      <c r="H210" s="5">
        <v>0.13639999999999999</v>
      </c>
      <c r="I210" s="5">
        <v>0.5</v>
      </c>
      <c r="J210" s="5">
        <v>0.19400000000000001</v>
      </c>
      <c r="K210" s="5">
        <v>0</v>
      </c>
      <c r="L210" s="5">
        <v>6</v>
      </c>
      <c r="M210" s="5">
        <v>6</v>
      </c>
    </row>
    <row r="211" spans="1:13">
      <c r="A211" s="5">
        <v>210</v>
      </c>
      <c r="B211" s="6">
        <v>40553</v>
      </c>
      <c r="C211" s="5">
        <v>0</v>
      </c>
      <c r="D211" s="5" t="b">
        <v>0</v>
      </c>
      <c r="E211" s="5">
        <v>1</v>
      </c>
      <c r="F211" s="5">
        <v>1</v>
      </c>
      <c r="G211" s="5">
        <v>0.12</v>
      </c>
      <c r="H211" s="5">
        <v>0.1212</v>
      </c>
      <c r="I211" s="5">
        <v>0.5</v>
      </c>
      <c r="J211" s="5">
        <v>0.28360000000000002</v>
      </c>
      <c r="K211" s="5">
        <v>2</v>
      </c>
      <c r="L211" s="5">
        <v>3</v>
      </c>
      <c r="M211" s="5">
        <v>5</v>
      </c>
    </row>
    <row r="212" spans="1:13">
      <c r="A212" s="5">
        <v>211</v>
      </c>
      <c r="B212" s="6">
        <v>40553</v>
      </c>
      <c r="C212" s="5">
        <v>1</v>
      </c>
      <c r="D212" s="5" t="b">
        <v>0</v>
      </c>
      <c r="E212" s="5">
        <v>1</v>
      </c>
      <c r="F212" s="5">
        <v>1</v>
      </c>
      <c r="G212" s="5">
        <v>0.12</v>
      </c>
      <c r="H212" s="5">
        <v>0.1212</v>
      </c>
      <c r="I212" s="5">
        <v>0.5</v>
      </c>
      <c r="J212" s="5">
        <v>0.28360000000000002</v>
      </c>
      <c r="K212" s="5">
        <v>1</v>
      </c>
      <c r="L212" s="5">
        <v>0</v>
      </c>
      <c r="M212" s="5">
        <v>1</v>
      </c>
    </row>
    <row r="213" spans="1:13">
      <c r="A213" s="5">
        <v>212</v>
      </c>
      <c r="B213" s="6">
        <v>40553</v>
      </c>
      <c r="C213" s="5">
        <v>2</v>
      </c>
      <c r="D213" s="5" t="b">
        <v>0</v>
      </c>
      <c r="E213" s="5">
        <v>1</v>
      </c>
      <c r="F213" s="5">
        <v>1</v>
      </c>
      <c r="G213" s="5">
        <v>0.12</v>
      </c>
      <c r="H213" s="5">
        <v>0.1212</v>
      </c>
      <c r="I213" s="5">
        <v>0.5</v>
      </c>
      <c r="J213" s="5">
        <v>0.22389999999999999</v>
      </c>
      <c r="K213" s="5">
        <v>0</v>
      </c>
      <c r="L213" s="5">
        <v>3</v>
      </c>
      <c r="M213" s="5">
        <v>3</v>
      </c>
    </row>
    <row r="214" spans="1:13">
      <c r="A214" s="5">
        <v>213</v>
      </c>
      <c r="B214" s="6">
        <v>40553</v>
      </c>
      <c r="C214" s="5">
        <v>3</v>
      </c>
      <c r="D214" s="5" t="b">
        <v>0</v>
      </c>
      <c r="E214" s="5">
        <v>1</v>
      </c>
      <c r="F214" s="5">
        <v>1</v>
      </c>
      <c r="G214" s="5">
        <v>0.12</v>
      </c>
      <c r="H214" s="5">
        <v>0.1212</v>
      </c>
      <c r="I214" s="5">
        <v>0.5</v>
      </c>
      <c r="J214" s="5">
        <v>0.22389999999999999</v>
      </c>
      <c r="K214" s="5">
        <v>0</v>
      </c>
      <c r="L214" s="5">
        <v>1</v>
      </c>
      <c r="M214" s="5">
        <v>1</v>
      </c>
    </row>
    <row r="215" spans="1:13">
      <c r="A215" s="5">
        <v>214</v>
      </c>
      <c r="B215" s="6">
        <v>40553</v>
      </c>
      <c r="C215" s="5">
        <v>4</v>
      </c>
      <c r="D215" s="5" t="b">
        <v>0</v>
      </c>
      <c r="E215" s="5">
        <v>1</v>
      </c>
      <c r="F215" s="5">
        <v>1</v>
      </c>
      <c r="G215" s="5">
        <v>0.1</v>
      </c>
      <c r="H215" s="5">
        <v>0.1212</v>
      </c>
      <c r="I215" s="5">
        <v>0.54</v>
      </c>
      <c r="J215" s="5">
        <v>0.1343</v>
      </c>
      <c r="K215" s="5">
        <v>1</v>
      </c>
      <c r="L215" s="5">
        <v>2</v>
      </c>
      <c r="M215" s="5">
        <v>3</v>
      </c>
    </row>
    <row r="216" spans="1:13">
      <c r="A216" s="5">
        <v>215</v>
      </c>
      <c r="B216" s="6">
        <v>40553</v>
      </c>
      <c r="C216" s="5">
        <v>5</v>
      </c>
      <c r="D216" s="5" t="b">
        <v>0</v>
      </c>
      <c r="E216" s="5">
        <v>1</v>
      </c>
      <c r="F216" s="5">
        <v>1</v>
      </c>
      <c r="G216" s="5">
        <v>0.1</v>
      </c>
      <c r="H216" s="5">
        <v>0.1061</v>
      </c>
      <c r="I216" s="5">
        <v>0.54</v>
      </c>
      <c r="J216" s="5">
        <v>0.25369999999999998</v>
      </c>
      <c r="K216" s="5">
        <v>0</v>
      </c>
      <c r="L216" s="5">
        <v>3</v>
      </c>
      <c r="M216" s="5">
        <v>3</v>
      </c>
    </row>
    <row r="217" spans="1:13">
      <c r="A217" s="5">
        <v>216</v>
      </c>
      <c r="B217" s="6">
        <v>40553</v>
      </c>
      <c r="C217" s="5">
        <v>6</v>
      </c>
      <c r="D217" s="5" t="b">
        <v>0</v>
      </c>
      <c r="E217" s="5">
        <v>1</v>
      </c>
      <c r="F217" s="5">
        <v>1</v>
      </c>
      <c r="G217" s="5">
        <v>0.12</v>
      </c>
      <c r="H217" s="5">
        <v>0.1212</v>
      </c>
      <c r="I217" s="5">
        <v>0.5</v>
      </c>
      <c r="J217" s="5">
        <v>0.28360000000000002</v>
      </c>
      <c r="K217" s="5">
        <v>0</v>
      </c>
      <c r="L217" s="5">
        <v>31</v>
      </c>
      <c r="M217" s="5">
        <v>31</v>
      </c>
    </row>
    <row r="218" spans="1:13">
      <c r="A218" s="5">
        <v>217</v>
      </c>
      <c r="B218" s="6">
        <v>40553</v>
      </c>
      <c r="C218" s="5">
        <v>7</v>
      </c>
      <c r="D218" s="5" t="b">
        <v>0</v>
      </c>
      <c r="E218" s="5">
        <v>1</v>
      </c>
      <c r="F218" s="5">
        <v>1</v>
      </c>
      <c r="G218" s="5">
        <v>0.12</v>
      </c>
      <c r="H218" s="5">
        <v>0.1212</v>
      </c>
      <c r="I218" s="5">
        <v>0.5</v>
      </c>
      <c r="J218" s="5">
        <v>0.22389999999999999</v>
      </c>
      <c r="K218" s="5">
        <v>2</v>
      </c>
      <c r="L218" s="5">
        <v>75</v>
      </c>
      <c r="M218" s="5">
        <v>77</v>
      </c>
    </row>
    <row r="219" spans="1:13">
      <c r="A219" s="5">
        <v>218</v>
      </c>
      <c r="B219" s="6">
        <v>40553</v>
      </c>
      <c r="C219" s="5">
        <v>8</v>
      </c>
      <c r="D219" s="5" t="b">
        <v>0</v>
      </c>
      <c r="E219" s="5">
        <v>1</v>
      </c>
      <c r="F219" s="5">
        <v>2</v>
      </c>
      <c r="G219" s="5">
        <v>0.12</v>
      </c>
      <c r="H219" s="5">
        <v>0.1212</v>
      </c>
      <c r="I219" s="5">
        <v>0.5</v>
      </c>
      <c r="J219" s="5">
        <v>0.28360000000000002</v>
      </c>
      <c r="K219" s="5">
        <v>4</v>
      </c>
      <c r="L219" s="5">
        <v>184</v>
      </c>
      <c r="M219" s="5">
        <v>188</v>
      </c>
    </row>
    <row r="220" spans="1:13">
      <c r="A220" s="5">
        <v>219</v>
      </c>
      <c r="B220" s="6">
        <v>40553</v>
      </c>
      <c r="C220" s="5">
        <v>9</v>
      </c>
      <c r="D220" s="5" t="b">
        <v>0</v>
      </c>
      <c r="E220" s="5">
        <v>1</v>
      </c>
      <c r="F220" s="5">
        <v>2</v>
      </c>
      <c r="G220" s="5">
        <v>0.14000000000000001</v>
      </c>
      <c r="H220" s="5">
        <v>0.1212</v>
      </c>
      <c r="I220" s="5">
        <v>0.5</v>
      </c>
      <c r="J220" s="5">
        <v>0.25369999999999998</v>
      </c>
      <c r="K220" s="5">
        <v>2</v>
      </c>
      <c r="L220" s="5">
        <v>92</v>
      </c>
      <c r="M220" s="5">
        <v>94</v>
      </c>
    </row>
    <row r="221" spans="1:13">
      <c r="A221" s="5">
        <v>220</v>
      </c>
      <c r="B221" s="6">
        <v>40553</v>
      </c>
      <c r="C221" s="5">
        <v>10</v>
      </c>
      <c r="D221" s="5" t="b">
        <v>0</v>
      </c>
      <c r="E221" s="5">
        <v>1</v>
      </c>
      <c r="F221" s="5">
        <v>2</v>
      </c>
      <c r="G221" s="5">
        <v>0.14000000000000001</v>
      </c>
      <c r="H221" s="5">
        <v>0.1212</v>
      </c>
      <c r="I221" s="5">
        <v>0.5</v>
      </c>
      <c r="J221" s="5">
        <v>0.29849999999999999</v>
      </c>
      <c r="K221" s="5">
        <v>0</v>
      </c>
      <c r="L221" s="5">
        <v>31</v>
      </c>
      <c r="M221" s="5">
        <v>31</v>
      </c>
    </row>
    <row r="222" spans="1:13">
      <c r="A222" s="5">
        <v>221</v>
      </c>
      <c r="B222" s="6">
        <v>40553</v>
      </c>
      <c r="C222" s="5">
        <v>11</v>
      </c>
      <c r="D222" s="5" t="b">
        <v>0</v>
      </c>
      <c r="E222" s="5">
        <v>1</v>
      </c>
      <c r="F222" s="5">
        <v>2</v>
      </c>
      <c r="G222" s="5">
        <v>0.16</v>
      </c>
      <c r="H222" s="5">
        <v>0.13639999999999999</v>
      </c>
      <c r="I222" s="5">
        <v>0.47</v>
      </c>
      <c r="J222" s="5">
        <v>0.28360000000000002</v>
      </c>
      <c r="K222" s="5">
        <v>2</v>
      </c>
      <c r="L222" s="5">
        <v>28</v>
      </c>
      <c r="M222" s="5">
        <v>30</v>
      </c>
    </row>
    <row r="223" spans="1:13">
      <c r="A223" s="5">
        <v>222</v>
      </c>
      <c r="B223" s="6">
        <v>40553</v>
      </c>
      <c r="C223" s="5">
        <v>12</v>
      </c>
      <c r="D223" s="5" t="b">
        <v>0</v>
      </c>
      <c r="E223" s="5">
        <v>1</v>
      </c>
      <c r="F223" s="5">
        <v>2</v>
      </c>
      <c r="G223" s="5">
        <v>0.2</v>
      </c>
      <c r="H223" s="5">
        <v>0.18179999999999999</v>
      </c>
      <c r="I223" s="5">
        <v>0.4</v>
      </c>
      <c r="J223" s="5">
        <v>0.28360000000000002</v>
      </c>
      <c r="K223" s="5">
        <v>5</v>
      </c>
      <c r="L223" s="5">
        <v>47</v>
      </c>
      <c r="M223" s="5">
        <v>52</v>
      </c>
    </row>
    <row r="224" spans="1:13">
      <c r="A224" s="5">
        <v>223</v>
      </c>
      <c r="B224" s="6">
        <v>40553</v>
      </c>
      <c r="C224" s="5">
        <v>13</v>
      </c>
      <c r="D224" s="5" t="b">
        <v>0</v>
      </c>
      <c r="E224" s="5">
        <v>1</v>
      </c>
      <c r="F224" s="5">
        <v>2</v>
      </c>
      <c r="G224" s="5">
        <v>0.2</v>
      </c>
      <c r="H224" s="5">
        <v>0.18179999999999999</v>
      </c>
      <c r="I224" s="5">
        <v>0.4</v>
      </c>
      <c r="J224" s="5">
        <v>0.28360000000000002</v>
      </c>
      <c r="K224" s="5">
        <v>4</v>
      </c>
      <c r="L224" s="5">
        <v>50</v>
      </c>
      <c r="M224" s="5">
        <v>54</v>
      </c>
    </row>
    <row r="225" spans="1:13">
      <c r="A225" s="5">
        <v>224</v>
      </c>
      <c r="B225" s="6">
        <v>40553</v>
      </c>
      <c r="C225" s="5">
        <v>14</v>
      </c>
      <c r="D225" s="5" t="b">
        <v>0</v>
      </c>
      <c r="E225" s="5">
        <v>1</v>
      </c>
      <c r="F225" s="5">
        <v>2</v>
      </c>
      <c r="G225" s="5">
        <v>0.2</v>
      </c>
      <c r="H225" s="5">
        <v>0.19700000000000001</v>
      </c>
      <c r="I225" s="5">
        <v>0.4</v>
      </c>
      <c r="J225" s="5">
        <v>0.22389999999999999</v>
      </c>
      <c r="K225" s="5">
        <v>0</v>
      </c>
      <c r="L225" s="5">
        <v>47</v>
      </c>
      <c r="M225" s="5">
        <v>47</v>
      </c>
    </row>
    <row r="226" spans="1:13">
      <c r="A226" s="5">
        <v>225</v>
      </c>
      <c r="B226" s="6">
        <v>40553</v>
      </c>
      <c r="C226" s="5">
        <v>15</v>
      </c>
      <c r="D226" s="5" t="b">
        <v>0</v>
      </c>
      <c r="E226" s="5">
        <v>1</v>
      </c>
      <c r="F226" s="5">
        <v>2</v>
      </c>
      <c r="G226" s="5">
        <v>0.2</v>
      </c>
      <c r="H226" s="5">
        <v>0.19700000000000001</v>
      </c>
      <c r="I226" s="5">
        <v>0.4</v>
      </c>
      <c r="J226" s="5">
        <v>0.22389999999999999</v>
      </c>
      <c r="K226" s="5">
        <v>2</v>
      </c>
      <c r="L226" s="5">
        <v>43</v>
      </c>
      <c r="M226" s="5">
        <v>45</v>
      </c>
    </row>
    <row r="227" spans="1:13">
      <c r="A227" s="5">
        <v>226</v>
      </c>
      <c r="B227" s="6">
        <v>40553</v>
      </c>
      <c r="C227" s="5">
        <v>16</v>
      </c>
      <c r="D227" s="5" t="b">
        <v>0</v>
      </c>
      <c r="E227" s="5">
        <v>1</v>
      </c>
      <c r="F227" s="5">
        <v>1</v>
      </c>
      <c r="G227" s="5">
        <v>0.2</v>
      </c>
      <c r="H227" s="5">
        <v>0.21210000000000001</v>
      </c>
      <c r="I227" s="5">
        <v>0.4</v>
      </c>
      <c r="J227" s="5">
        <v>0.1343</v>
      </c>
      <c r="K227" s="5">
        <v>4</v>
      </c>
      <c r="L227" s="5">
        <v>70</v>
      </c>
      <c r="M227" s="5">
        <v>74</v>
      </c>
    </row>
    <row r="228" spans="1:13">
      <c r="A228" s="5">
        <v>227</v>
      </c>
      <c r="B228" s="6">
        <v>40553</v>
      </c>
      <c r="C228" s="5">
        <v>17</v>
      </c>
      <c r="D228" s="5" t="b">
        <v>0</v>
      </c>
      <c r="E228" s="5">
        <v>1</v>
      </c>
      <c r="F228" s="5">
        <v>1</v>
      </c>
      <c r="G228" s="5">
        <v>0.2</v>
      </c>
      <c r="H228" s="5">
        <v>0.2273</v>
      </c>
      <c r="I228" s="5">
        <v>0.4</v>
      </c>
      <c r="J228" s="5">
        <v>0.1045</v>
      </c>
      <c r="K228" s="5">
        <v>4</v>
      </c>
      <c r="L228" s="5">
        <v>174</v>
      </c>
      <c r="M228" s="5">
        <v>178</v>
      </c>
    </row>
    <row r="229" spans="1:13">
      <c r="A229" s="5">
        <v>228</v>
      </c>
      <c r="B229" s="6">
        <v>40553</v>
      </c>
      <c r="C229" s="5">
        <v>18</v>
      </c>
      <c r="D229" s="5" t="b">
        <v>0</v>
      </c>
      <c r="E229" s="5">
        <v>1</v>
      </c>
      <c r="F229" s="5">
        <v>1</v>
      </c>
      <c r="G229" s="5">
        <v>0.2</v>
      </c>
      <c r="H229" s="5">
        <v>0.19700000000000001</v>
      </c>
      <c r="I229" s="5">
        <v>0.4</v>
      </c>
      <c r="J229" s="5">
        <v>0.22389999999999999</v>
      </c>
      <c r="K229" s="5">
        <v>1</v>
      </c>
      <c r="L229" s="5">
        <v>154</v>
      </c>
      <c r="M229" s="5">
        <v>155</v>
      </c>
    </row>
    <row r="230" spans="1:13">
      <c r="A230" s="5">
        <v>229</v>
      </c>
      <c r="B230" s="6">
        <v>40553</v>
      </c>
      <c r="C230" s="5">
        <v>19</v>
      </c>
      <c r="D230" s="5" t="b">
        <v>0</v>
      </c>
      <c r="E230" s="5">
        <v>1</v>
      </c>
      <c r="F230" s="5">
        <v>1</v>
      </c>
      <c r="G230" s="5">
        <v>0.16</v>
      </c>
      <c r="H230" s="5">
        <v>0.16669999999999999</v>
      </c>
      <c r="I230" s="5">
        <v>0.47</v>
      </c>
      <c r="J230" s="5">
        <v>0.16420000000000001</v>
      </c>
      <c r="K230" s="5">
        <v>3</v>
      </c>
      <c r="L230" s="5">
        <v>92</v>
      </c>
      <c r="M230" s="5">
        <v>95</v>
      </c>
    </row>
    <row r="231" spans="1:13">
      <c r="A231" s="5">
        <v>230</v>
      </c>
      <c r="B231" s="6">
        <v>40553</v>
      </c>
      <c r="C231" s="5">
        <v>20</v>
      </c>
      <c r="D231" s="5" t="b">
        <v>0</v>
      </c>
      <c r="E231" s="5">
        <v>1</v>
      </c>
      <c r="F231" s="5">
        <v>1</v>
      </c>
      <c r="G231" s="5">
        <v>0.16</v>
      </c>
      <c r="H231" s="5">
        <v>0.16669999999999999</v>
      </c>
      <c r="I231" s="5">
        <v>0.5</v>
      </c>
      <c r="J231" s="5">
        <v>0.16420000000000001</v>
      </c>
      <c r="K231" s="5">
        <v>1</v>
      </c>
      <c r="L231" s="5">
        <v>73</v>
      </c>
      <c r="M231" s="5">
        <v>74</v>
      </c>
    </row>
    <row r="232" spans="1:13">
      <c r="A232" s="5">
        <v>231</v>
      </c>
      <c r="B232" s="6">
        <v>40553</v>
      </c>
      <c r="C232" s="5">
        <v>21</v>
      </c>
      <c r="D232" s="5" t="b">
        <v>0</v>
      </c>
      <c r="E232" s="5">
        <v>1</v>
      </c>
      <c r="F232" s="5">
        <v>1</v>
      </c>
      <c r="G232" s="5">
        <v>0.14000000000000001</v>
      </c>
      <c r="H232" s="5">
        <v>0.13639999999999999</v>
      </c>
      <c r="I232" s="5">
        <v>0.59</v>
      </c>
      <c r="J232" s="5">
        <v>0.19400000000000001</v>
      </c>
      <c r="K232" s="5">
        <v>1</v>
      </c>
      <c r="L232" s="5">
        <v>37</v>
      </c>
      <c r="M232" s="5">
        <v>38</v>
      </c>
    </row>
    <row r="233" spans="1:13">
      <c r="A233" s="5">
        <v>232</v>
      </c>
      <c r="B233" s="6">
        <v>40553</v>
      </c>
      <c r="C233" s="5">
        <v>22</v>
      </c>
      <c r="D233" s="5" t="b">
        <v>0</v>
      </c>
      <c r="E233" s="5">
        <v>1</v>
      </c>
      <c r="F233" s="5">
        <v>1</v>
      </c>
      <c r="G233" s="5">
        <v>0.14000000000000001</v>
      </c>
      <c r="H233" s="5">
        <v>0.1515</v>
      </c>
      <c r="I233" s="5">
        <v>0.59</v>
      </c>
      <c r="J233" s="5">
        <v>0.16420000000000001</v>
      </c>
      <c r="K233" s="5">
        <v>2</v>
      </c>
      <c r="L233" s="5">
        <v>22</v>
      </c>
      <c r="M233" s="5">
        <v>24</v>
      </c>
    </row>
    <row r="234" spans="1:13">
      <c r="A234" s="5">
        <v>233</v>
      </c>
      <c r="B234" s="6">
        <v>40553</v>
      </c>
      <c r="C234" s="5">
        <v>23</v>
      </c>
      <c r="D234" s="5" t="b">
        <v>0</v>
      </c>
      <c r="E234" s="5">
        <v>1</v>
      </c>
      <c r="F234" s="5">
        <v>1</v>
      </c>
      <c r="G234" s="5">
        <v>0.14000000000000001</v>
      </c>
      <c r="H234" s="5">
        <v>0.1515</v>
      </c>
      <c r="I234" s="5">
        <v>0.59</v>
      </c>
      <c r="J234" s="5">
        <v>0.16420000000000001</v>
      </c>
      <c r="K234" s="5">
        <v>0</v>
      </c>
      <c r="L234" s="5">
        <v>18</v>
      </c>
      <c r="M234" s="5">
        <v>18</v>
      </c>
    </row>
    <row r="235" spans="1:13">
      <c r="A235" s="5">
        <v>234</v>
      </c>
      <c r="B235" s="6">
        <v>40554</v>
      </c>
      <c r="C235" s="5">
        <v>0</v>
      </c>
      <c r="D235" s="5" t="b">
        <v>0</v>
      </c>
      <c r="E235" s="5">
        <v>2</v>
      </c>
      <c r="F235" s="5">
        <v>1</v>
      </c>
      <c r="G235" s="5">
        <v>0.14000000000000001</v>
      </c>
      <c r="H235" s="5">
        <v>0.16669999999999999</v>
      </c>
      <c r="I235" s="5">
        <v>0.59</v>
      </c>
      <c r="J235" s="5">
        <v>0.1045</v>
      </c>
      <c r="K235" s="5">
        <v>2</v>
      </c>
      <c r="L235" s="5">
        <v>10</v>
      </c>
      <c r="M235" s="5">
        <v>12</v>
      </c>
    </row>
    <row r="236" spans="1:13">
      <c r="A236" s="5">
        <v>235</v>
      </c>
      <c r="B236" s="6">
        <v>40554</v>
      </c>
      <c r="C236" s="5">
        <v>1</v>
      </c>
      <c r="D236" s="5" t="b">
        <v>0</v>
      </c>
      <c r="E236" s="5">
        <v>2</v>
      </c>
      <c r="F236" s="5">
        <v>1</v>
      </c>
      <c r="G236" s="5">
        <v>0.14000000000000001</v>
      </c>
      <c r="H236" s="5">
        <v>0.1515</v>
      </c>
      <c r="I236" s="5">
        <v>0.59</v>
      </c>
      <c r="J236" s="5">
        <v>0.16420000000000001</v>
      </c>
      <c r="K236" s="5">
        <v>0</v>
      </c>
      <c r="L236" s="5">
        <v>3</v>
      </c>
      <c r="M236" s="5">
        <v>3</v>
      </c>
    </row>
    <row r="237" spans="1:13">
      <c r="A237" s="5">
        <v>236</v>
      </c>
      <c r="B237" s="6">
        <v>40554</v>
      </c>
      <c r="C237" s="5">
        <v>2</v>
      </c>
      <c r="D237" s="5" t="b">
        <v>0</v>
      </c>
      <c r="E237" s="5">
        <v>2</v>
      </c>
      <c r="F237" s="5">
        <v>2</v>
      </c>
      <c r="G237" s="5">
        <v>0.16</v>
      </c>
      <c r="H237" s="5">
        <v>0.1515</v>
      </c>
      <c r="I237" s="5">
        <v>0.55000000000000004</v>
      </c>
      <c r="J237" s="5">
        <v>0.19400000000000001</v>
      </c>
      <c r="K237" s="5">
        <v>0</v>
      </c>
      <c r="L237" s="5">
        <v>3</v>
      </c>
      <c r="M237" s="5">
        <v>3</v>
      </c>
    </row>
    <row r="238" spans="1:13">
      <c r="A238" s="5">
        <v>237</v>
      </c>
      <c r="B238" s="6">
        <v>40554</v>
      </c>
      <c r="C238" s="5">
        <v>5</v>
      </c>
      <c r="D238" s="5" t="b">
        <v>0</v>
      </c>
      <c r="E238" s="5">
        <v>2</v>
      </c>
      <c r="F238" s="5">
        <v>2</v>
      </c>
      <c r="G238" s="5">
        <v>0.16</v>
      </c>
      <c r="H238" s="5">
        <v>0.18179999999999999</v>
      </c>
      <c r="I238" s="5">
        <v>0.55000000000000004</v>
      </c>
      <c r="J238" s="5">
        <v>0.1343</v>
      </c>
      <c r="K238" s="5">
        <v>0</v>
      </c>
      <c r="L238" s="5">
        <v>6</v>
      </c>
      <c r="M238" s="5">
        <v>6</v>
      </c>
    </row>
    <row r="239" spans="1:13">
      <c r="A239" s="5">
        <v>238</v>
      </c>
      <c r="B239" s="6">
        <v>40554</v>
      </c>
      <c r="C239" s="5">
        <v>6</v>
      </c>
      <c r="D239" s="5" t="b">
        <v>0</v>
      </c>
      <c r="E239" s="5">
        <v>2</v>
      </c>
      <c r="F239" s="5">
        <v>2</v>
      </c>
      <c r="G239" s="5">
        <v>0.16</v>
      </c>
      <c r="H239" s="5">
        <v>0.18179999999999999</v>
      </c>
      <c r="I239" s="5">
        <v>0.55000000000000004</v>
      </c>
      <c r="J239" s="5">
        <v>0.1343</v>
      </c>
      <c r="K239" s="5">
        <v>0</v>
      </c>
      <c r="L239" s="5">
        <v>27</v>
      </c>
      <c r="M239" s="5">
        <v>27</v>
      </c>
    </row>
    <row r="240" spans="1:13">
      <c r="A240" s="5">
        <v>239</v>
      </c>
      <c r="B240" s="6">
        <v>40554</v>
      </c>
      <c r="C240" s="5">
        <v>7</v>
      </c>
      <c r="D240" s="5" t="b">
        <v>0</v>
      </c>
      <c r="E240" s="5">
        <v>2</v>
      </c>
      <c r="F240" s="5">
        <v>2</v>
      </c>
      <c r="G240" s="5">
        <v>0.16</v>
      </c>
      <c r="H240" s="5">
        <v>0.2273</v>
      </c>
      <c r="I240" s="5">
        <v>0.55000000000000004</v>
      </c>
      <c r="J240" s="5">
        <v>0</v>
      </c>
      <c r="K240" s="5">
        <v>2</v>
      </c>
      <c r="L240" s="5">
        <v>97</v>
      </c>
      <c r="M240" s="5">
        <v>99</v>
      </c>
    </row>
    <row r="241" spans="1:13">
      <c r="A241" s="5">
        <v>240</v>
      </c>
      <c r="B241" s="6">
        <v>40554</v>
      </c>
      <c r="C241" s="5">
        <v>8</v>
      </c>
      <c r="D241" s="5" t="b">
        <v>0</v>
      </c>
      <c r="E241" s="5">
        <v>2</v>
      </c>
      <c r="F241" s="5">
        <v>2</v>
      </c>
      <c r="G241" s="5">
        <v>0.18</v>
      </c>
      <c r="H241" s="5">
        <v>0.21210000000000001</v>
      </c>
      <c r="I241" s="5">
        <v>0.51</v>
      </c>
      <c r="J241" s="5">
        <v>8.9599999999999999E-2</v>
      </c>
      <c r="K241" s="5">
        <v>3</v>
      </c>
      <c r="L241" s="5">
        <v>214</v>
      </c>
      <c r="M241" s="5">
        <v>217</v>
      </c>
    </row>
    <row r="242" spans="1:13">
      <c r="A242" s="5">
        <v>241</v>
      </c>
      <c r="B242" s="6">
        <v>40554</v>
      </c>
      <c r="C242" s="5">
        <v>9</v>
      </c>
      <c r="D242" s="5" t="b">
        <v>0</v>
      </c>
      <c r="E242" s="5">
        <v>2</v>
      </c>
      <c r="F242" s="5">
        <v>2</v>
      </c>
      <c r="G242" s="5">
        <v>0.18</v>
      </c>
      <c r="H242" s="5">
        <v>0.19700000000000001</v>
      </c>
      <c r="I242" s="5">
        <v>0.51</v>
      </c>
      <c r="J242" s="5">
        <v>0.16420000000000001</v>
      </c>
      <c r="K242" s="5">
        <v>3</v>
      </c>
      <c r="L242" s="5">
        <v>127</v>
      </c>
      <c r="M242" s="5">
        <v>130</v>
      </c>
    </row>
    <row r="243" spans="1:13">
      <c r="A243" s="5">
        <v>242</v>
      </c>
      <c r="B243" s="6">
        <v>40554</v>
      </c>
      <c r="C243" s="5">
        <v>10</v>
      </c>
      <c r="D243" s="5" t="b">
        <v>0</v>
      </c>
      <c r="E243" s="5">
        <v>2</v>
      </c>
      <c r="F243" s="5">
        <v>2</v>
      </c>
      <c r="G243" s="5">
        <v>0.2</v>
      </c>
      <c r="H243" s="5">
        <v>0.21210000000000001</v>
      </c>
      <c r="I243" s="5">
        <v>0.51</v>
      </c>
      <c r="J243" s="5">
        <v>0.16420000000000001</v>
      </c>
      <c r="K243" s="5">
        <v>3</v>
      </c>
      <c r="L243" s="5">
        <v>51</v>
      </c>
      <c r="M243" s="5">
        <v>54</v>
      </c>
    </row>
    <row r="244" spans="1:13">
      <c r="A244" s="5">
        <v>243</v>
      </c>
      <c r="B244" s="6">
        <v>40554</v>
      </c>
      <c r="C244" s="5">
        <v>11</v>
      </c>
      <c r="D244" s="5" t="b">
        <v>0</v>
      </c>
      <c r="E244" s="5">
        <v>2</v>
      </c>
      <c r="F244" s="5">
        <v>2</v>
      </c>
      <c r="G244" s="5">
        <v>0.2</v>
      </c>
      <c r="H244" s="5">
        <v>0.21210000000000001</v>
      </c>
      <c r="I244" s="5">
        <v>0.47</v>
      </c>
      <c r="J244" s="5">
        <v>0.1343</v>
      </c>
      <c r="K244" s="5">
        <v>4</v>
      </c>
      <c r="L244" s="5">
        <v>31</v>
      </c>
      <c r="M244" s="5">
        <v>35</v>
      </c>
    </row>
    <row r="245" spans="1:13">
      <c r="A245" s="5">
        <v>244</v>
      </c>
      <c r="B245" s="6">
        <v>40554</v>
      </c>
      <c r="C245" s="5">
        <v>12</v>
      </c>
      <c r="D245" s="5" t="b">
        <v>0</v>
      </c>
      <c r="E245" s="5">
        <v>2</v>
      </c>
      <c r="F245" s="5">
        <v>2</v>
      </c>
      <c r="G245" s="5">
        <v>0.2</v>
      </c>
      <c r="H245" s="5">
        <v>0.2273</v>
      </c>
      <c r="I245" s="5">
        <v>0.51</v>
      </c>
      <c r="J245" s="5">
        <v>0.1045</v>
      </c>
      <c r="K245" s="5">
        <v>2</v>
      </c>
      <c r="L245" s="5">
        <v>55</v>
      </c>
      <c r="M245" s="5">
        <v>57</v>
      </c>
    </row>
    <row r="246" spans="1:13">
      <c r="A246" s="5">
        <v>245</v>
      </c>
      <c r="B246" s="6">
        <v>40554</v>
      </c>
      <c r="C246" s="5">
        <v>13</v>
      </c>
      <c r="D246" s="5" t="b">
        <v>0</v>
      </c>
      <c r="E246" s="5">
        <v>2</v>
      </c>
      <c r="F246" s="5">
        <v>2</v>
      </c>
      <c r="G246" s="5">
        <v>0.2</v>
      </c>
      <c r="H246" s="5">
        <v>0.2273</v>
      </c>
      <c r="I246" s="5">
        <v>0.59</v>
      </c>
      <c r="J246" s="5">
        <v>8.9599999999999999E-2</v>
      </c>
      <c r="K246" s="5">
        <v>6</v>
      </c>
      <c r="L246" s="5">
        <v>46</v>
      </c>
      <c r="M246" s="5">
        <v>52</v>
      </c>
    </row>
    <row r="247" spans="1:13">
      <c r="A247" s="5">
        <v>246</v>
      </c>
      <c r="B247" s="6">
        <v>40554</v>
      </c>
      <c r="C247" s="5">
        <v>14</v>
      </c>
      <c r="D247" s="5" t="b">
        <v>0</v>
      </c>
      <c r="E247" s="5">
        <v>2</v>
      </c>
      <c r="F247" s="5">
        <v>2</v>
      </c>
      <c r="G247" s="5">
        <v>0.2</v>
      </c>
      <c r="H247" s="5">
        <v>0.2273</v>
      </c>
      <c r="I247" s="5">
        <v>0.59</v>
      </c>
      <c r="J247" s="5">
        <v>8.9599999999999999E-2</v>
      </c>
      <c r="K247" s="5">
        <v>3</v>
      </c>
      <c r="L247" s="5">
        <v>60</v>
      </c>
      <c r="M247" s="5">
        <v>63</v>
      </c>
    </row>
    <row r="248" spans="1:13">
      <c r="A248" s="5">
        <v>247</v>
      </c>
      <c r="B248" s="6">
        <v>40554</v>
      </c>
      <c r="C248" s="5">
        <v>15</v>
      </c>
      <c r="D248" s="5" t="b">
        <v>0</v>
      </c>
      <c r="E248" s="5">
        <v>2</v>
      </c>
      <c r="F248" s="5">
        <v>2</v>
      </c>
      <c r="G248" s="5">
        <v>0.16</v>
      </c>
      <c r="H248" s="5">
        <v>0.19700000000000001</v>
      </c>
      <c r="I248" s="5">
        <v>0.8</v>
      </c>
      <c r="J248" s="5">
        <v>8.9599999999999999E-2</v>
      </c>
      <c r="K248" s="5">
        <v>2</v>
      </c>
      <c r="L248" s="5">
        <v>45</v>
      </c>
      <c r="M248" s="5">
        <v>47</v>
      </c>
    </row>
    <row r="249" spans="1:13">
      <c r="A249" s="5">
        <v>248</v>
      </c>
      <c r="B249" s="6">
        <v>40554</v>
      </c>
      <c r="C249" s="5">
        <v>16</v>
      </c>
      <c r="D249" s="5" t="b">
        <v>0</v>
      </c>
      <c r="E249" s="5">
        <v>2</v>
      </c>
      <c r="F249" s="5">
        <v>2</v>
      </c>
      <c r="G249" s="5">
        <v>0.16</v>
      </c>
      <c r="H249" s="5">
        <v>0.1515</v>
      </c>
      <c r="I249" s="5">
        <v>0.86</v>
      </c>
      <c r="J249" s="5">
        <v>0.22389999999999999</v>
      </c>
      <c r="K249" s="5">
        <v>4</v>
      </c>
      <c r="L249" s="5">
        <v>72</v>
      </c>
      <c r="M249" s="5">
        <v>76</v>
      </c>
    </row>
    <row r="250" spans="1:13">
      <c r="A250" s="5">
        <v>249</v>
      </c>
      <c r="B250" s="6">
        <v>40554</v>
      </c>
      <c r="C250" s="5">
        <v>17</v>
      </c>
      <c r="D250" s="5" t="b">
        <v>0</v>
      </c>
      <c r="E250" s="5">
        <v>2</v>
      </c>
      <c r="F250" s="5">
        <v>2</v>
      </c>
      <c r="G250" s="5">
        <v>0.16</v>
      </c>
      <c r="H250" s="5">
        <v>0.1515</v>
      </c>
      <c r="I250" s="5">
        <v>0.86</v>
      </c>
      <c r="J250" s="5">
        <v>0.22389999999999999</v>
      </c>
      <c r="K250" s="5">
        <v>6</v>
      </c>
      <c r="L250" s="5">
        <v>130</v>
      </c>
      <c r="M250" s="5">
        <v>136</v>
      </c>
    </row>
    <row r="251" spans="1:13">
      <c r="A251" s="5">
        <v>250</v>
      </c>
      <c r="B251" s="6">
        <v>40554</v>
      </c>
      <c r="C251" s="5">
        <v>18</v>
      </c>
      <c r="D251" s="5" t="b">
        <v>0</v>
      </c>
      <c r="E251" s="5">
        <v>2</v>
      </c>
      <c r="F251" s="5">
        <v>3</v>
      </c>
      <c r="G251" s="5">
        <v>0.16</v>
      </c>
      <c r="H251" s="5">
        <v>0.18179999999999999</v>
      </c>
      <c r="I251" s="5">
        <v>0.93</v>
      </c>
      <c r="J251" s="5">
        <v>0.1045</v>
      </c>
      <c r="K251" s="5">
        <v>1</v>
      </c>
      <c r="L251" s="5">
        <v>94</v>
      </c>
      <c r="M251" s="5">
        <v>95</v>
      </c>
    </row>
    <row r="252" spans="1:13">
      <c r="A252" s="5">
        <v>251</v>
      </c>
      <c r="B252" s="6">
        <v>40554</v>
      </c>
      <c r="C252" s="5">
        <v>19</v>
      </c>
      <c r="D252" s="5" t="b">
        <v>0</v>
      </c>
      <c r="E252" s="5">
        <v>2</v>
      </c>
      <c r="F252" s="5">
        <v>3</v>
      </c>
      <c r="G252" s="5">
        <v>0.16</v>
      </c>
      <c r="H252" s="5">
        <v>0.2273</v>
      </c>
      <c r="I252" s="5">
        <v>0.93</v>
      </c>
      <c r="J252" s="5">
        <v>0</v>
      </c>
      <c r="K252" s="5">
        <v>0</v>
      </c>
      <c r="L252" s="5">
        <v>51</v>
      </c>
      <c r="M252" s="5">
        <v>51</v>
      </c>
    </row>
    <row r="253" spans="1:13">
      <c r="A253" s="5">
        <v>252</v>
      </c>
      <c r="B253" s="6">
        <v>40554</v>
      </c>
      <c r="C253" s="5">
        <v>20</v>
      </c>
      <c r="D253" s="5" t="b">
        <v>0</v>
      </c>
      <c r="E253" s="5">
        <v>2</v>
      </c>
      <c r="F253" s="5">
        <v>3</v>
      </c>
      <c r="G253" s="5">
        <v>0.16</v>
      </c>
      <c r="H253" s="5">
        <v>0.1515</v>
      </c>
      <c r="I253" s="5">
        <v>0.93</v>
      </c>
      <c r="J253" s="5">
        <v>0.19400000000000001</v>
      </c>
      <c r="K253" s="5">
        <v>0</v>
      </c>
      <c r="L253" s="5">
        <v>32</v>
      </c>
      <c r="M253" s="5">
        <v>32</v>
      </c>
    </row>
    <row r="254" spans="1:13">
      <c r="A254" s="5">
        <v>253</v>
      </c>
      <c r="B254" s="6">
        <v>40554</v>
      </c>
      <c r="C254" s="5">
        <v>21</v>
      </c>
      <c r="D254" s="5" t="b">
        <v>0</v>
      </c>
      <c r="E254" s="5">
        <v>2</v>
      </c>
      <c r="F254" s="5">
        <v>3</v>
      </c>
      <c r="G254" s="5">
        <v>0.16</v>
      </c>
      <c r="H254" s="5">
        <v>0.19700000000000001</v>
      </c>
      <c r="I254" s="5">
        <v>0.86</v>
      </c>
      <c r="J254" s="5">
        <v>8.9599999999999999E-2</v>
      </c>
      <c r="K254" s="5">
        <v>0</v>
      </c>
      <c r="L254" s="5">
        <v>20</v>
      </c>
      <c r="M254" s="5">
        <v>20</v>
      </c>
    </row>
    <row r="255" spans="1:13">
      <c r="A255" s="5">
        <v>254</v>
      </c>
      <c r="B255" s="6">
        <v>40554</v>
      </c>
      <c r="C255" s="5">
        <v>22</v>
      </c>
      <c r="D255" s="5" t="b">
        <v>0</v>
      </c>
      <c r="E255" s="5">
        <v>2</v>
      </c>
      <c r="F255" s="5">
        <v>3</v>
      </c>
      <c r="G255" s="5">
        <v>0.16</v>
      </c>
      <c r="H255" s="5">
        <v>0.18179999999999999</v>
      </c>
      <c r="I255" s="5">
        <v>0.93</v>
      </c>
      <c r="J255" s="5">
        <v>0.1045</v>
      </c>
      <c r="K255" s="5">
        <v>1</v>
      </c>
      <c r="L255" s="5">
        <v>28</v>
      </c>
      <c r="M255" s="5">
        <v>29</v>
      </c>
    </row>
    <row r="256" spans="1:13">
      <c r="A256" s="5">
        <v>255</v>
      </c>
      <c r="B256" s="6">
        <v>40554</v>
      </c>
      <c r="C256" s="5">
        <v>23</v>
      </c>
      <c r="D256" s="5" t="b">
        <v>0</v>
      </c>
      <c r="E256" s="5">
        <v>2</v>
      </c>
      <c r="F256" s="5">
        <v>3</v>
      </c>
      <c r="G256" s="5">
        <v>0.16</v>
      </c>
      <c r="H256" s="5">
        <v>0.19700000000000001</v>
      </c>
      <c r="I256" s="5">
        <v>0.93</v>
      </c>
      <c r="J256" s="5">
        <v>8.9599999999999999E-2</v>
      </c>
      <c r="K256" s="5">
        <v>1</v>
      </c>
      <c r="L256" s="5">
        <v>18</v>
      </c>
      <c r="M256" s="5">
        <v>19</v>
      </c>
    </row>
    <row r="257" spans="1:13">
      <c r="A257" s="5">
        <v>256</v>
      </c>
      <c r="B257" s="6">
        <v>40555</v>
      </c>
      <c r="C257" s="5">
        <v>0</v>
      </c>
      <c r="D257" s="5" t="b">
        <v>0</v>
      </c>
      <c r="E257" s="5">
        <v>3</v>
      </c>
      <c r="F257" s="5">
        <v>2</v>
      </c>
      <c r="G257" s="5">
        <v>0.16</v>
      </c>
      <c r="H257" s="5">
        <v>0.19700000000000001</v>
      </c>
      <c r="I257" s="5">
        <v>0.86</v>
      </c>
      <c r="J257" s="5">
        <v>8.9599999999999999E-2</v>
      </c>
      <c r="K257" s="5">
        <v>0</v>
      </c>
      <c r="L257" s="5">
        <v>7</v>
      </c>
      <c r="M257" s="5">
        <v>7</v>
      </c>
    </row>
    <row r="258" spans="1:13">
      <c r="A258" s="5">
        <v>257</v>
      </c>
      <c r="B258" s="6">
        <v>40555</v>
      </c>
      <c r="C258" s="5">
        <v>1</v>
      </c>
      <c r="D258" s="5" t="b">
        <v>0</v>
      </c>
      <c r="E258" s="5">
        <v>3</v>
      </c>
      <c r="F258" s="5">
        <v>2</v>
      </c>
      <c r="G258" s="5">
        <v>0.16</v>
      </c>
      <c r="H258" s="5">
        <v>0.18179999999999999</v>
      </c>
      <c r="I258" s="5">
        <v>0.86</v>
      </c>
      <c r="J258" s="5">
        <v>0.1045</v>
      </c>
      <c r="K258" s="5">
        <v>0</v>
      </c>
      <c r="L258" s="5">
        <v>6</v>
      </c>
      <c r="M258" s="5">
        <v>6</v>
      </c>
    </row>
    <row r="259" spans="1:13">
      <c r="A259" s="5">
        <v>258</v>
      </c>
      <c r="B259" s="6">
        <v>40555</v>
      </c>
      <c r="C259" s="5">
        <v>2</v>
      </c>
      <c r="D259" s="5" t="b">
        <v>0</v>
      </c>
      <c r="E259" s="5">
        <v>3</v>
      </c>
      <c r="F259" s="5">
        <v>1</v>
      </c>
      <c r="G259" s="5">
        <v>0.14000000000000001</v>
      </c>
      <c r="H259" s="5">
        <v>0.1515</v>
      </c>
      <c r="I259" s="5">
        <v>0.86</v>
      </c>
      <c r="J259" s="5">
        <v>0.1343</v>
      </c>
      <c r="K259" s="5">
        <v>0</v>
      </c>
      <c r="L259" s="5">
        <v>1</v>
      </c>
      <c r="M259" s="5">
        <v>1</v>
      </c>
    </row>
    <row r="260" spans="1:13">
      <c r="A260" s="5">
        <v>259</v>
      </c>
      <c r="B260" s="6">
        <v>40555</v>
      </c>
      <c r="C260" s="5">
        <v>5</v>
      </c>
      <c r="D260" s="5" t="b">
        <v>0</v>
      </c>
      <c r="E260" s="5">
        <v>3</v>
      </c>
      <c r="F260" s="5">
        <v>1</v>
      </c>
      <c r="G260" s="5">
        <v>0.14000000000000001</v>
      </c>
      <c r="H260" s="5">
        <v>0.1515</v>
      </c>
      <c r="I260" s="5">
        <v>0.86</v>
      </c>
      <c r="J260" s="5">
        <v>0.16420000000000001</v>
      </c>
      <c r="K260" s="5">
        <v>0</v>
      </c>
      <c r="L260" s="5">
        <v>5</v>
      </c>
      <c r="M260" s="5">
        <v>5</v>
      </c>
    </row>
    <row r="261" spans="1:13">
      <c r="A261" s="5">
        <v>260</v>
      </c>
      <c r="B261" s="6">
        <v>40555</v>
      </c>
      <c r="C261" s="5">
        <v>6</v>
      </c>
      <c r="D261" s="5" t="b">
        <v>0</v>
      </c>
      <c r="E261" s="5">
        <v>3</v>
      </c>
      <c r="F261" s="5">
        <v>1</v>
      </c>
      <c r="G261" s="5">
        <v>0.12</v>
      </c>
      <c r="H261" s="5">
        <v>0.1515</v>
      </c>
      <c r="I261" s="5">
        <v>0.93</v>
      </c>
      <c r="J261" s="5">
        <v>0.1343</v>
      </c>
      <c r="K261" s="5">
        <v>0</v>
      </c>
      <c r="L261" s="5">
        <v>16</v>
      </c>
      <c r="M261" s="5">
        <v>16</v>
      </c>
    </row>
    <row r="262" spans="1:13">
      <c r="A262" s="5">
        <v>261</v>
      </c>
      <c r="B262" s="6">
        <v>40555</v>
      </c>
      <c r="C262" s="5">
        <v>7</v>
      </c>
      <c r="D262" s="5" t="b">
        <v>0</v>
      </c>
      <c r="E262" s="5">
        <v>3</v>
      </c>
      <c r="F262" s="5">
        <v>1</v>
      </c>
      <c r="G262" s="5">
        <v>0.14000000000000001</v>
      </c>
      <c r="H262" s="5">
        <v>0.1515</v>
      </c>
      <c r="I262" s="5">
        <v>0.69</v>
      </c>
      <c r="J262" s="5">
        <v>0.1343</v>
      </c>
      <c r="K262" s="5">
        <v>0</v>
      </c>
      <c r="L262" s="5">
        <v>54</v>
      </c>
      <c r="M262" s="5">
        <v>54</v>
      </c>
    </row>
    <row r="263" spans="1:13">
      <c r="A263" s="5">
        <v>262</v>
      </c>
      <c r="B263" s="6">
        <v>40555</v>
      </c>
      <c r="C263" s="5">
        <v>8</v>
      </c>
      <c r="D263" s="5" t="b">
        <v>0</v>
      </c>
      <c r="E263" s="5">
        <v>3</v>
      </c>
      <c r="F263" s="5">
        <v>1</v>
      </c>
      <c r="G263" s="5">
        <v>0.16</v>
      </c>
      <c r="H263" s="5">
        <v>0.16669999999999999</v>
      </c>
      <c r="I263" s="5">
        <v>0.59</v>
      </c>
      <c r="J263" s="5">
        <v>0.16420000000000001</v>
      </c>
      <c r="K263" s="5">
        <v>3</v>
      </c>
      <c r="L263" s="5">
        <v>125</v>
      </c>
      <c r="M263" s="5">
        <v>128</v>
      </c>
    </row>
    <row r="264" spans="1:13">
      <c r="A264" s="5">
        <v>263</v>
      </c>
      <c r="B264" s="6">
        <v>40555</v>
      </c>
      <c r="C264" s="5">
        <v>9</v>
      </c>
      <c r="D264" s="5" t="b">
        <v>0</v>
      </c>
      <c r="E264" s="5">
        <v>3</v>
      </c>
      <c r="F264" s="5">
        <v>1</v>
      </c>
      <c r="G264" s="5">
        <v>0.16</v>
      </c>
      <c r="H264" s="5">
        <v>0.13639999999999999</v>
      </c>
      <c r="I264" s="5">
        <v>0.59</v>
      </c>
      <c r="J264" s="5">
        <v>0.32840000000000003</v>
      </c>
      <c r="K264" s="5">
        <v>3</v>
      </c>
      <c r="L264" s="5">
        <v>78</v>
      </c>
      <c r="M264" s="5">
        <v>81</v>
      </c>
    </row>
    <row r="265" spans="1:13">
      <c r="A265" s="5">
        <v>264</v>
      </c>
      <c r="B265" s="6">
        <v>40555</v>
      </c>
      <c r="C265" s="5">
        <v>10</v>
      </c>
      <c r="D265" s="5" t="b">
        <v>0</v>
      </c>
      <c r="E265" s="5">
        <v>3</v>
      </c>
      <c r="F265" s="5">
        <v>1</v>
      </c>
      <c r="G265" s="5">
        <v>0.18</v>
      </c>
      <c r="H265" s="5">
        <v>0.18179999999999999</v>
      </c>
      <c r="I265" s="5">
        <v>0.55000000000000004</v>
      </c>
      <c r="J265" s="5">
        <v>0.22389999999999999</v>
      </c>
      <c r="K265" s="5">
        <v>0</v>
      </c>
      <c r="L265" s="5">
        <v>39</v>
      </c>
      <c r="M265" s="5">
        <v>39</v>
      </c>
    </row>
    <row r="266" spans="1:13">
      <c r="A266" s="5">
        <v>265</v>
      </c>
      <c r="B266" s="6">
        <v>40555</v>
      </c>
      <c r="C266" s="5">
        <v>11</v>
      </c>
      <c r="D266" s="5" t="b">
        <v>0</v>
      </c>
      <c r="E266" s="5">
        <v>3</v>
      </c>
      <c r="F266" s="5">
        <v>1</v>
      </c>
      <c r="G266" s="5">
        <v>0.2</v>
      </c>
      <c r="H266" s="5">
        <v>0.18179999999999999</v>
      </c>
      <c r="I266" s="5">
        <v>0.51</v>
      </c>
      <c r="J266" s="5">
        <v>0.3881</v>
      </c>
      <c r="K266" s="5">
        <v>3</v>
      </c>
      <c r="L266" s="5">
        <v>32</v>
      </c>
      <c r="M266" s="5">
        <v>35</v>
      </c>
    </row>
    <row r="267" spans="1:13">
      <c r="A267" s="5">
        <v>266</v>
      </c>
      <c r="B267" s="6">
        <v>40555</v>
      </c>
      <c r="C267" s="5">
        <v>12</v>
      </c>
      <c r="D267" s="5" t="b">
        <v>0</v>
      </c>
      <c r="E267" s="5">
        <v>3</v>
      </c>
      <c r="F267" s="5">
        <v>1</v>
      </c>
      <c r="G267" s="5">
        <v>0.2</v>
      </c>
      <c r="H267" s="5">
        <v>0.1515</v>
      </c>
      <c r="I267" s="5">
        <v>0.47</v>
      </c>
      <c r="J267" s="5">
        <v>0.58209999999999995</v>
      </c>
      <c r="K267" s="5">
        <v>3</v>
      </c>
      <c r="L267" s="5">
        <v>52</v>
      </c>
      <c r="M267" s="5">
        <v>55</v>
      </c>
    </row>
    <row r="268" spans="1:13">
      <c r="A268" s="5">
        <v>267</v>
      </c>
      <c r="B268" s="6">
        <v>40555</v>
      </c>
      <c r="C268" s="5">
        <v>13</v>
      </c>
      <c r="D268" s="5" t="b">
        <v>0</v>
      </c>
      <c r="E268" s="5">
        <v>3</v>
      </c>
      <c r="F268" s="5">
        <v>1</v>
      </c>
      <c r="G268" s="5">
        <v>0.22</v>
      </c>
      <c r="H268" s="5">
        <v>0.19700000000000001</v>
      </c>
      <c r="I268" s="5">
        <v>0.44</v>
      </c>
      <c r="J268" s="5">
        <v>0.35820000000000002</v>
      </c>
      <c r="K268" s="5">
        <v>0</v>
      </c>
      <c r="L268" s="5">
        <v>49</v>
      </c>
      <c r="M268" s="5">
        <v>49</v>
      </c>
    </row>
    <row r="269" spans="1:13">
      <c r="A269" s="5">
        <v>268</v>
      </c>
      <c r="B269" s="6">
        <v>40555</v>
      </c>
      <c r="C269" s="5">
        <v>14</v>
      </c>
      <c r="D269" s="5" t="b">
        <v>0</v>
      </c>
      <c r="E269" s="5">
        <v>3</v>
      </c>
      <c r="F269" s="5">
        <v>1</v>
      </c>
      <c r="G269" s="5">
        <v>0.2</v>
      </c>
      <c r="H269" s="5">
        <v>0.18179999999999999</v>
      </c>
      <c r="I269" s="5">
        <v>0.47</v>
      </c>
      <c r="J269" s="5">
        <v>0.32840000000000003</v>
      </c>
      <c r="K269" s="5">
        <v>0</v>
      </c>
      <c r="L269" s="5">
        <v>44</v>
      </c>
      <c r="M269" s="5">
        <v>44</v>
      </c>
    </row>
    <row r="270" spans="1:13">
      <c r="A270" s="5">
        <v>269</v>
      </c>
      <c r="B270" s="6">
        <v>40555</v>
      </c>
      <c r="C270" s="5">
        <v>15</v>
      </c>
      <c r="D270" s="5" t="b">
        <v>0</v>
      </c>
      <c r="E270" s="5">
        <v>3</v>
      </c>
      <c r="F270" s="5">
        <v>1</v>
      </c>
      <c r="G270" s="5">
        <v>0.2</v>
      </c>
      <c r="H270" s="5">
        <v>0.16669999999999999</v>
      </c>
      <c r="I270" s="5">
        <v>0.47</v>
      </c>
      <c r="J270" s="5">
        <v>0.41789999999999999</v>
      </c>
      <c r="K270" s="5">
        <v>1</v>
      </c>
      <c r="L270" s="5">
        <v>48</v>
      </c>
      <c r="M270" s="5">
        <v>49</v>
      </c>
    </row>
    <row r="271" spans="1:13">
      <c r="A271" s="5">
        <v>270</v>
      </c>
      <c r="B271" s="6">
        <v>40555</v>
      </c>
      <c r="C271" s="5">
        <v>16</v>
      </c>
      <c r="D271" s="5" t="b">
        <v>0</v>
      </c>
      <c r="E271" s="5">
        <v>3</v>
      </c>
      <c r="F271" s="5">
        <v>1</v>
      </c>
      <c r="G271" s="5">
        <v>0.22</v>
      </c>
      <c r="H271" s="5">
        <v>0.19700000000000001</v>
      </c>
      <c r="I271" s="5">
        <v>0.44</v>
      </c>
      <c r="J271" s="5">
        <v>0.32840000000000003</v>
      </c>
      <c r="K271" s="5">
        <v>5</v>
      </c>
      <c r="L271" s="5">
        <v>63</v>
      </c>
      <c r="M271" s="5">
        <v>68</v>
      </c>
    </row>
    <row r="272" spans="1:13">
      <c r="A272" s="5">
        <v>271</v>
      </c>
      <c r="B272" s="6">
        <v>40555</v>
      </c>
      <c r="C272" s="5">
        <v>17</v>
      </c>
      <c r="D272" s="5" t="b">
        <v>0</v>
      </c>
      <c r="E272" s="5">
        <v>3</v>
      </c>
      <c r="F272" s="5">
        <v>1</v>
      </c>
      <c r="G272" s="5">
        <v>0.2</v>
      </c>
      <c r="H272" s="5">
        <v>0.18179999999999999</v>
      </c>
      <c r="I272" s="5">
        <v>0.47</v>
      </c>
      <c r="J272" s="5">
        <v>0.35820000000000002</v>
      </c>
      <c r="K272" s="5">
        <v>0</v>
      </c>
      <c r="L272" s="5">
        <v>139</v>
      </c>
      <c r="M272" s="5">
        <v>139</v>
      </c>
    </row>
    <row r="273" spans="1:13">
      <c r="A273" s="5">
        <v>272</v>
      </c>
      <c r="B273" s="6">
        <v>40555</v>
      </c>
      <c r="C273" s="5">
        <v>18</v>
      </c>
      <c r="D273" s="5" t="b">
        <v>0</v>
      </c>
      <c r="E273" s="5">
        <v>3</v>
      </c>
      <c r="F273" s="5">
        <v>1</v>
      </c>
      <c r="G273" s="5">
        <v>0.2</v>
      </c>
      <c r="H273" s="5">
        <v>0.1515</v>
      </c>
      <c r="I273" s="5">
        <v>0.47</v>
      </c>
      <c r="J273" s="5">
        <v>0.52239999999999998</v>
      </c>
      <c r="K273" s="5">
        <v>2</v>
      </c>
      <c r="L273" s="5">
        <v>135</v>
      </c>
      <c r="M273" s="5">
        <v>137</v>
      </c>
    </row>
    <row r="274" spans="1:13">
      <c r="A274" s="5">
        <v>273</v>
      </c>
      <c r="B274" s="6">
        <v>40555</v>
      </c>
      <c r="C274" s="5">
        <v>19</v>
      </c>
      <c r="D274" s="5" t="b">
        <v>0</v>
      </c>
      <c r="E274" s="5">
        <v>3</v>
      </c>
      <c r="F274" s="5">
        <v>1</v>
      </c>
      <c r="G274" s="5">
        <v>0.18</v>
      </c>
      <c r="H274" s="5">
        <v>0.1515</v>
      </c>
      <c r="I274" s="5">
        <v>0.47</v>
      </c>
      <c r="J274" s="5">
        <v>0.41789999999999999</v>
      </c>
      <c r="K274" s="5">
        <v>1</v>
      </c>
      <c r="L274" s="5">
        <v>82</v>
      </c>
      <c r="M274" s="5">
        <v>83</v>
      </c>
    </row>
    <row r="275" spans="1:13">
      <c r="A275" s="5">
        <v>274</v>
      </c>
      <c r="B275" s="6">
        <v>40555</v>
      </c>
      <c r="C275" s="5">
        <v>20</v>
      </c>
      <c r="D275" s="5" t="b">
        <v>0</v>
      </c>
      <c r="E275" s="5">
        <v>3</v>
      </c>
      <c r="F275" s="5">
        <v>1</v>
      </c>
      <c r="G275" s="5">
        <v>0.16</v>
      </c>
      <c r="H275" s="5">
        <v>0.13639999999999999</v>
      </c>
      <c r="I275" s="5">
        <v>0.5</v>
      </c>
      <c r="J275" s="5">
        <v>0.32840000000000003</v>
      </c>
      <c r="K275" s="5">
        <v>2</v>
      </c>
      <c r="L275" s="5">
        <v>54</v>
      </c>
      <c r="M275" s="5">
        <v>56</v>
      </c>
    </row>
    <row r="276" spans="1:13">
      <c r="A276" s="5">
        <v>275</v>
      </c>
      <c r="B276" s="6">
        <v>40555</v>
      </c>
      <c r="C276" s="5">
        <v>21</v>
      </c>
      <c r="D276" s="5" t="b">
        <v>0</v>
      </c>
      <c r="E276" s="5">
        <v>3</v>
      </c>
      <c r="F276" s="5">
        <v>1</v>
      </c>
      <c r="G276" s="5">
        <v>0.16</v>
      </c>
      <c r="H276" s="5">
        <v>0.13639999999999999</v>
      </c>
      <c r="I276" s="5">
        <v>0.55000000000000004</v>
      </c>
      <c r="J276" s="5">
        <v>0.32840000000000003</v>
      </c>
      <c r="K276" s="5">
        <v>0</v>
      </c>
      <c r="L276" s="5">
        <v>57</v>
      </c>
      <c r="M276" s="5">
        <v>57</v>
      </c>
    </row>
    <row r="277" spans="1:13">
      <c r="A277" s="5">
        <v>276</v>
      </c>
      <c r="B277" s="6">
        <v>40555</v>
      </c>
      <c r="C277" s="5">
        <v>22</v>
      </c>
      <c r="D277" s="5" t="b">
        <v>0</v>
      </c>
      <c r="E277" s="5">
        <v>3</v>
      </c>
      <c r="F277" s="5">
        <v>1</v>
      </c>
      <c r="G277" s="5">
        <v>0.16</v>
      </c>
      <c r="H277" s="5">
        <v>0.1212</v>
      </c>
      <c r="I277" s="5">
        <v>0.55000000000000004</v>
      </c>
      <c r="J277" s="5">
        <v>0.44779999999999998</v>
      </c>
      <c r="K277" s="5">
        <v>1</v>
      </c>
      <c r="L277" s="5">
        <v>32</v>
      </c>
      <c r="M277" s="5">
        <v>33</v>
      </c>
    </row>
    <row r="278" spans="1:13">
      <c r="A278" s="5">
        <v>277</v>
      </c>
      <c r="B278" s="6">
        <v>40555</v>
      </c>
      <c r="C278" s="5">
        <v>23</v>
      </c>
      <c r="D278" s="5" t="b">
        <v>0</v>
      </c>
      <c r="E278" s="5">
        <v>3</v>
      </c>
      <c r="F278" s="5">
        <v>1</v>
      </c>
      <c r="G278" s="5">
        <v>0.14000000000000001</v>
      </c>
      <c r="H278" s="5">
        <v>0.1061</v>
      </c>
      <c r="I278" s="5">
        <v>0.59</v>
      </c>
      <c r="J278" s="5">
        <v>0.41789999999999999</v>
      </c>
      <c r="K278" s="5">
        <v>1</v>
      </c>
      <c r="L278" s="5">
        <v>19</v>
      </c>
      <c r="M278" s="5">
        <v>20</v>
      </c>
    </row>
    <row r="279" spans="1:13">
      <c r="A279" s="5">
        <v>278</v>
      </c>
      <c r="B279" s="6">
        <v>40556</v>
      </c>
      <c r="C279" s="5">
        <v>0</v>
      </c>
      <c r="D279" s="5" t="b">
        <v>0</v>
      </c>
      <c r="E279" s="5">
        <v>4</v>
      </c>
      <c r="F279" s="5">
        <v>1</v>
      </c>
      <c r="G279" s="5">
        <v>0.14000000000000001</v>
      </c>
      <c r="H279" s="5">
        <v>0.1212</v>
      </c>
      <c r="I279" s="5">
        <v>0.59</v>
      </c>
      <c r="J279" s="5">
        <v>0.28360000000000002</v>
      </c>
      <c r="K279" s="5">
        <v>1</v>
      </c>
      <c r="L279" s="5">
        <v>6</v>
      </c>
      <c r="M279" s="5">
        <v>7</v>
      </c>
    </row>
    <row r="280" spans="1:13">
      <c r="A280" s="5">
        <v>279</v>
      </c>
      <c r="B280" s="6">
        <v>40556</v>
      </c>
      <c r="C280" s="5">
        <v>1</v>
      </c>
      <c r="D280" s="5" t="b">
        <v>0</v>
      </c>
      <c r="E280" s="5">
        <v>4</v>
      </c>
      <c r="F280" s="5">
        <v>1</v>
      </c>
      <c r="G280" s="5">
        <v>0.14000000000000001</v>
      </c>
      <c r="H280" s="5">
        <v>0.1212</v>
      </c>
      <c r="I280" s="5">
        <v>0.5</v>
      </c>
      <c r="J280" s="5">
        <v>0.28360000000000002</v>
      </c>
      <c r="K280" s="5">
        <v>0</v>
      </c>
      <c r="L280" s="5">
        <v>2</v>
      </c>
      <c r="M280" s="5">
        <v>2</v>
      </c>
    </row>
    <row r="281" spans="1:13">
      <c r="A281" s="5">
        <v>280</v>
      </c>
      <c r="B281" s="6">
        <v>40556</v>
      </c>
      <c r="C281" s="5">
        <v>2</v>
      </c>
      <c r="D281" s="5" t="b">
        <v>0</v>
      </c>
      <c r="E281" s="5">
        <v>4</v>
      </c>
      <c r="F281" s="5">
        <v>1</v>
      </c>
      <c r="G281" s="5">
        <v>0.14000000000000001</v>
      </c>
      <c r="H281" s="5">
        <v>0.1212</v>
      </c>
      <c r="I281" s="5">
        <v>0.5</v>
      </c>
      <c r="J281" s="5">
        <v>0.35820000000000002</v>
      </c>
      <c r="K281" s="5">
        <v>0</v>
      </c>
      <c r="L281" s="5">
        <v>2</v>
      </c>
      <c r="M281" s="5">
        <v>2</v>
      </c>
    </row>
    <row r="282" spans="1:13">
      <c r="A282" s="5">
        <v>281</v>
      </c>
      <c r="B282" s="6">
        <v>40556</v>
      </c>
      <c r="C282" s="5">
        <v>3</v>
      </c>
      <c r="D282" s="5" t="b">
        <v>0</v>
      </c>
      <c r="E282" s="5">
        <v>4</v>
      </c>
      <c r="F282" s="5">
        <v>1</v>
      </c>
      <c r="G282" s="5">
        <v>0.14000000000000001</v>
      </c>
      <c r="H282" s="5">
        <v>0.1212</v>
      </c>
      <c r="I282" s="5">
        <v>0.5</v>
      </c>
      <c r="J282" s="5">
        <v>0.32840000000000003</v>
      </c>
      <c r="K282" s="5">
        <v>0</v>
      </c>
      <c r="L282" s="5">
        <v>3</v>
      </c>
      <c r="M282" s="5">
        <v>3</v>
      </c>
    </row>
    <row r="283" spans="1:13">
      <c r="A283" s="5">
        <v>282</v>
      </c>
      <c r="B283" s="6">
        <v>40556</v>
      </c>
      <c r="C283" s="5">
        <v>4</v>
      </c>
      <c r="D283" s="5" t="b">
        <v>0</v>
      </c>
      <c r="E283" s="5">
        <v>4</v>
      </c>
      <c r="F283" s="5">
        <v>1</v>
      </c>
      <c r="G283" s="5">
        <v>0.14000000000000001</v>
      </c>
      <c r="H283" s="5">
        <v>0.1212</v>
      </c>
      <c r="I283" s="5">
        <v>0.5</v>
      </c>
      <c r="J283" s="5">
        <v>0.25369999999999998</v>
      </c>
      <c r="K283" s="5">
        <v>0</v>
      </c>
      <c r="L283" s="5">
        <v>4</v>
      </c>
      <c r="M283" s="5">
        <v>4</v>
      </c>
    </row>
    <row r="284" spans="1:13">
      <c r="A284" s="5">
        <v>283</v>
      </c>
      <c r="B284" s="6">
        <v>40556</v>
      </c>
      <c r="C284" s="5">
        <v>5</v>
      </c>
      <c r="D284" s="5" t="b">
        <v>0</v>
      </c>
      <c r="E284" s="5">
        <v>4</v>
      </c>
      <c r="F284" s="5">
        <v>1</v>
      </c>
      <c r="G284" s="5">
        <v>0.14000000000000001</v>
      </c>
      <c r="H284" s="5">
        <v>0.1212</v>
      </c>
      <c r="I284" s="5">
        <v>0.5</v>
      </c>
      <c r="J284" s="5">
        <v>0.29849999999999999</v>
      </c>
      <c r="K284" s="5">
        <v>0</v>
      </c>
      <c r="L284" s="5">
        <v>3</v>
      </c>
      <c r="M284" s="5">
        <v>3</v>
      </c>
    </row>
    <row r="285" spans="1:13">
      <c r="A285" s="5">
        <v>284</v>
      </c>
      <c r="B285" s="6">
        <v>40556</v>
      </c>
      <c r="C285" s="5">
        <v>6</v>
      </c>
      <c r="D285" s="5" t="b">
        <v>0</v>
      </c>
      <c r="E285" s="5">
        <v>4</v>
      </c>
      <c r="F285" s="5">
        <v>1</v>
      </c>
      <c r="G285" s="5">
        <v>0.12</v>
      </c>
      <c r="H285" s="5">
        <v>0.1515</v>
      </c>
      <c r="I285" s="5">
        <v>0.54</v>
      </c>
      <c r="J285" s="5">
        <v>0.1343</v>
      </c>
      <c r="K285" s="5">
        <v>0</v>
      </c>
      <c r="L285" s="5">
        <v>28</v>
      </c>
      <c r="M285" s="5">
        <v>28</v>
      </c>
    </row>
    <row r="286" spans="1:13">
      <c r="A286" s="5">
        <v>285</v>
      </c>
      <c r="B286" s="6">
        <v>40556</v>
      </c>
      <c r="C286" s="5">
        <v>7</v>
      </c>
      <c r="D286" s="5" t="b">
        <v>0</v>
      </c>
      <c r="E286" s="5">
        <v>4</v>
      </c>
      <c r="F286" s="5">
        <v>1</v>
      </c>
      <c r="G286" s="5">
        <v>0.12</v>
      </c>
      <c r="H286" s="5">
        <v>0.1515</v>
      </c>
      <c r="I286" s="5">
        <v>0.54</v>
      </c>
      <c r="J286" s="5">
        <v>0.1343</v>
      </c>
      <c r="K286" s="5">
        <v>0</v>
      </c>
      <c r="L286" s="5">
        <v>72</v>
      </c>
      <c r="M286" s="5">
        <v>72</v>
      </c>
    </row>
    <row r="287" spans="1:13">
      <c r="A287" s="5">
        <v>286</v>
      </c>
      <c r="B287" s="6">
        <v>40556</v>
      </c>
      <c r="C287" s="5">
        <v>8</v>
      </c>
      <c r="D287" s="5" t="b">
        <v>0</v>
      </c>
      <c r="E287" s="5">
        <v>4</v>
      </c>
      <c r="F287" s="5">
        <v>1</v>
      </c>
      <c r="G287" s="5">
        <v>0.14000000000000001</v>
      </c>
      <c r="H287" s="5">
        <v>0.13639999999999999</v>
      </c>
      <c r="I287" s="5">
        <v>0.5</v>
      </c>
      <c r="J287" s="5">
        <v>0.19400000000000001</v>
      </c>
      <c r="K287" s="5">
        <v>5</v>
      </c>
      <c r="L287" s="5">
        <v>197</v>
      </c>
      <c r="M287" s="5">
        <v>202</v>
      </c>
    </row>
    <row r="288" spans="1:13">
      <c r="A288" s="5">
        <v>287</v>
      </c>
      <c r="B288" s="6">
        <v>40556</v>
      </c>
      <c r="C288" s="5">
        <v>9</v>
      </c>
      <c r="D288" s="5" t="b">
        <v>0</v>
      </c>
      <c r="E288" s="5">
        <v>4</v>
      </c>
      <c r="F288" s="5">
        <v>1</v>
      </c>
      <c r="G288" s="5">
        <v>0.14000000000000001</v>
      </c>
      <c r="H288" s="5">
        <v>0.1212</v>
      </c>
      <c r="I288" s="5">
        <v>0.5</v>
      </c>
      <c r="J288" s="5">
        <v>0.32840000000000003</v>
      </c>
      <c r="K288" s="5">
        <v>2</v>
      </c>
      <c r="L288" s="5">
        <v>137</v>
      </c>
      <c r="M288" s="5">
        <v>139</v>
      </c>
    </row>
    <row r="289" spans="1:13">
      <c r="A289" s="5">
        <v>288</v>
      </c>
      <c r="B289" s="6">
        <v>40556</v>
      </c>
      <c r="C289" s="5">
        <v>10</v>
      </c>
      <c r="D289" s="5" t="b">
        <v>0</v>
      </c>
      <c r="E289" s="5">
        <v>4</v>
      </c>
      <c r="F289" s="5">
        <v>2</v>
      </c>
      <c r="G289" s="5">
        <v>0.16</v>
      </c>
      <c r="H289" s="5">
        <v>0.13639999999999999</v>
      </c>
      <c r="I289" s="5">
        <v>0.5</v>
      </c>
      <c r="J289" s="5">
        <v>0.35820000000000002</v>
      </c>
      <c r="K289" s="5">
        <v>2</v>
      </c>
      <c r="L289" s="5">
        <v>36</v>
      </c>
      <c r="M289" s="5">
        <v>38</v>
      </c>
    </row>
    <row r="290" spans="1:13">
      <c r="A290" s="5">
        <v>289</v>
      </c>
      <c r="B290" s="6">
        <v>40556</v>
      </c>
      <c r="C290" s="5">
        <v>11</v>
      </c>
      <c r="D290" s="5" t="b">
        <v>0</v>
      </c>
      <c r="E290" s="5">
        <v>4</v>
      </c>
      <c r="F290" s="5">
        <v>2</v>
      </c>
      <c r="G290" s="5">
        <v>0.2</v>
      </c>
      <c r="H290" s="5">
        <v>0.16669999999999999</v>
      </c>
      <c r="I290" s="5">
        <v>0.44</v>
      </c>
      <c r="J290" s="5">
        <v>0.44779999999999998</v>
      </c>
      <c r="K290" s="5">
        <v>4</v>
      </c>
      <c r="L290" s="5">
        <v>33</v>
      </c>
      <c r="M290" s="5">
        <v>37</v>
      </c>
    </row>
    <row r="291" spans="1:13">
      <c r="A291" s="5">
        <v>290</v>
      </c>
      <c r="B291" s="6">
        <v>40556</v>
      </c>
      <c r="C291" s="5">
        <v>12</v>
      </c>
      <c r="D291" s="5" t="b">
        <v>0</v>
      </c>
      <c r="E291" s="5">
        <v>4</v>
      </c>
      <c r="F291" s="5">
        <v>1</v>
      </c>
      <c r="G291" s="5">
        <v>0.2</v>
      </c>
      <c r="H291" s="5">
        <v>0.16669999999999999</v>
      </c>
      <c r="I291" s="5">
        <v>0.44</v>
      </c>
      <c r="J291" s="5">
        <v>0.41789999999999999</v>
      </c>
      <c r="K291" s="5">
        <v>3</v>
      </c>
      <c r="L291" s="5">
        <v>49</v>
      </c>
      <c r="M291" s="5">
        <v>52</v>
      </c>
    </row>
    <row r="292" spans="1:13">
      <c r="A292" s="5">
        <v>291</v>
      </c>
      <c r="B292" s="6">
        <v>40556</v>
      </c>
      <c r="C292" s="5">
        <v>13</v>
      </c>
      <c r="D292" s="5" t="b">
        <v>0</v>
      </c>
      <c r="E292" s="5">
        <v>4</v>
      </c>
      <c r="F292" s="5">
        <v>1</v>
      </c>
      <c r="G292" s="5">
        <v>0.22</v>
      </c>
      <c r="H292" s="5">
        <v>0.19700000000000001</v>
      </c>
      <c r="I292" s="5">
        <v>0.41</v>
      </c>
      <c r="J292" s="5">
        <v>0.44779999999999998</v>
      </c>
      <c r="K292" s="5">
        <v>2</v>
      </c>
      <c r="L292" s="5">
        <v>81</v>
      </c>
      <c r="M292" s="5">
        <v>83</v>
      </c>
    </row>
    <row r="293" spans="1:13">
      <c r="A293" s="5">
        <v>292</v>
      </c>
      <c r="B293" s="6">
        <v>40556</v>
      </c>
      <c r="C293" s="5">
        <v>14</v>
      </c>
      <c r="D293" s="5" t="b">
        <v>0</v>
      </c>
      <c r="E293" s="5">
        <v>4</v>
      </c>
      <c r="F293" s="5">
        <v>1</v>
      </c>
      <c r="G293" s="5">
        <v>0.22</v>
      </c>
      <c r="H293" s="5">
        <v>0.19700000000000001</v>
      </c>
      <c r="I293" s="5">
        <v>0.41</v>
      </c>
      <c r="J293" s="5">
        <v>0.3881</v>
      </c>
      <c r="K293" s="5">
        <v>3</v>
      </c>
      <c r="L293" s="5">
        <v>39</v>
      </c>
      <c r="M293" s="5">
        <v>42</v>
      </c>
    </row>
    <row r="294" spans="1:13">
      <c r="A294" s="5">
        <v>293</v>
      </c>
      <c r="B294" s="6">
        <v>40556</v>
      </c>
      <c r="C294" s="5">
        <v>15</v>
      </c>
      <c r="D294" s="5" t="b">
        <v>0</v>
      </c>
      <c r="E294" s="5">
        <v>4</v>
      </c>
      <c r="F294" s="5">
        <v>1</v>
      </c>
      <c r="G294" s="5">
        <v>0.24</v>
      </c>
      <c r="H294" s="5">
        <v>0.21210000000000001</v>
      </c>
      <c r="I294" s="5">
        <v>0.38</v>
      </c>
      <c r="J294" s="5">
        <v>0.29849999999999999</v>
      </c>
      <c r="K294" s="5">
        <v>5</v>
      </c>
      <c r="L294" s="5">
        <v>55</v>
      </c>
      <c r="M294" s="5">
        <v>60</v>
      </c>
    </row>
    <row r="295" spans="1:13">
      <c r="A295" s="5">
        <v>294</v>
      </c>
      <c r="B295" s="6">
        <v>40556</v>
      </c>
      <c r="C295" s="5">
        <v>16</v>
      </c>
      <c r="D295" s="5" t="b">
        <v>0</v>
      </c>
      <c r="E295" s="5">
        <v>4</v>
      </c>
      <c r="F295" s="5">
        <v>1</v>
      </c>
      <c r="G295" s="5">
        <v>0.24</v>
      </c>
      <c r="H295" s="5">
        <v>0.21210000000000001</v>
      </c>
      <c r="I295" s="5">
        <v>0.38</v>
      </c>
      <c r="J295" s="5">
        <v>0.35820000000000002</v>
      </c>
      <c r="K295" s="5">
        <v>2</v>
      </c>
      <c r="L295" s="5">
        <v>76</v>
      </c>
      <c r="M295" s="5">
        <v>78</v>
      </c>
    </row>
    <row r="296" spans="1:13">
      <c r="A296" s="5">
        <v>295</v>
      </c>
      <c r="B296" s="6">
        <v>40556</v>
      </c>
      <c r="C296" s="5">
        <v>17</v>
      </c>
      <c r="D296" s="5" t="b">
        <v>0</v>
      </c>
      <c r="E296" s="5">
        <v>4</v>
      </c>
      <c r="F296" s="5">
        <v>1</v>
      </c>
      <c r="G296" s="5">
        <v>0.2</v>
      </c>
      <c r="H296" s="5">
        <v>0.18179999999999999</v>
      </c>
      <c r="I296" s="5">
        <v>0.4</v>
      </c>
      <c r="J296" s="5">
        <v>0.28360000000000002</v>
      </c>
      <c r="K296" s="5">
        <v>4</v>
      </c>
      <c r="L296" s="5">
        <v>158</v>
      </c>
      <c r="M296" s="5">
        <v>162</v>
      </c>
    </row>
    <row r="297" spans="1:13">
      <c r="A297" s="5">
        <v>296</v>
      </c>
      <c r="B297" s="6">
        <v>40556</v>
      </c>
      <c r="C297" s="5">
        <v>18</v>
      </c>
      <c r="D297" s="5" t="b">
        <v>0</v>
      </c>
      <c r="E297" s="5">
        <v>4</v>
      </c>
      <c r="F297" s="5">
        <v>1</v>
      </c>
      <c r="G297" s="5">
        <v>0.2</v>
      </c>
      <c r="H297" s="5">
        <v>0.18179999999999999</v>
      </c>
      <c r="I297" s="5">
        <v>0.4</v>
      </c>
      <c r="J297" s="5">
        <v>0.32840000000000003</v>
      </c>
      <c r="K297" s="5">
        <v>3</v>
      </c>
      <c r="L297" s="5">
        <v>141</v>
      </c>
      <c r="M297" s="5">
        <v>144</v>
      </c>
    </row>
    <row r="298" spans="1:13">
      <c r="A298" s="5">
        <v>297</v>
      </c>
      <c r="B298" s="6">
        <v>40556</v>
      </c>
      <c r="C298" s="5">
        <v>19</v>
      </c>
      <c r="D298" s="5" t="b">
        <v>0</v>
      </c>
      <c r="E298" s="5">
        <v>4</v>
      </c>
      <c r="F298" s="5">
        <v>1</v>
      </c>
      <c r="G298" s="5">
        <v>0.16</v>
      </c>
      <c r="H298" s="5">
        <v>0.1515</v>
      </c>
      <c r="I298" s="5">
        <v>0.47</v>
      </c>
      <c r="J298" s="5">
        <v>0.25369999999999998</v>
      </c>
      <c r="K298" s="5">
        <v>1</v>
      </c>
      <c r="L298" s="5">
        <v>98</v>
      </c>
      <c r="M298" s="5">
        <v>99</v>
      </c>
    </row>
    <row r="299" spans="1:13">
      <c r="A299" s="5">
        <v>298</v>
      </c>
      <c r="B299" s="6">
        <v>40556</v>
      </c>
      <c r="C299" s="5">
        <v>20</v>
      </c>
      <c r="D299" s="5" t="b">
        <v>0</v>
      </c>
      <c r="E299" s="5">
        <v>4</v>
      </c>
      <c r="F299" s="5">
        <v>1</v>
      </c>
      <c r="G299" s="5">
        <v>0.16</v>
      </c>
      <c r="H299" s="5">
        <v>0.1515</v>
      </c>
      <c r="I299" s="5">
        <v>0.47</v>
      </c>
      <c r="J299" s="5">
        <v>0.22389999999999999</v>
      </c>
      <c r="K299" s="5">
        <v>0</v>
      </c>
      <c r="L299" s="5">
        <v>64</v>
      </c>
      <c r="M299" s="5">
        <v>64</v>
      </c>
    </row>
    <row r="300" spans="1:13">
      <c r="A300" s="5">
        <v>299</v>
      </c>
      <c r="B300" s="6">
        <v>40556</v>
      </c>
      <c r="C300" s="5">
        <v>21</v>
      </c>
      <c r="D300" s="5" t="b">
        <v>0</v>
      </c>
      <c r="E300" s="5">
        <v>4</v>
      </c>
      <c r="F300" s="5">
        <v>1</v>
      </c>
      <c r="G300" s="5">
        <v>0.14000000000000001</v>
      </c>
      <c r="H300" s="5">
        <v>0.1212</v>
      </c>
      <c r="I300" s="5">
        <v>0.46</v>
      </c>
      <c r="J300" s="5">
        <v>0.29849999999999999</v>
      </c>
      <c r="K300" s="5">
        <v>0</v>
      </c>
      <c r="L300" s="5">
        <v>40</v>
      </c>
      <c r="M300" s="5">
        <v>40</v>
      </c>
    </row>
    <row r="301" spans="1:13">
      <c r="A301" s="5">
        <v>300</v>
      </c>
      <c r="B301" s="6">
        <v>40556</v>
      </c>
      <c r="C301" s="5">
        <v>22</v>
      </c>
      <c r="D301" s="5" t="b">
        <v>0</v>
      </c>
      <c r="E301" s="5">
        <v>4</v>
      </c>
      <c r="F301" s="5">
        <v>1</v>
      </c>
      <c r="G301" s="5">
        <v>0.14000000000000001</v>
      </c>
      <c r="H301" s="5">
        <v>0.1212</v>
      </c>
      <c r="I301" s="5">
        <v>0.46</v>
      </c>
      <c r="J301" s="5">
        <v>0.32840000000000003</v>
      </c>
      <c r="K301" s="5">
        <v>0</v>
      </c>
      <c r="L301" s="5">
        <v>30</v>
      </c>
      <c r="M301" s="5">
        <v>30</v>
      </c>
    </row>
    <row r="302" spans="1:13">
      <c r="A302" s="5">
        <v>301</v>
      </c>
      <c r="B302" s="6">
        <v>40556</v>
      </c>
      <c r="C302" s="5">
        <v>23</v>
      </c>
      <c r="D302" s="5" t="b">
        <v>0</v>
      </c>
      <c r="E302" s="5">
        <v>4</v>
      </c>
      <c r="F302" s="5">
        <v>1</v>
      </c>
      <c r="G302" s="5">
        <v>0.12</v>
      </c>
      <c r="H302" s="5">
        <v>0.13639999999999999</v>
      </c>
      <c r="I302" s="5">
        <v>0.5</v>
      </c>
      <c r="J302" s="5">
        <v>0.19400000000000001</v>
      </c>
      <c r="K302" s="5">
        <v>1</v>
      </c>
      <c r="L302" s="5">
        <v>14</v>
      </c>
      <c r="M302" s="5">
        <v>15</v>
      </c>
    </row>
    <row r="303" spans="1:13">
      <c r="A303" s="5">
        <v>302</v>
      </c>
      <c r="B303" s="6">
        <v>40557</v>
      </c>
      <c r="C303" s="5">
        <v>0</v>
      </c>
      <c r="D303" s="5" t="b">
        <v>0</v>
      </c>
      <c r="E303" s="5">
        <v>5</v>
      </c>
      <c r="F303" s="5">
        <v>1</v>
      </c>
      <c r="G303" s="5">
        <v>0.12</v>
      </c>
      <c r="H303" s="5">
        <v>0.13639999999999999</v>
      </c>
      <c r="I303" s="5">
        <v>0.5</v>
      </c>
      <c r="J303" s="5">
        <v>0.19400000000000001</v>
      </c>
      <c r="K303" s="5">
        <v>0</v>
      </c>
      <c r="L303" s="5">
        <v>14</v>
      </c>
      <c r="M303" s="5">
        <v>14</v>
      </c>
    </row>
    <row r="304" spans="1:13">
      <c r="A304" s="5">
        <v>303</v>
      </c>
      <c r="B304" s="6">
        <v>40557</v>
      </c>
      <c r="C304" s="5">
        <v>1</v>
      </c>
      <c r="D304" s="5" t="b">
        <v>0</v>
      </c>
      <c r="E304" s="5">
        <v>5</v>
      </c>
      <c r="F304" s="5">
        <v>1</v>
      </c>
      <c r="G304" s="5">
        <v>0.1</v>
      </c>
      <c r="H304" s="5">
        <v>0.1212</v>
      </c>
      <c r="I304" s="5">
        <v>0.54</v>
      </c>
      <c r="J304" s="5">
        <v>0.16420000000000001</v>
      </c>
      <c r="K304" s="5">
        <v>0</v>
      </c>
      <c r="L304" s="5">
        <v>5</v>
      </c>
      <c r="M304" s="5">
        <v>5</v>
      </c>
    </row>
    <row r="305" spans="1:13">
      <c r="A305" s="5">
        <v>304</v>
      </c>
      <c r="B305" s="6">
        <v>40557</v>
      </c>
      <c r="C305" s="5">
        <v>2</v>
      </c>
      <c r="D305" s="5" t="b">
        <v>0</v>
      </c>
      <c r="E305" s="5">
        <v>5</v>
      </c>
      <c r="F305" s="5">
        <v>1</v>
      </c>
      <c r="G305" s="5">
        <v>0.1</v>
      </c>
      <c r="H305" s="5">
        <v>0.1212</v>
      </c>
      <c r="I305" s="5">
        <v>0.54</v>
      </c>
      <c r="J305" s="5">
        <v>0.1343</v>
      </c>
      <c r="K305" s="5">
        <v>0</v>
      </c>
      <c r="L305" s="5">
        <v>1</v>
      </c>
      <c r="M305" s="5">
        <v>1</v>
      </c>
    </row>
    <row r="306" spans="1:13">
      <c r="A306" s="5">
        <v>305</v>
      </c>
      <c r="B306" s="6">
        <v>40557</v>
      </c>
      <c r="C306" s="5">
        <v>3</v>
      </c>
      <c r="D306" s="5" t="b">
        <v>0</v>
      </c>
      <c r="E306" s="5">
        <v>5</v>
      </c>
      <c r="F306" s="5">
        <v>1</v>
      </c>
      <c r="G306" s="5">
        <v>0.1</v>
      </c>
      <c r="H306" s="5">
        <v>0.13639999999999999</v>
      </c>
      <c r="I306" s="5">
        <v>0.54</v>
      </c>
      <c r="J306" s="5">
        <v>0.1045</v>
      </c>
      <c r="K306" s="5">
        <v>0</v>
      </c>
      <c r="L306" s="5">
        <v>1</v>
      </c>
      <c r="M306" s="5">
        <v>1</v>
      </c>
    </row>
    <row r="307" spans="1:13">
      <c r="A307" s="5">
        <v>306</v>
      </c>
      <c r="B307" s="6">
        <v>40557</v>
      </c>
      <c r="C307" s="5">
        <v>5</v>
      </c>
      <c r="D307" s="5" t="b">
        <v>0</v>
      </c>
      <c r="E307" s="5">
        <v>5</v>
      </c>
      <c r="F307" s="5">
        <v>1</v>
      </c>
      <c r="G307" s="5">
        <v>0.1</v>
      </c>
      <c r="H307" s="5">
        <v>0.13639999999999999</v>
      </c>
      <c r="I307" s="5">
        <v>0.54</v>
      </c>
      <c r="J307" s="5">
        <v>8.9599999999999999E-2</v>
      </c>
      <c r="K307" s="5">
        <v>0</v>
      </c>
      <c r="L307" s="5">
        <v>8</v>
      </c>
      <c r="M307" s="5">
        <v>8</v>
      </c>
    </row>
    <row r="308" spans="1:13">
      <c r="A308" s="5">
        <v>307</v>
      </c>
      <c r="B308" s="6">
        <v>40557</v>
      </c>
      <c r="C308" s="5">
        <v>6</v>
      </c>
      <c r="D308" s="5" t="b">
        <v>0</v>
      </c>
      <c r="E308" s="5">
        <v>5</v>
      </c>
      <c r="F308" s="5">
        <v>1</v>
      </c>
      <c r="G308" s="5">
        <v>0.1</v>
      </c>
      <c r="H308" s="5">
        <v>0.18179999999999999</v>
      </c>
      <c r="I308" s="5">
        <v>0.54</v>
      </c>
      <c r="J308" s="5">
        <v>0</v>
      </c>
      <c r="K308" s="5">
        <v>0</v>
      </c>
      <c r="L308" s="5">
        <v>17</v>
      </c>
      <c r="M308" s="5">
        <v>17</v>
      </c>
    </row>
    <row r="309" spans="1:13">
      <c r="A309" s="5">
        <v>308</v>
      </c>
      <c r="B309" s="6">
        <v>40557</v>
      </c>
      <c r="C309" s="5">
        <v>7</v>
      </c>
      <c r="D309" s="5" t="b">
        <v>0</v>
      </c>
      <c r="E309" s="5">
        <v>5</v>
      </c>
      <c r="F309" s="5">
        <v>1</v>
      </c>
      <c r="G309" s="5">
        <v>0.1</v>
      </c>
      <c r="H309" s="5">
        <v>0.1212</v>
      </c>
      <c r="I309" s="5">
        <v>0.74</v>
      </c>
      <c r="J309" s="5">
        <v>0.16420000000000001</v>
      </c>
      <c r="K309" s="5">
        <v>0</v>
      </c>
      <c r="L309" s="5">
        <v>70</v>
      </c>
      <c r="M309" s="5">
        <v>70</v>
      </c>
    </row>
    <row r="310" spans="1:13">
      <c r="A310" s="5">
        <v>309</v>
      </c>
      <c r="B310" s="6">
        <v>40557</v>
      </c>
      <c r="C310" s="5">
        <v>8</v>
      </c>
      <c r="D310" s="5" t="b">
        <v>0</v>
      </c>
      <c r="E310" s="5">
        <v>5</v>
      </c>
      <c r="F310" s="5">
        <v>1</v>
      </c>
      <c r="G310" s="5">
        <v>0.12</v>
      </c>
      <c r="H310" s="5">
        <v>0.16669999999999999</v>
      </c>
      <c r="I310" s="5">
        <v>0.68</v>
      </c>
      <c r="J310" s="5">
        <v>0</v>
      </c>
      <c r="K310" s="5">
        <v>2</v>
      </c>
      <c r="L310" s="5">
        <v>156</v>
      </c>
      <c r="M310" s="5">
        <v>158</v>
      </c>
    </row>
    <row r="311" spans="1:13">
      <c r="A311" s="5">
        <v>310</v>
      </c>
      <c r="B311" s="6">
        <v>40557</v>
      </c>
      <c r="C311" s="5">
        <v>9</v>
      </c>
      <c r="D311" s="5" t="b">
        <v>0</v>
      </c>
      <c r="E311" s="5">
        <v>5</v>
      </c>
      <c r="F311" s="5">
        <v>1</v>
      </c>
      <c r="G311" s="5">
        <v>0.14000000000000001</v>
      </c>
      <c r="H311" s="5">
        <v>0.1515</v>
      </c>
      <c r="I311" s="5">
        <v>0.69</v>
      </c>
      <c r="J311" s="5">
        <v>0.1343</v>
      </c>
      <c r="K311" s="5">
        <v>0</v>
      </c>
      <c r="L311" s="5">
        <v>117</v>
      </c>
      <c r="M311" s="5">
        <v>117</v>
      </c>
    </row>
    <row r="312" spans="1:13">
      <c r="A312" s="5">
        <v>311</v>
      </c>
      <c r="B312" s="6">
        <v>40557</v>
      </c>
      <c r="C312" s="5">
        <v>10</v>
      </c>
      <c r="D312" s="5" t="b">
        <v>0</v>
      </c>
      <c r="E312" s="5">
        <v>5</v>
      </c>
      <c r="F312" s="5">
        <v>1</v>
      </c>
      <c r="G312" s="5">
        <v>0.18</v>
      </c>
      <c r="H312" s="5">
        <v>0.18179999999999999</v>
      </c>
      <c r="I312" s="5">
        <v>0.55000000000000004</v>
      </c>
      <c r="J312" s="5">
        <v>0.19400000000000001</v>
      </c>
      <c r="K312" s="5">
        <v>4</v>
      </c>
      <c r="L312" s="5">
        <v>40</v>
      </c>
      <c r="M312" s="5">
        <v>44</v>
      </c>
    </row>
    <row r="313" spans="1:13">
      <c r="A313" s="5">
        <v>312</v>
      </c>
      <c r="B313" s="6">
        <v>40557</v>
      </c>
      <c r="C313" s="5">
        <v>11</v>
      </c>
      <c r="D313" s="5" t="b">
        <v>0</v>
      </c>
      <c r="E313" s="5">
        <v>5</v>
      </c>
      <c r="F313" s="5">
        <v>1</v>
      </c>
      <c r="G313" s="5">
        <v>0.18</v>
      </c>
      <c r="H313" s="5">
        <v>0.16669999999999999</v>
      </c>
      <c r="I313" s="5">
        <v>0.51</v>
      </c>
      <c r="J313" s="5">
        <v>0.28360000000000002</v>
      </c>
      <c r="K313" s="5">
        <v>6</v>
      </c>
      <c r="L313" s="5">
        <v>47</v>
      </c>
      <c r="M313" s="5">
        <v>53</v>
      </c>
    </row>
    <row r="314" spans="1:13">
      <c r="A314" s="5">
        <v>313</v>
      </c>
      <c r="B314" s="6">
        <v>40557</v>
      </c>
      <c r="C314" s="5">
        <v>12</v>
      </c>
      <c r="D314" s="5" t="b">
        <v>0</v>
      </c>
      <c r="E314" s="5">
        <v>5</v>
      </c>
      <c r="F314" s="5">
        <v>1</v>
      </c>
      <c r="G314" s="5">
        <v>0.2</v>
      </c>
      <c r="H314" s="5">
        <v>0.19700000000000001</v>
      </c>
      <c r="I314" s="5">
        <v>0.44</v>
      </c>
      <c r="J314" s="5">
        <v>0.25369999999999998</v>
      </c>
      <c r="K314" s="5">
        <v>2</v>
      </c>
      <c r="L314" s="5">
        <v>59</v>
      </c>
      <c r="M314" s="5">
        <v>61</v>
      </c>
    </row>
    <row r="315" spans="1:13">
      <c r="A315" s="5">
        <v>314</v>
      </c>
      <c r="B315" s="6">
        <v>40557</v>
      </c>
      <c r="C315" s="5">
        <v>13</v>
      </c>
      <c r="D315" s="5" t="b">
        <v>0</v>
      </c>
      <c r="E315" s="5">
        <v>5</v>
      </c>
      <c r="F315" s="5">
        <v>1</v>
      </c>
      <c r="G315" s="5">
        <v>0.22</v>
      </c>
      <c r="H315" s="5">
        <v>0.19700000000000001</v>
      </c>
      <c r="I315" s="5">
        <v>0.37</v>
      </c>
      <c r="J315" s="5">
        <v>0.3881</v>
      </c>
      <c r="K315" s="5">
        <v>4</v>
      </c>
      <c r="L315" s="5">
        <v>73</v>
      </c>
      <c r="M315" s="5">
        <v>77</v>
      </c>
    </row>
    <row r="316" spans="1:13">
      <c r="A316" s="5">
        <v>315</v>
      </c>
      <c r="B316" s="6">
        <v>40557</v>
      </c>
      <c r="C316" s="5">
        <v>14</v>
      </c>
      <c r="D316" s="5" t="b">
        <v>0</v>
      </c>
      <c r="E316" s="5">
        <v>5</v>
      </c>
      <c r="F316" s="5">
        <v>1</v>
      </c>
      <c r="G316" s="5">
        <v>0.22</v>
      </c>
      <c r="H316" s="5">
        <v>0.21210000000000001</v>
      </c>
      <c r="I316" s="5">
        <v>0.41</v>
      </c>
      <c r="J316" s="5">
        <v>0.28360000000000002</v>
      </c>
      <c r="K316" s="5">
        <v>5</v>
      </c>
      <c r="L316" s="5">
        <v>59</v>
      </c>
      <c r="M316" s="5">
        <v>64</v>
      </c>
    </row>
    <row r="317" spans="1:13">
      <c r="A317" s="5">
        <v>316</v>
      </c>
      <c r="B317" s="6">
        <v>40557</v>
      </c>
      <c r="C317" s="5">
        <v>15</v>
      </c>
      <c r="D317" s="5" t="b">
        <v>0</v>
      </c>
      <c r="E317" s="5">
        <v>5</v>
      </c>
      <c r="F317" s="5">
        <v>1</v>
      </c>
      <c r="G317" s="5">
        <v>0.24</v>
      </c>
      <c r="H317" s="5">
        <v>0.2424</v>
      </c>
      <c r="I317" s="5">
        <v>0.38</v>
      </c>
      <c r="J317" s="5">
        <v>0.16420000000000001</v>
      </c>
      <c r="K317" s="5">
        <v>9</v>
      </c>
      <c r="L317" s="5">
        <v>59</v>
      </c>
      <c r="M317" s="5">
        <v>68</v>
      </c>
    </row>
    <row r="318" spans="1:13">
      <c r="A318" s="5">
        <v>317</v>
      </c>
      <c r="B318" s="6">
        <v>40557</v>
      </c>
      <c r="C318" s="5">
        <v>16</v>
      </c>
      <c r="D318" s="5" t="b">
        <v>0</v>
      </c>
      <c r="E318" s="5">
        <v>5</v>
      </c>
      <c r="F318" s="5">
        <v>1</v>
      </c>
      <c r="G318" s="5">
        <v>0.22</v>
      </c>
      <c r="H318" s="5">
        <v>0.2424</v>
      </c>
      <c r="I318" s="5">
        <v>0.41</v>
      </c>
      <c r="J318" s="5">
        <v>0.1045</v>
      </c>
      <c r="K318" s="5">
        <v>3</v>
      </c>
      <c r="L318" s="5">
        <v>87</v>
      </c>
      <c r="M318" s="5">
        <v>90</v>
      </c>
    </row>
    <row r="319" spans="1:13">
      <c r="A319" s="5">
        <v>318</v>
      </c>
      <c r="B319" s="6">
        <v>40557</v>
      </c>
      <c r="C319" s="5">
        <v>17</v>
      </c>
      <c r="D319" s="5" t="b">
        <v>0</v>
      </c>
      <c r="E319" s="5">
        <v>5</v>
      </c>
      <c r="F319" s="5">
        <v>1</v>
      </c>
      <c r="G319" s="5">
        <v>0.22</v>
      </c>
      <c r="H319" s="5">
        <v>0.2273</v>
      </c>
      <c r="I319" s="5">
        <v>0.41</v>
      </c>
      <c r="J319" s="5">
        <v>0.16420000000000001</v>
      </c>
      <c r="K319" s="5">
        <v>4</v>
      </c>
      <c r="L319" s="5">
        <v>155</v>
      </c>
      <c r="M319" s="5">
        <v>159</v>
      </c>
    </row>
    <row r="320" spans="1:13">
      <c r="A320" s="5">
        <v>319</v>
      </c>
      <c r="B320" s="6">
        <v>40557</v>
      </c>
      <c r="C320" s="5">
        <v>18</v>
      </c>
      <c r="D320" s="5" t="b">
        <v>0</v>
      </c>
      <c r="E320" s="5">
        <v>5</v>
      </c>
      <c r="F320" s="5">
        <v>1</v>
      </c>
      <c r="G320" s="5">
        <v>0.2</v>
      </c>
      <c r="H320" s="5">
        <v>0.2576</v>
      </c>
      <c r="I320" s="5">
        <v>0.47</v>
      </c>
      <c r="J320" s="5">
        <v>0</v>
      </c>
      <c r="K320" s="5">
        <v>5</v>
      </c>
      <c r="L320" s="5">
        <v>134</v>
      </c>
      <c r="M320" s="5">
        <v>139</v>
      </c>
    </row>
    <row r="321" spans="1:13">
      <c r="A321" s="5">
        <v>320</v>
      </c>
      <c r="B321" s="6">
        <v>40557</v>
      </c>
      <c r="C321" s="5">
        <v>19</v>
      </c>
      <c r="D321" s="5" t="b">
        <v>0</v>
      </c>
      <c r="E321" s="5">
        <v>5</v>
      </c>
      <c r="F321" s="5">
        <v>1</v>
      </c>
      <c r="G321" s="5">
        <v>0.16</v>
      </c>
      <c r="H321" s="5">
        <v>0.19700000000000001</v>
      </c>
      <c r="I321" s="5">
        <v>0.59</v>
      </c>
      <c r="J321" s="5">
        <v>8.9599999999999999E-2</v>
      </c>
      <c r="K321" s="5">
        <v>3</v>
      </c>
      <c r="L321" s="5">
        <v>89</v>
      </c>
      <c r="M321" s="5">
        <v>92</v>
      </c>
    </row>
    <row r="322" spans="1:13">
      <c r="A322" s="5">
        <v>321</v>
      </c>
      <c r="B322" s="6">
        <v>40557</v>
      </c>
      <c r="C322" s="5">
        <v>20</v>
      </c>
      <c r="D322" s="5" t="b">
        <v>0</v>
      </c>
      <c r="E322" s="5">
        <v>5</v>
      </c>
      <c r="F322" s="5">
        <v>1</v>
      </c>
      <c r="G322" s="5">
        <v>0.18</v>
      </c>
      <c r="H322" s="5">
        <v>0.2424</v>
      </c>
      <c r="I322" s="5">
        <v>0.59</v>
      </c>
      <c r="J322" s="5">
        <v>0</v>
      </c>
      <c r="K322" s="5">
        <v>0</v>
      </c>
      <c r="L322" s="5">
        <v>68</v>
      </c>
      <c r="M322" s="5">
        <v>68</v>
      </c>
    </row>
    <row r="323" spans="1:13">
      <c r="A323" s="5">
        <v>322</v>
      </c>
      <c r="B323" s="6">
        <v>40557</v>
      </c>
      <c r="C323" s="5">
        <v>21</v>
      </c>
      <c r="D323" s="5" t="b">
        <v>0</v>
      </c>
      <c r="E323" s="5">
        <v>5</v>
      </c>
      <c r="F323" s="5">
        <v>1</v>
      </c>
      <c r="G323" s="5">
        <v>0.16</v>
      </c>
      <c r="H323" s="5">
        <v>0.2273</v>
      </c>
      <c r="I323" s="5">
        <v>0.69</v>
      </c>
      <c r="J323" s="5">
        <v>0</v>
      </c>
      <c r="K323" s="5">
        <v>4</v>
      </c>
      <c r="L323" s="5">
        <v>48</v>
      </c>
      <c r="M323" s="5">
        <v>52</v>
      </c>
    </row>
    <row r="324" spans="1:13">
      <c r="A324" s="5">
        <v>323</v>
      </c>
      <c r="B324" s="6">
        <v>40557</v>
      </c>
      <c r="C324" s="5">
        <v>22</v>
      </c>
      <c r="D324" s="5" t="b">
        <v>0</v>
      </c>
      <c r="E324" s="5">
        <v>5</v>
      </c>
      <c r="F324" s="5">
        <v>2</v>
      </c>
      <c r="G324" s="5">
        <v>0.16</v>
      </c>
      <c r="H324" s="5">
        <v>0.2273</v>
      </c>
      <c r="I324" s="5">
        <v>0.69</v>
      </c>
      <c r="J324" s="5">
        <v>0</v>
      </c>
      <c r="K324" s="5">
        <v>2</v>
      </c>
      <c r="L324" s="5">
        <v>34</v>
      </c>
      <c r="M324" s="5">
        <v>36</v>
      </c>
    </row>
    <row r="325" spans="1:13">
      <c r="A325" s="5">
        <v>324</v>
      </c>
      <c r="B325" s="6">
        <v>40557</v>
      </c>
      <c r="C325" s="5">
        <v>23</v>
      </c>
      <c r="D325" s="5" t="b">
        <v>0</v>
      </c>
      <c r="E325" s="5">
        <v>5</v>
      </c>
      <c r="F325" s="5">
        <v>2</v>
      </c>
      <c r="G325" s="5">
        <v>0.18</v>
      </c>
      <c r="H325" s="5">
        <v>0.2424</v>
      </c>
      <c r="I325" s="5">
        <v>0.55000000000000004</v>
      </c>
      <c r="J325" s="5">
        <v>0</v>
      </c>
      <c r="K325" s="5">
        <v>1</v>
      </c>
      <c r="L325" s="5">
        <v>26</v>
      </c>
      <c r="M325" s="5">
        <v>27</v>
      </c>
    </row>
    <row r="326" spans="1:13">
      <c r="A326" s="5">
        <v>325</v>
      </c>
      <c r="B326" s="6">
        <v>40558</v>
      </c>
      <c r="C326" s="5">
        <v>0</v>
      </c>
      <c r="D326" s="5" t="b">
        <v>0</v>
      </c>
      <c r="E326" s="5">
        <v>6</v>
      </c>
      <c r="F326" s="5">
        <v>1</v>
      </c>
      <c r="G326" s="5">
        <v>0.18</v>
      </c>
      <c r="H326" s="5">
        <v>0.2424</v>
      </c>
      <c r="I326" s="5">
        <v>0.55000000000000004</v>
      </c>
      <c r="J326" s="5">
        <v>0</v>
      </c>
      <c r="K326" s="5">
        <v>3</v>
      </c>
      <c r="L326" s="5">
        <v>25</v>
      </c>
      <c r="M326" s="5">
        <v>28</v>
      </c>
    </row>
    <row r="327" spans="1:13">
      <c r="A327" s="5">
        <v>326</v>
      </c>
      <c r="B327" s="6">
        <v>40558</v>
      </c>
      <c r="C327" s="5">
        <v>1</v>
      </c>
      <c r="D327" s="5" t="b">
        <v>0</v>
      </c>
      <c r="E327" s="5">
        <v>6</v>
      </c>
      <c r="F327" s="5">
        <v>2</v>
      </c>
      <c r="G327" s="5">
        <v>0.16</v>
      </c>
      <c r="H327" s="5">
        <v>0.19700000000000001</v>
      </c>
      <c r="I327" s="5">
        <v>0.59</v>
      </c>
      <c r="J327" s="5">
        <v>8.9599999999999999E-2</v>
      </c>
      <c r="K327" s="5">
        <v>2</v>
      </c>
      <c r="L327" s="5">
        <v>18</v>
      </c>
      <c r="M327" s="5">
        <v>20</v>
      </c>
    </row>
    <row r="328" spans="1:13">
      <c r="A328" s="5">
        <v>327</v>
      </c>
      <c r="B328" s="6">
        <v>40558</v>
      </c>
      <c r="C328" s="5">
        <v>2</v>
      </c>
      <c r="D328" s="5" t="b">
        <v>0</v>
      </c>
      <c r="E328" s="5">
        <v>6</v>
      </c>
      <c r="F328" s="5">
        <v>2</v>
      </c>
      <c r="G328" s="5">
        <v>0.16</v>
      </c>
      <c r="H328" s="5">
        <v>0.19700000000000001</v>
      </c>
      <c r="I328" s="5">
        <v>0.59</v>
      </c>
      <c r="J328" s="5">
        <v>8.9599999999999999E-2</v>
      </c>
      <c r="K328" s="5">
        <v>0</v>
      </c>
      <c r="L328" s="5">
        <v>12</v>
      </c>
      <c r="M328" s="5">
        <v>12</v>
      </c>
    </row>
    <row r="329" spans="1:13">
      <c r="A329" s="5">
        <v>328</v>
      </c>
      <c r="B329" s="6">
        <v>40558</v>
      </c>
      <c r="C329" s="5">
        <v>3</v>
      </c>
      <c r="D329" s="5" t="b">
        <v>0</v>
      </c>
      <c r="E329" s="5">
        <v>6</v>
      </c>
      <c r="F329" s="5">
        <v>2</v>
      </c>
      <c r="G329" s="5">
        <v>0.16</v>
      </c>
      <c r="H329" s="5">
        <v>0.2273</v>
      </c>
      <c r="I329" s="5">
        <v>0.59</v>
      </c>
      <c r="J329" s="5">
        <v>0</v>
      </c>
      <c r="K329" s="5">
        <v>1</v>
      </c>
      <c r="L329" s="5">
        <v>7</v>
      </c>
      <c r="M329" s="5">
        <v>8</v>
      </c>
    </row>
    <row r="330" spans="1:13">
      <c r="A330" s="5">
        <v>329</v>
      </c>
      <c r="B330" s="6">
        <v>40558</v>
      </c>
      <c r="C330" s="5">
        <v>4</v>
      </c>
      <c r="D330" s="5" t="b">
        <v>0</v>
      </c>
      <c r="E330" s="5">
        <v>6</v>
      </c>
      <c r="F330" s="5">
        <v>2</v>
      </c>
      <c r="G330" s="5">
        <v>0.16</v>
      </c>
      <c r="H330" s="5">
        <v>0.2273</v>
      </c>
      <c r="I330" s="5">
        <v>0.59</v>
      </c>
      <c r="J330" s="5">
        <v>0</v>
      </c>
      <c r="K330" s="5">
        <v>0</v>
      </c>
      <c r="L330" s="5">
        <v>5</v>
      </c>
      <c r="M330" s="5">
        <v>5</v>
      </c>
    </row>
    <row r="331" spans="1:13">
      <c r="A331" s="5">
        <v>330</v>
      </c>
      <c r="B331" s="6">
        <v>40558</v>
      </c>
      <c r="C331" s="5">
        <v>5</v>
      </c>
      <c r="D331" s="5" t="b">
        <v>0</v>
      </c>
      <c r="E331" s="5">
        <v>6</v>
      </c>
      <c r="F331" s="5">
        <v>1</v>
      </c>
      <c r="G331" s="5">
        <v>0.16</v>
      </c>
      <c r="H331" s="5">
        <v>0.2273</v>
      </c>
      <c r="I331" s="5">
        <v>0.59</v>
      </c>
      <c r="J331" s="5">
        <v>0</v>
      </c>
      <c r="K331" s="5">
        <v>0</v>
      </c>
      <c r="L331" s="5">
        <v>1</v>
      </c>
      <c r="M331" s="5">
        <v>1</v>
      </c>
    </row>
    <row r="332" spans="1:13">
      <c r="A332" s="5">
        <v>331</v>
      </c>
      <c r="B332" s="6">
        <v>40558</v>
      </c>
      <c r="C332" s="5">
        <v>6</v>
      </c>
      <c r="D332" s="5" t="b">
        <v>0</v>
      </c>
      <c r="E332" s="5">
        <v>6</v>
      </c>
      <c r="F332" s="5">
        <v>1</v>
      </c>
      <c r="G332" s="5">
        <v>0.14000000000000001</v>
      </c>
      <c r="H332" s="5">
        <v>0.16669999999999999</v>
      </c>
      <c r="I332" s="5">
        <v>0.63</v>
      </c>
      <c r="J332" s="5">
        <v>0.1045</v>
      </c>
      <c r="K332" s="5">
        <v>1</v>
      </c>
      <c r="L332" s="5">
        <v>2</v>
      </c>
      <c r="M332" s="5">
        <v>3</v>
      </c>
    </row>
    <row r="333" spans="1:13">
      <c r="A333" s="5">
        <v>332</v>
      </c>
      <c r="B333" s="6">
        <v>40558</v>
      </c>
      <c r="C333" s="5">
        <v>7</v>
      </c>
      <c r="D333" s="5" t="b">
        <v>0</v>
      </c>
      <c r="E333" s="5">
        <v>6</v>
      </c>
      <c r="F333" s="5">
        <v>1</v>
      </c>
      <c r="G333" s="5">
        <v>0.14000000000000001</v>
      </c>
      <c r="H333" s="5">
        <v>0.21210000000000001</v>
      </c>
      <c r="I333" s="5">
        <v>0.63</v>
      </c>
      <c r="J333" s="5">
        <v>0</v>
      </c>
      <c r="K333" s="5">
        <v>1</v>
      </c>
      <c r="L333" s="5">
        <v>9</v>
      </c>
      <c r="M333" s="5">
        <v>10</v>
      </c>
    </row>
    <row r="334" spans="1:13">
      <c r="A334" s="5">
        <v>333</v>
      </c>
      <c r="B334" s="6">
        <v>40558</v>
      </c>
      <c r="C334" s="5">
        <v>8</v>
      </c>
      <c r="D334" s="5" t="b">
        <v>0</v>
      </c>
      <c r="E334" s="5">
        <v>6</v>
      </c>
      <c r="F334" s="5">
        <v>1</v>
      </c>
      <c r="G334" s="5">
        <v>0.14000000000000001</v>
      </c>
      <c r="H334" s="5">
        <v>0.1515</v>
      </c>
      <c r="I334" s="5">
        <v>0.63</v>
      </c>
      <c r="J334" s="5">
        <v>0.1343</v>
      </c>
      <c r="K334" s="5">
        <v>1</v>
      </c>
      <c r="L334" s="5">
        <v>22</v>
      </c>
      <c r="M334" s="5">
        <v>23</v>
      </c>
    </row>
    <row r="335" spans="1:13">
      <c r="A335" s="5">
        <v>334</v>
      </c>
      <c r="B335" s="6">
        <v>40558</v>
      </c>
      <c r="C335" s="5">
        <v>9</v>
      </c>
      <c r="D335" s="5" t="b">
        <v>0</v>
      </c>
      <c r="E335" s="5">
        <v>6</v>
      </c>
      <c r="F335" s="5">
        <v>1</v>
      </c>
      <c r="G335" s="5">
        <v>0.16</v>
      </c>
      <c r="H335" s="5">
        <v>0.18179999999999999</v>
      </c>
      <c r="I335" s="5">
        <v>0.64</v>
      </c>
      <c r="J335" s="5">
        <v>0.1343</v>
      </c>
      <c r="K335" s="5">
        <v>2</v>
      </c>
      <c r="L335" s="5">
        <v>31</v>
      </c>
      <c r="M335" s="5">
        <v>33</v>
      </c>
    </row>
    <row r="336" spans="1:13">
      <c r="A336" s="5">
        <v>335</v>
      </c>
      <c r="B336" s="6">
        <v>40558</v>
      </c>
      <c r="C336" s="5">
        <v>10</v>
      </c>
      <c r="D336" s="5" t="b">
        <v>0</v>
      </c>
      <c r="E336" s="5">
        <v>6</v>
      </c>
      <c r="F336" s="5">
        <v>1</v>
      </c>
      <c r="G336" s="5">
        <v>0.18</v>
      </c>
      <c r="H336" s="5">
        <v>0.19700000000000001</v>
      </c>
      <c r="I336" s="5">
        <v>0.59</v>
      </c>
      <c r="J336" s="5">
        <v>0.16420000000000001</v>
      </c>
      <c r="K336" s="5">
        <v>2</v>
      </c>
      <c r="L336" s="5">
        <v>57</v>
      </c>
      <c r="M336" s="5">
        <v>59</v>
      </c>
    </row>
    <row r="337" spans="1:13">
      <c r="A337" s="5">
        <v>336</v>
      </c>
      <c r="B337" s="6">
        <v>40558</v>
      </c>
      <c r="C337" s="5">
        <v>11</v>
      </c>
      <c r="D337" s="5" t="b">
        <v>0</v>
      </c>
      <c r="E337" s="5">
        <v>6</v>
      </c>
      <c r="F337" s="5">
        <v>1</v>
      </c>
      <c r="G337" s="5">
        <v>0.2</v>
      </c>
      <c r="H337" s="5">
        <v>0.19700000000000001</v>
      </c>
      <c r="I337" s="5">
        <v>0.55000000000000004</v>
      </c>
      <c r="J337" s="5">
        <v>0.22389999999999999</v>
      </c>
      <c r="K337" s="5">
        <v>18</v>
      </c>
      <c r="L337" s="5">
        <v>54</v>
      </c>
      <c r="M337" s="5">
        <v>72</v>
      </c>
    </row>
    <row r="338" spans="1:13">
      <c r="A338" s="5">
        <v>337</v>
      </c>
      <c r="B338" s="6">
        <v>40558</v>
      </c>
      <c r="C338" s="5">
        <v>12</v>
      </c>
      <c r="D338" s="5" t="b">
        <v>0</v>
      </c>
      <c r="E338" s="5">
        <v>6</v>
      </c>
      <c r="F338" s="5">
        <v>1</v>
      </c>
      <c r="G338" s="5">
        <v>0.24</v>
      </c>
      <c r="H338" s="5">
        <v>0.2273</v>
      </c>
      <c r="I338" s="5">
        <v>0.48</v>
      </c>
      <c r="J338" s="5">
        <v>0.22389999999999999</v>
      </c>
      <c r="K338" s="5">
        <v>15</v>
      </c>
      <c r="L338" s="5">
        <v>74</v>
      </c>
      <c r="M338" s="5">
        <v>89</v>
      </c>
    </row>
    <row r="339" spans="1:13">
      <c r="A339" s="5">
        <v>338</v>
      </c>
      <c r="B339" s="6">
        <v>40558</v>
      </c>
      <c r="C339" s="5">
        <v>13</v>
      </c>
      <c r="D339" s="5" t="b">
        <v>0</v>
      </c>
      <c r="E339" s="5">
        <v>6</v>
      </c>
      <c r="F339" s="5">
        <v>1</v>
      </c>
      <c r="G339" s="5">
        <v>0.28000000000000003</v>
      </c>
      <c r="H339" s="5">
        <v>0.2576</v>
      </c>
      <c r="I339" s="5">
        <v>0.38</v>
      </c>
      <c r="J339" s="5">
        <v>0.29849999999999999</v>
      </c>
      <c r="K339" s="5">
        <v>21</v>
      </c>
      <c r="L339" s="5">
        <v>80</v>
      </c>
      <c r="M339" s="5">
        <v>101</v>
      </c>
    </row>
    <row r="340" spans="1:13">
      <c r="A340" s="5">
        <v>339</v>
      </c>
      <c r="B340" s="6">
        <v>40558</v>
      </c>
      <c r="C340" s="5">
        <v>14</v>
      </c>
      <c r="D340" s="5" t="b">
        <v>0</v>
      </c>
      <c r="E340" s="5">
        <v>6</v>
      </c>
      <c r="F340" s="5">
        <v>1</v>
      </c>
      <c r="G340" s="5">
        <v>0.3</v>
      </c>
      <c r="H340" s="5">
        <v>0.28789999999999999</v>
      </c>
      <c r="I340" s="5">
        <v>0.39</v>
      </c>
      <c r="J340" s="5">
        <v>0.28360000000000002</v>
      </c>
      <c r="K340" s="5">
        <v>26</v>
      </c>
      <c r="L340" s="5">
        <v>92</v>
      </c>
      <c r="M340" s="5">
        <v>118</v>
      </c>
    </row>
    <row r="341" spans="1:13">
      <c r="A341" s="5">
        <v>340</v>
      </c>
      <c r="B341" s="6">
        <v>40558</v>
      </c>
      <c r="C341" s="5">
        <v>15</v>
      </c>
      <c r="D341" s="5" t="b">
        <v>0</v>
      </c>
      <c r="E341" s="5">
        <v>6</v>
      </c>
      <c r="F341" s="5">
        <v>2</v>
      </c>
      <c r="G341" s="5">
        <v>0.32</v>
      </c>
      <c r="H341" s="5">
        <v>0.31819999999999998</v>
      </c>
      <c r="I341" s="5">
        <v>0.36</v>
      </c>
      <c r="J341" s="5">
        <v>0.19400000000000001</v>
      </c>
      <c r="K341" s="5">
        <v>21</v>
      </c>
      <c r="L341" s="5">
        <v>108</v>
      </c>
      <c r="M341" s="5">
        <v>129</v>
      </c>
    </row>
    <row r="342" spans="1:13">
      <c r="A342" s="5">
        <v>341</v>
      </c>
      <c r="B342" s="6">
        <v>40558</v>
      </c>
      <c r="C342" s="5">
        <v>16</v>
      </c>
      <c r="D342" s="5" t="b">
        <v>0</v>
      </c>
      <c r="E342" s="5">
        <v>6</v>
      </c>
      <c r="F342" s="5">
        <v>2</v>
      </c>
      <c r="G342" s="5">
        <v>0.34</v>
      </c>
      <c r="H342" s="5">
        <v>0.33329999999999999</v>
      </c>
      <c r="I342" s="5">
        <v>0.34</v>
      </c>
      <c r="J342" s="5">
        <v>0.19400000000000001</v>
      </c>
      <c r="K342" s="5">
        <v>33</v>
      </c>
      <c r="L342" s="5">
        <v>95</v>
      </c>
      <c r="M342" s="5">
        <v>128</v>
      </c>
    </row>
    <row r="343" spans="1:13">
      <c r="A343" s="5">
        <v>342</v>
      </c>
      <c r="B343" s="6">
        <v>40558</v>
      </c>
      <c r="C343" s="5">
        <v>17</v>
      </c>
      <c r="D343" s="5" t="b">
        <v>0</v>
      </c>
      <c r="E343" s="5">
        <v>6</v>
      </c>
      <c r="F343" s="5">
        <v>2</v>
      </c>
      <c r="G343" s="5">
        <v>0.32</v>
      </c>
      <c r="H343" s="5">
        <v>0.30299999999999999</v>
      </c>
      <c r="I343" s="5">
        <v>0.36</v>
      </c>
      <c r="J343" s="5">
        <v>0.28360000000000002</v>
      </c>
      <c r="K343" s="5">
        <v>29</v>
      </c>
      <c r="L343" s="5">
        <v>54</v>
      </c>
      <c r="M343" s="5">
        <v>83</v>
      </c>
    </row>
    <row r="344" spans="1:13">
      <c r="A344" s="5">
        <v>343</v>
      </c>
      <c r="B344" s="6">
        <v>40558</v>
      </c>
      <c r="C344" s="5">
        <v>18</v>
      </c>
      <c r="D344" s="5" t="b">
        <v>0</v>
      </c>
      <c r="E344" s="5">
        <v>6</v>
      </c>
      <c r="F344" s="5">
        <v>2</v>
      </c>
      <c r="G344" s="5">
        <v>0.3</v>
      </c>
      <c r="H344" s="5">
        <v>0.28789999999999999</v>
      </c>
      <c r="I344" s="5">
        <v>0.45</v>
      </c>
      <c r="J344" s="5">
        <v>0.25369999999999998</v>
      </c>
      <c r="K344" s="5">
        <v>15</v>
      </c>
      <c r="L344" s="5">
        <v>69</v>
      </c>
      <c r="M344" s="5">
        <v>84</v>
      </c>
    </row>
    <row r="345" spans="1:13">
      <c r="A345" s="5">
        <v>344</v>
      </c>
      <c r="B345" s="6">
        <v>40558</v>
      </c>
      <c r="C345" s="5">
        <v>19</v>
      </c>
      <c r="D345" s="5" t="b">
        <v>0</v>
      </c>
      <c r="E345" s="5">
        <v>6</v>
      </c>
      <c r="F345" s="5">
        <v>2</v>
      </c>
      <c r="G345" s="5">
        <v>0.32</v>
      </c>
      <c r="H345" s="5">
        <v>0.30299999999999999</v>
      </c>
      <c r="I345" s="5">
        <v>0.39</v>
      </c>
      <c r="J345" s="5">
        <v>0.25369999999999998</v>
      </c>
      <c r="K345" s="5">
        <v>14</v>
      </c>
      <c r="L345" s="5">
        <v>60</v>
      </c>
      <c r="M345" s="5">
        <v>74</v>
      </c>
    </row>
    <row r="346" spans="1:13">
      <c r="A346" s="5">
        <v>345</v>
      </c>
      <c r="B346" s="6">
        <v>40558</v>
      </c>
      <c r="C346" s="5">
        <v>20</v>
      </c>
      <c r="D346" s="5" t="b">
        <v>0</v>
      </c>
      <c r="E346" s="5">
        <v>6</v>
      </c>
      <c r="F346" s="5">
        <v>2</v>
      </c>
      <c r="G346" s="5">
        <v>0.32</v>
      </c>
      <c r="H346" s="5">
        <v>0.30299999999999999</v>
      </c>
      <c r="I346" s="5">
        <v>0.39</v>
      </c>
      <c r="J346" s="5">
        <v>0.25369999999999998</v>
      </c>
      <c r="K346" s="5">
        <v>6</v>
      </c>
      <c r="L346" s="5">
        <v>35</v>
      </c>
      <c r="M346" s="5">
        <v>41</v>
      </c>
    </row>
    <row r="347" spans="1:13">
      <c r="A347" s="5">
        <v>346</v>
      </c>
      <c r="B347" s="6">
        <v>40558</v>
      </c>
      <c r="C347" s="5">
        <v>21</v>
      </c>
      <c r="D347" s="5" t="b">
        <v>0</v>
      </c>
      <c r="E347" s="5">
        <v>6</v>
      </c>
      <c r="F347" s="5">
        <v>2</v>
      </c>
      <c r="G347" s="5">
        <v>0.32</v>
      </c>
      <c r="H347" s="5">
        <v>0.30299999999999999</v>
      </c>
      <c r="I347" s="5">
        <v>0.39</v>
      </c>
      <c r="J347" s="5">
        <v>0.22389999999999999</v>
      </c>
      <c r="K347" s="5">
        <v>6</v>
      </c>
      <c r="L347" s="5">
        <v>51</v>
      </c>
      <c r="M347" s="5">
        <v>57</v>
      </c>
    </row>
    <row r="348" spans="1:13">
      <c r="A348" s="5">
        <v>347</v>
      </c>
      <c r="B348" s="6">
        <v>40558</v>
      </c>
      <c r="C348" s="5">
        <v>22</v>
      </c>
      <c r="D348" s="5" t="b">
        <v>0</v>
      </c>
      <c r="E348" s="5">
        <v>6</v>
      </c>
      <c r="F348" s="5">
        <v>2</v>
      </c>
      <c r="G348" s="5">
        <v>0.3</v>
      </c>
      <c r="H348" s="5">
        <v>0.31819999999999998</v>
      </c>
      <c r="I348" s="5">
        <v>0.42</v>
      </c>
      <c r="J348" s="5">
        <v>0.1045</v>
      </c>
      <c r="K348" s="5">
        <v>0</v>
      </c>
      <c r="L348" s="5">
        <v>26</v>
      </c>
      <c r="M348" s="5">
        <v>26</v>
      </c>
    </row>
    <row r="349" spans="1:13">
      <c r="A349" s="5">
        <v>348</v>
      </c>
      <c r="B349" s="6">
        <v>40558</v>
      </c>
      <c r="C349" s="5">
        <v>23</v>
      </c>
      <c r="D349" s="5" t="b">
        <v>0</v>
      </c>
      <c r="E349" s="5">
        <v>6</v>
      </c>
      <c r="F349" s="5">
        <v>1</v>
      </c>
      <c r="G349" s="5">
        <v>0.3</v>
      </c>
      <c r="H349" s="5">
        <v>0.28789999999999999</v>
      </c>
      <c r="I349" s="5">
        <v>0.45</v>
      </c>
      <c r="J349" s="5">
        <v>0.28360000000000002</v>
      </c>
      <c r="K349" s="5">
        <v>5</v>
      </c>
      <c r="L349" s="5">
        <v>39</v>
      </c>
      <c r="M349" s="5">
        <v>44</v>
      </c>
    </row>
    <row r="350" spans="1:13">
      <c r="A350" s="5">
        <v>349</v>
      </c>
      <c r="B350" s="6">
        <v>40559</v>
      </c>
      <c r="C350" s="5">
        <v>0</v>
      </c>
      <c r="D350" s="5" t="b">
        <v>0</v>
      </c>
      <c r="E350" s="5">
        <v>0</v>
      </c>
      <c r="F350" s="5">
        <v>1</v>
      </c>
      <c r="G350" s="5">
        <v>0.26</v>
      </c>
      <c r="H350" s="5">
        <v>0.30299999999999999</v>
      </c>
      <c r="I350" s="5">
        <v>0.56000000000000005</v>
      </c>
      <c r="J350" s="5">
        <v>0</v>
      </c>
      <c r="K350" s="5">
        <v>6</v>
      </c>
      <c r="L350" s="5">
        <v>33</v>
      </c>
      <c r="M350" s="5">
        <v>39</v>
      </c>
    </row>
    <row r="351" spans="1:13">
      <c r="A351" s="5">
        <v>350</v>
      </c>
      <c r="B351" s="6">
        <v>40559</v>
      </c>
      <c r="C351" s="5">
        <v>1</v>
      </c>
      <c r="D351" s="5" t="b">
        <v>0</v>
      </c>
      <c r="E351" s="5">
        <v>0</v>
      </c>
      <c r="F351" s="5">
        <v>1</v>
      </c>
      <c r="G351" s="5">
        <v>0.26</v>
      </c>
      <c r="H351" s="5">
        <v>0.2727</v>
      </c>
      <c r="I351" s="5">
        <v>0.56000000000000005</v>
      </c>
      <c r="J351" s="5">
        <v>0.1343</v>
      </c>
      <c r="K351" s="5">
        <v>4</v>
      </c>
      <c r="L351" s="5">
        <v>19</v>
      </c>
      <c r="M351" s="5">
        <v>23</v>
      </c>
    </row>
    <row r="352" spans="1:13">
      <c r="A352" s="5">
        <v>351</v>
      </c>
      <c r="B352" s="6">
        <v>40559</v>
      </c>
      <c r="C352" s="5">
        <v>2</v>
      </c>
      <c r="D352" s="5" t="b">
        <v>0</v>
      </c>
      <c r="E352" s="5">
        <v>0</v>
      </c>
      <c r="F352" s="5">
        <v>1</v>
      </c>
      <c r="G352" s="5">
        <v>0.26</v>
      </c>
      <c r="H352" s="5">
        <v>0.28789999999999999</v>
      </c>
      <c r="I352" s="5">
        <v>0.56000000000000005</v>
      </c>
      <c r="J352" s="5">
        <v>8.9599999999999999E-2</v>
      </c>
      <c r="K352" s="5">
        <v>3</v>
      </c>
      <c r="L352" s="5">
        <v>13</v>
      </c>
      <c r="M352" s="5">
        <v>16</v>
      </c>
    </row>
    <row r="353" spans="1:13">
      <c r="A353" s="5">
        <v>352</v>
      </c>
      <c r="B353" s="6">
        <v>40559</v>
      </c>
      <c r="C353" s="5">
        <v>3</v>
      </c>
      <c r="D353" s="5" t="b">
        <v>0</v>
      </c>
      <c r="E353" s="5">
        <v>0</v>
      </c>
      <c r="F353" s="5">
        <v>1</v>
      </c>
      <c r="G353" s="5">
        <v>0.22</v>
      </c>
      <c r="H353" s="5">
        <v>0.2727</v>
      </c>
      <c r="I353" s="5">
        <v>0.69</v>
      </c>
      <c r="J353" s="5">
        <v>0</v>
      </c>
      <c r="K353" s="5">
        <v>9</v>
      </c>
      <c r="L353" s="5">
        <v>6</v>
      </c>
      <c r="M353" s="5">
        <v>15</v>
      </c>
    </row>
    <row r="354" spans="1:13">
      <c r="A354" s="5">
        <v>353</v>
      </c>
      <c r="B354" s="6">
        <v>40559</v>
      </c>
      <c r="C354" s="5">
        <v>4</v>
      </c>
      <c r="D354" s="5" t="b">
        <v>0</v>
      </c>
      <c r="E354" s="5">
        <v>0</v>
      </c>
      <c r="F354" s="5">
        <v>1</v>
      </c>
      <c r="G354" s="5">
        <v>0.26</v>
      </c>
      <c r="H354" s="5">
        <v>0.2576</v>
      </c>
      <c r="I354" s="5">
        <v>0.56000000000000005</v>
      </c>
      <c r="J354" s="5">
        <v>0.16420000000000001</v>
      </c>
      <c r="K354" s="5">
        <v>0</v>
      </c>
      <c r="L354" s="5">
        <v>1</v>
      </c>
      <c r="M354" s="5">
        <v>1</v>
      </c>
    </row>
    <row r="355" spans="1:13">
      <c r="A355" s="5">
        <v>354</v>
      </c>
      <c r="B355" s="6">
        <v>40559</v>
      </c>
      <c r="C355" s="5">
        <v>5</v>
      </c>
      <c r="D355" s="5" t="b">
        <v>0</v>
      </c>
      <c r="E355" s="5">
        <v>0</v>
      </c>
      <c r="F355" s="5">
        <v>2</v>
      </c>
      <c r="G355" s="5">
        <v>0.26</v>
      </c>
      <c r="H355" s="5">
        <v>0.2576</v>
      </c>
      <c r="I355" s="5">
        <v>0.56000000000000005</v>
      </c>
      <c r="J355" s="5">
        <v>0.16420000000000001</v>
      </c>
      <c r="K355" s="5">
        <v>1</v>
      </c>
      <c r="L355" s="5">
        <v>1</v>
      </c>
      <c r="M355" s="5">
        <v>2</v>
      </c>
    </row>
    <row r="356" spans="1:13">
      <c r="A356" s="5">
        <v>355</v>
      </c>
      <c r="B356" s="6">
        <v>40559</v>
      </c>
      <c r="C356" s="5">
        <v>6</v>
      </c>
      <c r="D356" s="5" t="b">
        <v>0</v>
      </c>
      <c r="E356" s="5">
        <v>0</v>
      </c>
      <c r="F356" s="5">
        <v>2</v>
      </c>
      <c r="G356" s="5">
        <v>0.26</v>
      </c>
      <c r="H356" s="5">
        <v>0.2576</v>
      </c>
      <c r="I356" s="5">
        <v>0.56000000000000005</v>
      </c>
      <c r="J356" s="5">
        <v>0.16420000000000001</v>
      </c>
      <c r="K356" s="5">
        <v>0</v>
      </c>
      <c r="L356" s="5">
        <v>1</v>
      </c>
      <c r="M356" s="5">
        <v>1</v>
      </c>
    </row>
    <row r="357" spans="1:13">
      <c r="A357" s="5">
        <v>356</v>
      </c>
      <c r="B357" s="6">
        <v>40559</v>
      </c>
      <c r="C357" s="5">
        <v>7</v>
      </c>
      <c r="D357" s="5" t="b">
        <v>0</v>
      </c>
      <c r="E357" s="5">
        <v>0</v>
      </c>
      <c r="F357" s="5">
        <v>2</v>
      </c>
      <c r="G357" s="5">
        <v>0.24</v>
      </c>
      <c r="H357" s="5">
        <v>0.21210000000000001</v>
      </c>
      <c r="I357" s="5">
        <v>0.56000000000000005</v>
      </c>
      <c r="J357" s="5">
        <v>0.29849999999999999</v>
      </c>
      <c r="K357" s="5">
        <v>0</v>
      </c>
      <c r="L357" s="5">
        <v>3</v>
      </c>
      <c r="M357" s="5">
        <v>3</v>
      </c>
    </row>
    <row r="358" spans="1:13">
      <c r="A358" s="5">
        <v>357</v>
      </c>
      <c r="B358" s="6">
        <v>40559</v>
      </c>
      <c r="C358" s="5">
        <v>8</v>
      </c>
      <c r="D358" s="5" t="b">
        <v>0</v>
      </c>
      <c r="E358" s="5">
        <v>0</v>
      </c>
      <c r="F358" s="5">
        <v>1</v>
      </c>
      <c r="G358" s="5">
        <v>0.22</v>
      </c>
      <c r="H358" s="5">
        <v>0.21210000000000001</v>
      </c>
      <c r="I358" s="5">
        <v>0.55000000000000004</v>
      </c>
      <c r="J358" s="5">
        <v>0.28360000000000002</v>
      </c>
      <c r="K358" s="5">
        <v>0</v>
      </c>
      <c r="L358" s="5">
        <v>18</v>
      </c>
      <c r="M358" s="5">
        <v>18</v>
      </c>
    </row>
    <row r="359" spans="1:13">
      <c r="A359" s="5">
        <v>358</v>
      </c>
      <c r="B359" s="6">
        <v>40559</v>
      </c>
      <c r="C359" s="5">
        <v>9</v>
      </c>
      <c r="D359" s="5" t="b">
        <v>0</v>
      </c>
      <c r="E359" s="5">
        <v>0</v>
      </c>
      <c r="F359" s="5">
        <v>1</v>
      </c>
      <c r="G359" s="5">
        <v>0.22</v>
      </c>
      <c r="H359" s="5">
        <v>0.21210000000000001</v>
      </c>
      <c r="I359" s="5">
        <v>0.51</v>
      </c>
      <c r="J359" s="5">
        <v>0.25369999999999998</v>
      </c>
      <c r="K359" s="5">
        <v>3</v>
      </c>
      <c r="L359" s="5">
        <v>29</v>
      </c>
      <c r="M359" s="5">
        <v>32</v>
      </c>
    </row>
    <row r="360" spans="1:13">
      <c r="A360" s="5">
        <v>359</v>
      </c>
      <c r="B360" s="6">
        <v>40559</v>
      </c>
      <c r="C360" s="5">
        <v>10</v>
      </c>
      <c r="D360" s="5" t="b">
        <v>0</v>
      </c>
      <c r="E360" s="5">
        <v>0</v>
      </c>
      <c r="F360" s="5">
        <v>1</v>
      </c>
      <c r="G360" s="5">
        <v>0.22</v>
      </c>
      <c r="H360" s="5">
        <v>0.21210000000000001</v>
      </c>
      <c r="I360" s="5">
        <v>0.51</v>
      </c>
      <c r="J360" s="5">
        <v>0.28360000000000002</v>
      </c>
      <c r="K360" s="5">
        <v>8</v>
      </c>
      <c r="L360" s="5">
        <v>71</v>
      </c>
      <c r="M360" s="5">
        <v>79</v>
      </c>
    </row>
    <row r="361" spans="1:13">
      <c r="A361" s="5">
        <v>360</v>
      </c>
      <c r="B361" s="6">
        <v>40559</v>
      </c>
      <c r="C361" s="5">
        <v>11</v>
      </c>
      <c r="D361" s="5" t="b">
        <v>0</v>
      </c>
      <c r="E361" s="5">
        <v>0</v>
      </c>
      <c r="F361" s="5">
        <v>1</v>
      </c>
      <c r="G361" s="5">
        <v>0.24</v>
      </c>
      <c r="H361" s="5">
        <v>0.2273</v>
      </c>
      <c r="I361" s="5">
        <v>0.44</v>
      </c>
      <c r="J361" s="5">
        <v>0.25369999999999998</v>
      </c>
      <c r="K361" s="5">
        <v>23</v>
      </c>
      <c r="L361" s="5">
        <v>70</v>
      </c>
      <c r="M361" s="5">
        <v>93</v>
      </c>
    </row>
    <row r="362" spans="1:13">
      <c r="A362" s="5">
        <v>361</v>
      </c>
      <c r="B362" s="6">
        <v>40559</v>
      </c>
      <c r="C362" s="5">
        <v>12</v>
      </c>
      <c r="D362" s="5" t="b">
        <v>0</v>
      </c>
      <c r="E362" s="5">
        <v>0</v>
      </c>
      <c r="F362" s="5">
        <v>1</v>
      </c>
      <c r="G362" s="5">
        <v>0.24</v>
      </c>
      <c r="H362" s="5">
        <v>0.21210000000000001</v>
      </c>
      <c r="I362" s="5">
        <v>0.41</v>
      </c>
      <c r="J362" s="5">
        <v>0.28360000000000002</v>
      </c>
      <c r="K362" s="5">
        <v>29</v>
      </c>
      <c r="L362" s="5">
        <v>75</v>
      </c>
      <c r="M362" s="5">
        <v>104</v>
      </c>
    </row>
    <row r="363" spans="1:13">
      <c r="A363" s="5">
        <v>362</v>
      </c>
      <c r="B363" s="6">
        <v>40559</v>
      </c>
      <c r="C363" s="5">
        <v>13</v>
      </c>
      <c r="D363" s="5" t="b">
        <v>0</v>
      </c>
      <c r="E363" s="5">
        <v>0</v>
      </c>
      <c r="F363" s="5">
        <v>1</v>
      </c>
      <c r="G363" s="5">
        <v>0.26</v>
      </c>
      <c r="H363" s="5">
        <v>0.2273</v>
      </c>
      <c r="I363" s="5">
        <v>0.35</v>
      </c>
      <c r="J363" s="5">
        <v>0.29849999999999999</v>
      </c>
      <c r="K363" s="5">
        <v>23</v>
      </c>
      <c r="L363" s="5">
        <v>95</v>
      </c>
      <c r="M363" s="5">
        <v>118</v>
      </c>
    </row>
    <row r="364" spans="1:13">
      <c r="A364" s="5">
        <v>363</v>
      </c>
      <c r="B364" s="6">
        <v>40559</v>
      </c>
      <c r="C364" s="5">
        <v>14</v>
      </c>
      <c r="D364" s="5" t="b">
        <v>0</v>
      </c>
      <c r="E364" s="5">
        <v>0</v>
      </c>
      <c r="F364" s="5">
        <v>1</v>
      </c>
      <c r="G364" s="5">
        <v>0.28000000000000003</v>
      </c>
      <c r="H364" s="5">
        <v>0.2727</v>
      </c>
      <c r="I364" s="5">
        <v>0.36</v>
      </c>
      <c r="J364" s="5">
        <v>0.25369999999999998</v>
      </c>
      <c r="K364" s="5">
        <v>22</v>
      </c>
      <c r="L364" s="5">
        <v>69</v>
      </c>
      <c r="M364" s="5">
        <v>91</v>
      </c>
    </row>
    <row r="365" spans="1:13">
      <c r="A365" s="5">
        <v>364</v>
      </c>
      <c r="B365" s="6">
        <v>40559</v>
      </c>
      <c r="C365" s="5">
        <v>15</v>
      </c>
      <c r="D365" s="5" t="b">
        <v>0</v>
      </c>
      <c r="E365" s="5">
        <v>0</v>
      </c>
      <c r="F365" s="5">
        <v>1</v>
      </c>
      <c r="G365" s="5">
        <v>0.26</v>
      </c>
      <c r="H365" s="5">
        <v>0.2424</v>
      </c>
      <c r="I365" s="5">
        <v>0.38</v>
      </c>
      <c r="J365" s="5">
        <v>0.25369999999999998</v>
      </c>
      <c r="K365" s="5">
        <v>35</v>
      </c>
      <c r="L365" s="5">
        <v>78</v>
      </c>
      <c r="M365" s="5">
        <v>113</v>
      </c>
    </row>
    <row r="366" spans="1:13">
      <c r="A366" s="5">
        <v>365</v>
      </c>
      <c r="B366" s="6">
        <v>40559</v>
      </c>
      <c r="C366" s="5">
        <v>16</v>
      </c>
      <c r="D366" s="5" t="b">
        <v>0</v>
      </c>
      <c r="E366" s="5">
        <v>0</v>
      </c>
      <c r="F366" s="5">
        <v>1</v>
      </c>
      <c r="G366" s="5">
        <v>0.24</v>
      </c>
      <c r="H366" s="5">
        <v>0.2273</v>
      </c>
      <c r="I366" s="5">
        <v>0.38</v>
      </c>
      <c r="J366" s="5">
        <v>0.22389999999999999</v>
      </c>
      <c r="K366" s="5">
        <v>22</v>
      </c>
      <c r="L366" s="5">
        <v>77</v>
      </c>
      <c r="M366" s="5">
        <v>99</v>
      </c>
    </row>
    <row r="367" spans="1:13">
      <c r="A367" s="5">
        <v>366</v>
      </c>
      <c r="B367" s="6">
        <v>40559</v>
      </c>
      <c r="C367" s="5">
        <v>17</v>
      </c>
      <c r="D367" s="5" t="b">
        <v>0</v>
      </c>
      <c r="E367" s="5">
        <v>0</v>
      </c>
      <c r="F367" s="5">
        <v>1</v>
      </c>
      <c r="G367" s="5">
        <v>0.22</v>
      </c>
      <c r="H367" s="5">
        <v>0.21210000000000001</v>
      </c>
      <c r="I367" s="5">
        <v>0.37</v>
      </c>
      <c r="J367" s="5">
        <v>0.25369999999999998</v>
      </c>
      <c r="K367" s="5">
        <v>23</v>
      </c>
      <c r="L367" s="5">
        <v>82</v>
      </c>
      <c r="M367" s="5">
        <v>105</v>
      </c>
    </row>
    <row r="368" spans="1:13">
      <c r="A368" s="5">
        <v>367</v>
      </c>
      <c r="B368" s="6">
        <v>40559</v>
      </c>
      <c r="C368" s="5">
        <v>18</v>
      </c>
      <c r="D368" s="5" t="b">
        <v>0</v>
      </c>
      <c r="E368" s="5">
        <v>0</v>
      </c>
      <c r="F368" s="5">
        <v>1</v>
      </c>
      <c r="G368" s="5">
        <v>0.2</v>
      </c>
      <c r="H368" s="5">
        <v>0.21210000000000001</v>
      </c>
      <c r="I368" s="5">
        <v>0.4</v>
      </c>
      <c r="J368" s="5">
        <v>0.16420000000000001</v>
      </c>
      <c r="K368" s="5">
        <v>11</v>
      </c>
      <c r="L368" s="5">
        <v>56</v>
      </c>
      <c r="M368" s="5">
        <v>67</v>
      </c>
    </row>
    <row r="369" spans="1:13">
      <c r="A369" s="5">
        <v>368</v>
      </c>
      <c r="B369" s="6">
        <v>40559</v>
      </c>
      <c r="C369" s="5">
        <v>19</v>
      </c>
      <c r="D369" s="5" t="b">
        <v>0</v>
      </c>
      <c r="E369" s="5">
        <v>0</v>
      </c>
      <c r="F369" s="5">
        <v>1</v>
      </c>
      <c r="G369" s="5">
        <v>0.18</v>
      </c>
      <c r="H369" s="5">
        <v>0.19700000000000001</v>
      </c>
      <c r="I369" s="5">
        <v>0.47</v>
      </c>
      <c r="J369" s="5">
        <v>0.1343</v>
      </c>
      <c r="K369" s="5">
        <v>14</v>
      </c>
      <c r="L369" s="5">
        <v>47</v>
      </c>
      <c r="M369" s="5">
        <v>61</v>
      </c>
    </row>
    <row r="370" spans="1:13">
      <c r="A370" s="5">
        <v>369</v>
      </c>
      <c r="B370" s="6">
        <v>40559</v>
      </c>
      <c r="C370" s="5">
        <v>20</v>
      </c>
      <c r="D370" s="5" t="b">
        <v>0</v>
      </c>
      <c r="E370" s="5">
        <v>0</v>
      </c>
      <c r="F370" s="5">
        <v>1</v>
      </c>
      <c r="G370" s="5">
        <v>0.18</v>
      </c>
      <c r="H370" s="5">
        <v>0.19700000000000001</v>
      </c>
      <c r="I370" s="5">
        <v>0.47</v>
      </c>
      <c r="J370" s="5">
        <v>0.16420000000000001</v>
      </c>
      <c r="K370" s="5">
        <v>7</v>
      </c>
      <c r="L370" s="5">
        <v>50</v>
      </c>
      <c r="M370" s="5">
        <v>57</v>
      </c>
    </row>
    <row r="371" spans="1:13">
      <c r="A371" s="5">
        <v>370</v>
      </c>
      <c r="B371" s="6">
        <v>40559</v>
      </c>
      <c r="C371" s="5">
        <v>21</v>
      </c>
      <c r="D371" s="5" t="b">
        <v>0</v>
      </c>
      <c r="E371" s="5">
        <v>0</v>
      </c>
      <c r="F371" s="5">
        <v>1</v>
      </c>
      <c r="G371" s="5">
        <v>0.18</v>
      </c>
      <c r="H371" s="5">
        <v>0.19700000000000001</v>
      </c>
      <c r="I371" s="5">
        <v>0.51</v>
      </c>
      <c r="J371" s="5">
        <v>0.16420000000000001</v>
      </c>
      <c r="K371" s="5">
        <v>6</v>
      </c>
      <c r="L371" s="5">
        <v>22</v>
      </c>
      <c r="M371" s="5">
        <v>28</v>
      </c>
    </row>
    <row r="372" spans="1:13">
      <c r="A372" s="5">
        <v>371</v>
      </c>
      <c r="B372" s="6">
        <v>40559</v>
      </c>
      <c r="C372" s="5">
        <v>22</v>
      </c>
      <c r="D372" s="5" t="b">
        <v>0</v>
      </c>
      <c r="E372" s="5">
        <v>0</v>
      </c>
      <c r="F372" s="5">
        <v>2</v>
      </c>
      <c r="G372" s="5">
        <v>0.2</v>
      </c>
      <c r="H372" s="5">
        <v>0.21210000000000001</v>
      </c>
      <c r="I372" s="5">
        <v>0.49</v>
      </c>
      <c r="J372" s="5">
        <v>0.1343</v>
      </c>
      <c r="K372" s="5">
        <v>2</v>
      </c>
      <c r="L372" s="5">
        <v>19</v>
      </c>
      <c r="M372" s="5">
        <v>21</v>
      </c>
    </row>
    <row r="373" spans="1:13">
      <c r="A373" s="5">
        <v>372</v>
      </c>
      <c r="B373" s="6">
        <v>40559</v>
      </c>
      <c r="C373" s="5">
        <v>23</v>
      </c>
      <c r="D373" s="5" t="b">
        <v>0</v>
      </c>
      <c r="E373" s="5">
        <v>0</v>
      </c>
      <c r="F373" s="5">
        <v>2</v>
      </c>
      <c r="G373" s="5">
        <v>0.2</v>
      </c>
      <c r="H373" s="5">
        <v>0.2273</v>
      </c>
      <c r="I373" s="5">
        <v>0.4</v>
      </c>
      <c r="J373" s="5">
        <v>0.1045</v>
      </c>
      <c r="K373" s="5">
        <v>0</v>
      </c>
      <c r="L373" s="5">
        <v>18</v>
      </c>
      <c r="M373" s="5">
        <v>18</v>
      </c>
    </row>
    <row r="374" spans="1:13">
      <c r="A374" s="5">
        <v>373</v>
      </c>
      <c r="B374" s="6">
        <v>40560</v>
      </c>
      <c r="C374" s="5">
        <v>0</v>
      </c>
      <c r="D374" s="5" t="b">
        <v>1</v>
      </c>
      <c r="E374" s="5">
        <v>1</v>
      </c>
      <c r="F374" s="5">
        <v>2</v>
      </c>
      <c r="G374" s="5">
        <v>0.2</v>
      </c>
      <c r="H374" s="5">
        <v>0.19700000000000001</v>
      </c>
      <c r="I374" s="5">
        <v>0.47</v>
      </c>
      <c r="J374" s="5">
        <v>0.22389999999999999</v>
      </c>
      <c r="K374" s="5">
        <v>1</v>
      </c>
      <c r="L374" s="5">
        <v>16</v>
      </c>
      <c r="M374" s="5">
        <v>17</v>
      </c>
    </row>
    <row r="375" spans="1:13">
      <c r="A375" s="5">
        <v>374</v>
      </c>
      <c r="B375" s="6">
        <v>40560</v>
      </c>
      <c r="C375" s="5">
        <v>1</v>
      </c>
      <c r="D375" s="5" t="b">
        <v>1</v>
      </c>
      <c r="E375" s="5">
        <v>1</v>
      </c>
      <c r="F375" s="5">
        <v>2</v>
      </c>
      <c r="G375" s="5">
        <v>0.2</v>
      </c>
      <c r="H375" s="5">
        <v>0.19700000000000001</v>
      </c>
      <c r="I375" s="5">
        <v>0.44</v>
      </c>
      <c r="J375" s="5">
        <v>0.19400000000000001</v>
      </c>
      <c r="K375" s="5">
        <v>1</v>
      </c>
      <c r="L375" s="5">
        <v>15</v>
      </c>
      <c r="M375" s="5">
        <v>16</v>
      </c>
    </row>
    <row r="376" spans="1:13">
      <c r="A376" s="5">
        <v>375</v>
      </c>
      <c r="B376" s="6">
        <v>40560</v>
      </c>
      <c r="C376" s="5">
        <v>2</v>
      </c>
      <c r="D376" s="5" t="b">
        <v>1</v>
      </c>
      <c r="E376" s="5">
        <v>1</v>
      </c>
      <c r="F376" s="5">
        <v>2</v>
      </c>
      <c r="G376" s="5">
        <v>0.18</v>
      </c>
      <c r="H376" s="5">
        <v>0.16669999999999999</v>
      </c>
      <c r="I376" s="5">
        <v>0.43</v>
      </c>
      <c r="J376" s="5">
        <v>0.25369999999999998</v>
      </c>
      <c r="K376" s="5">
        <v>0</v>
      </c>
      <c r="L376" s="5">
        <v>8</v>
      </c>
      <c r="M376" s="5">
        <v>8</v>
      </c>
    </row>
    <row r="377" spans="1:13">
      <c r="A377" s="5">
        <v>376</v>
      </c>
      <c r="B377" s="6">
        <v>40560</v>
      </c>
      <c r="C377" s="5">
        <v>3</v>
      </c>
      <c r="D377" s="5" t="b">
        <v>1</v>
      </c>
      <c r="E377" s="5">
        <v>1</v>
      </c>
      <c r="F377" s="5">
        <v>2</v>
      </c>
      <c r="G377" s="5">
        <v>0.18</v>
      </c>
      <c r="H377" s="5">
        <v>0.18179999999999999</v>
      </c>
      <c r="I377" s="5">
        <v>0.43</v>
      </c>
      <c r="J377" s="5">
        <v>0.19400000000000001</v>
      </c>
      <c r="K377" s="5">
        <v>0</v>
      </c>
      <c r="L377" s="5">
        <v>2</v>
      </c>
      <c r="M377" s="5">
        <v>2</v>
      </c>
    </row>
    <row r="378" spans="1:13">
      <c r="A378" s="5">
        <v>377</v>
      </c>
      <c r="B378" s="6">
        <v>40560</v>
      </c>
      <c r="C378" s="5">
        <v>4</v>
      </c>
      <c r="D378" s="5" t="b">
        <v>1</v>
      </c>
      <c r="E378" s="5">
        <v>1</v>
      </c>
      <c r="F378" s="5">
        <v>2</v>
      </c>
      <c r="G378" s="5">
        <v>0.18</v>
      </c>
      <c r="H378" s="5">
        <v>0.19700000000000001</v>
      </c>
      <c r="I378" s="5">
        <v>0.43</v>
      </c>
      <c r="J378" s="5">
        <v>0.1343</v>
      </c>
      <c r="K378" s="5">
        <v>1</v>
      </c>
      <c r="L378" s="5">
        <v>2</v>
      </c>
      <c r="M378" s="5">
        <v>3</v>
      </c>
    </row>
    <row r="379" spans="1:13">
      <c r="A379" s="5">
        <v>378</v>
      </c>
      <c r="B379" s="6">
        <v>40560</v>
      </c>
      <c r="C379" s="5">
        <v>5</v>
      </c>
      <c r="D379" s="5" t="b">
        <v>1</v>
      </c>
      <c r="E379" s="5">
        <v>1</v>
      </c>
      <c r="F379" s="5">
        <v>2</v>
      </c>
      <c r="G379" s="5">
        <v>0.18</v>
      </c>
      <c r="H379" s="5">
        <v>0.19700000000000001</v>
      </c>
      <c r="I379" s="5">
        <v>0.43</v>
      </c>
      <c r="J379" s="5">
        <v>0.16420000000000001</v>
      </c>
      <c r="K379" s="5">
        <v>0</v>
      </c>
      <c r="L379" s="5">
        <v>1</v>
      </c>
      <c r="M379" s="5">
        <v>1</v>
      </c>
    </row>
    <row r="380" spans="1:13">
      <c r="A380" s="5">
        <v>379</v>
      </c>
      <c r="B380" s="6">
        <v>40560</v>
      </c>
      <c r="C380" s="5">
        <v>6</v>
      </c>
      <c r="D380" s="5" t="b">
        <v>1</v>
      </c>
      <c r="E380" s="5">
        <v>1</v>
      </c>
      <c r="F380" s="5">
        <v>2</v>
      </c>
      <c r="G380" s="5">
        <v>0.18</v>
      </c>
      <c r="H380" s="5">
        <v>0.18179999999999999</v>
      </c>
      <c r="I380" s="5">
        <v>0.43</v>
      </c>
      <c r="J380" s="5">
        <v>0.19400000000000001</v>
      </c>
      <c r="K380" s="5">
        <v>0</v>
      </c>
      <c r="L380" s="5">
        <v>5</v>
      </c>
      <c r="M380" s="5">
        <v>5</v>
      </c>
    </row>
    <row r="381" spans="1:13">
      <c r="A381" s="5">
        <v>380</v>
      </c>
      <c r="B381" s="6">
        <v>40560</v>
      </c>
      <c r="C381" s="5">
        <v>7</v>
      </c>
      <c r="D381" s="5" t="b">
        <v>1</v>
      </c>
      <c r="E381" s="5">
        <v>1</v>
      </c>
      <c r="F381" s="5">
        <v>2</v>
      </c>
      <c r="G381" s="5">
        <v>0.16</v>
      </c>
      <c r="H381" s="5">
        <v>0.18179999999999999</v>
      </c>
      <c r="I381" s="5">
        <v>0.5</v>
      </c>
      <c r="J381" s="5">
        <v>0.1343</v>
      </c>
      <c r="K381" s="5">
        <v>4</v>
      </c>
      <c r="L381" s="5">
        <v>9</v>
      </c>
      <c r="M381" s="5">
        <v>13</v>
      </c>
    </row>
    <row r="382" spans="1:13">
      <c r="A382" s="5">
        <v>381</v>
      </c>
      <c r="B382" s="6">
        <v>40560</v>
      </c>
      <c r="C382" s="5">
        <v>8</v>
      </c>
      <c r="D382" s="5" t="b">
        <v>1</v>
      </c>
      <c r="E382" s="5">
        <v>1</v>
      </c>
      <c r="F382" s="5">
        <v>2</v>
      </c>
      <c r="G382" s="5">
        <v>0.16</v>
      </c>
      <c r="H382" s="5">
        <v>0.1515</v>
      </c>
      <c r="I382" s="5">
        <v>0.47</v>
      </c>
      <c r="J382" s="5">
        <v>0.22389999999999999</v>
      </c>
      <c r="K382" s="5">
        <v>3</v>
      </c>
      <c r="L382" s="5">
        <v>30</v>
      </c>
      <c r="M382" s="5">
        <v>33</v>
      </c>
    </row>
    <row r="383" spans="1:13">
      <c r="A383" s="5">
        <v>382</v>
      </c>
      <c r="B383" s="6">
        <v>40560</v>
      </c>
      <c r="C383" s="5">
        <v>9</v>
      </c>
      <c r="D383" s="5" t="b">
        <v>1</v>
      </c>
      <c r="E383" s="5">
        <v>1</v>
      </c>
      <c r="F383" s="5">
        <v>2</v>
      </c>
      <c r="G383" s="5">
        <v>0.16</v>
      </c>
      <c r="H383" s="5">
        <v>0.1515</v>
      </c>
      <c r="I383" s="5">
        <v>0.47</v>
      </c>
      <c r="J383" s="5">
        <v>0.22389999999999999</v>
      </c>
      <c r="K383" s="5">
        <v>8</v>
      </c>
      <c r="L383" s="5">
        <v>39</v>
      </c>
      <c r="M383" s="5">
        <v>47</v>
      </c>
    </row>
    <row r="384" spans="1:13">
      <c r="A384" s="5">
        <v>383</v>
      </c>
      <c r="B384" s="6">
        <v>40560</v>
      </c>
      <c r="C384" s="5">
        <v>10</v>
      </c>
      <c r="D384" s="5" t="b">
        <v>1</v>
      </c>
      <c r="E384" s="5">
        <v>1</v>
      </c>
      <c r="F384" s="5">
        <v>2</v>
      </c>
      <c r="G384" s="5">
        <v>0.16</v>
      </c>
      <c r="H384" s="5">
        <v>0.1515</v>
      </c>
      <c r="I384" s="5">
        <v>0.5</v>
      </c>
      <c r="J384" s="5">
        <v>0.25369999999999998</v>
      </c>
      <c r="K384" s="5">
        <v>7</v>
      </c>
      <c r="L384" s="5">
        <v>50</v>
      </c>
      <c r="M384" s="5">
        <v>57</v>
      </c>
    </row>
    <row r="385" spans="1:13">
      <c r="A385" s="5">
        <v>384</v>
      </c>
      <c r="B385" s="6">
        <v>40560</v>
      </c>
      <c r="C385" s="5">
        <v>11</v>
      </c>
      <c r="D385" s="5" t="b">
        <v>1</v>
      </c>
      <c r="E385" s="5">
        <v>1</v>
      </c>
      <c r="F385" s="5">
        <v>2</v>
      </c>
      <c r="G385" s="5">
        <v>0.16</v>
      </c>
      <c r="H385" s="5">
        <v>0.1515</v>
      </c>
      <c r="I385" s="5">
        <v>0.55000000000000004</v>
      </c>
      <c r="J385" s="5">
        <v>0.19400000000000001</v>
      </c>
      <c r="K385" s="5">
        <v>9</v>
      </c>
      <c r="L385" s="5">
        <v>55</v>
      </c>
      <c r="M385" s="5">
        <v>64</v>
      </c>
    </row>
    <row r="386" spans="1:13">
      <c r="A386" s="5">
        <v>385</v>
      </c>
      <c r="B386" s="6">
        <v>40560</v>
      </c>
      <c r="C386" s="5">
        <v>12</v>
      </c>
      <c r="D386" s="5" t="b">
        <v>1</v>
      </c>
      <c r="E386" s="5">
        <v>1</v>
      </c>
      <c r="F386" s="5">
        <v>2</v>
      </c>
      <c r="G386" s="5">
        <v>0.18</v>
      </c>
      <c r="H386" s="5">
        <v>0.19700000000000001</v>
      </c>
      <c r="I386" s="5">
        <v>0.47</v>
      </c>
      <c r="J386" s="5">
        <v>0.1343</v>
      </c>
      <c r="K386" s="5">
        <v>10</v>
      </c>
      <c r="L386" s="5">
        <v>70</v>
      </c>
      <c r="M386" s="5">
        <v>80</v>
      </c>
    </row>
    <row r="387" spans="1:13">
      <c r="A387" s="5">
        <v>386</v>
      </c>
      <c r="B387" s="6">
        <v>40560</v>
      </c>
      <c r="C387" s="5">
        <v>13</v>
      </c>
      <c r="D387" s="5" t="b">
        <v>1</v>
      </c>
      <c r="E387" s="5">
        <v>1</v>
      </c>
      <c r="F387" s="5">
        <v>2</v>
      </c>
      <c r="G387" s="5">
        <v>0.18</v>
      </c>
      <c r="H387" s="5">
        <v>0.19700000000000001</v>
      </c>
      <c r="I387" s="5">
        <v>0.47</v>
      </c>
      <c r="J387" s="5">
        <v>0.1343</v>
      </c>
      <c r="K387" s="5">
        <v>13</v>
      </c>
      <c r="L387" s="5">
        <v>80</v>
      </c>
      <c r="M387" s="5">
        <v>93</v>
      </c>
    </row>
    <row r="388" spans="1:13">
      <c r="A388" s="5">
        <v>387</v>
      </c>
      <c r="B388" s="6">
        <v>40560</v>
      </c>
      <c r="C388" s="5">
        <v>14</v>
      </c>
      <c r="D388" s="5" t="b">
        <v>1</v>
      </c>
      <c r="E388" s="5">
        <v>1</v>
      </c>
      <c r="F388" s="5">
        <v>2</v>
      </c>
      <c r="G388" s="5">
        <v>0.18</v>
      </c>
      <c r="H388" s="5">
        <v>0.21210000000000001</v>
      </c>
      <c r="I388" s="5">
        <v>0.43</v>
      </c>
      <c r="J388" s="5">
        <v>0.1045</v>
      </c>
      <c r="K388" s="5">
        <v>12</v>
      </c>
      <c r="L388" s="5">
        <v>74</v>
      </c>
      <c r="M388" s="5">
        <v>86</v>
      </c>
    </row>
    <row r="389" spans="1:13">
      <c r="A389" s="5">
        <v>388</v>
      </c>
      <c r="B389" s="6">
        <v>40560</v>
      </c>
      <c r="C389" s="5">
        <v>15</v>
      </c>
      <c r="D389" s="5" t="b">
        <v>1</v>
      </c>
      <c r="E389" s="5">
        <v>1</v>
      </c>
      <c r="F389" s="5">
        <v>2</v>
      </c>
      <c r="G389" s="5">
        <v>0.2</v>
      </c>
      <c r="H389" s="5">
        <v>0.21210000000000001</v>
      </c>
      <c r="I389" s="5">
        <v>0.47</v>
      </c>
      <c r="J389" s="5">
        <v>0.16420000000000001</v>
      </c>
      <c r="K389" s="5">
        <v>21</v>
      </c>
      <c r="L389" s="5">
        <v>72</v>
      </c>
      <c r="M389" s="5">
        <v>93</v>
      </c>
    </row>
    <row r="390" spans="1:13">
      <c r="A390" s="5">
        <v>389</v>
      </c>
      <c r="B390" s="6">
        <v>40560</v>
      </c>
      <c r="C390" s="5">
        <v>16</v>
      </c>
      <c r="D390" s="5" t="b">
        <v>1</v>
      </c>
      <c r="E390" s="5">
        <v>1</v>
      </c>
      <c r="F390" s="5">
        <v>2</v>
      </c>
      <c r="G390" s="5">
        <v>0.2</v>
      </c>
      <c r="H390" s="5">
        <v>0.21210000000000001</v>
      </c>
      <c r="I390" s="5">
        <v>0.47</v>
      </c>
      <c r="J390" s="5">
        <v>0.16420000000000001</v>
      </c>
      <c r="K390" s="5">
        <v>6</v>
      </c>
      <c r="L390" s="5">
        <v>76</v>
      </c>
      <c r="M390" s="5">
        <v>82</v>
      </c>
    </row>
    <row r="391" spans="1:13">
      <c r="A391" s="5">
        <v>390</v>
      </c>
      <c r="B391" s="6">
        <v>40560</v>
      </c>
      <c r="C391" s="5">
        <v>17</v>
      </c>
      <c r="D391" s="5" t="b">
        <v>1</v>
      </c>
      <c r="E391" s="5">
        <v>1</v>
      </c>
      <c r="F391" s="5">
        <v>1</v>
      </c>
      <c r="G391" s="5">
        <v>0.2</v>
      </c>
      <c r="H391" s="5">
        <v>0.19700000000000001</v>
      </c>
      <c r="I391" s="5">
        <v>0.51</v>
      </c>
      <c r="J391" s="5">
        <v>0.19400000000000001</v>
      </c>
      <c r="K391" s="5">
        <v>4</v>
      </c>
      <c r="L391" s="5">
        <v>67</v>
      </c>
      <c r="M391" s="5">
        <v>71</v>
      </c>
    </row>
    <row r="392" spans="1:13">
      <c r="A392" s="5">
        <v>391</v>
      </c>
      <c r="B392" s="6">
        <v>40560</v>
      </c>
      <c r="C392" s="5">
        <v>18</v>
      </c>
      <c r="D392" s="5" t="b">
        <v>1</v>
      </c>
      <c r="E392" s="5">
        <v>1</v>
      </c>
      <c r="F392" s="5">
        <v>2</v>
      </c>
      <c r="G392" s="5">
        <v>0.18</v>
      </c>
      <c r="H392" s="5">
        <v>0.16669999999999999</v>
      </c>
      <c r="I392" s="5">
        <v>0.55000000000000004</v>
      </c>
      <c r="J392" s="5">
        <v>0.25369999999999998</v>
      </c>
      <c r="K392" s="5">
        <v>7</v>
      </c>
      <c r="L392" s="5">
        <v>85</v>
      </c>
      <c r="M392" s="5">
        <v>92</v>
      </c>
    </row>
    <row r="393" spans="1:13">
      <c r="A393" s="5">
        <v>392</v>
      </c>
      <c r="B393" s="6">
        <v>40560</v>
      </c>
      <c r="C393" s="5">
        <v>19</v>
      </c>
      <c r="D393" s="5" t="b">
        <v>1</v>
      </c>
      <c r="E393" s="5">
        <v>1</v>
      </c>
      <c r="F393" s="5">
        <v>3</v>
      </c>
      <c r="G393" s="5">
        <v>0.18</v>
      </c>
      <c r="H393" s="5">
        <v>0.18179999999999999</v>
      </c>
      <c r="I393" s="5">
        <v>0.59</v>
      </c>
      <c r="J393" s="5">
        <v>0.19400000000000001</v>
      </c>
      <c r="K393" s="5">
        <v>2</v>
      </c>
      <c r="L393" s="5">
        <v>58</v>
      </c>
      <c r="M393" s="5">
        <v>60</v>
      </c>
    </row>
    <row r="394" spans="1:13">
      <c r="A394" s="5">
        <v>393</v>
      </c>
      <c r="B394" s="6">
        <v>40560</v>
      </c>
      <c r="C394" s="5">
        <v>20</v>
      </c>
      <c r="D394" s="5" t="b">
        <v>1</v>
      </c>
      <c r="E394" s="5">
        <v>1</v>
      </c>
      <c r="F394" s="5">
        <v>3</v>
      </c>
      <c r="G394" s="5">
        <v>0.16</v>
      </c>
      <c r="H394" s="5">
        <v>0.1515</v>
      </c>
      <c r="I394" s="5">
        <v>0.8</v>
      </c>
      <c r="J394" s="5">
        <v>0.19400000000000001</v>
      </c>
      <c r="K394" s="5">
        <v>4</v>
      </c>
      <c r="L394" s="5">
        <v>29</v>
      </c>
      <c r="M394" s="5">
        <v>33</v>
      </c>
    </row>
    <row r="395" spans="1:13">
      <c r="A395" s="5">
        <v>394</v>
      </c>
      <c r="B395" s="6">
        <v>40560</v>
      </c>
      <c r="C395" s="5">
        <v>21</v>
      </c>
      <c r="D395" s="5" t="b">
        <v>1</v>
      </c>
      <c r="E395" s="5">
        <v>1</v>
      </c>
      <c r="F395" s="5">
        <v>3</v>
      </c>
      <c r="G395" s="5">
        <v>0.16</v>
      </c>
      <c r="H395" s="5">
        <v>0.1515</v>
      </c>
      <c r="I395" s="5">
        <v>0.8</v>
      </c>
      <c r="J395" s="5">
        <v>0.19400000000000001</v>
      </c>
      <c r="K395" s="5">
        <v>3</v>
      </c>
      <c r="L395" s="5">
        <v>24</v>
      </c>
      <c r="M395" s="5">
        <v>27</v>
      </c>
    </row>
    <row r="396" spans="1:13">
      <c r="A396" s="5">
        <v>395</v>
      </c>
      <c r="B396" s="6">
        <v>40560</v>
      </c>
      <c r="C396" s="5">
        <v>22</v>
      </c>
      <c r="D396" s="5" t="b">
        <v>1</v>
      </c>
      <c r="E396" s="5">
        <v>1</v>
      </c>
      <c r="F396" s="5">
        <v>3</v>
      </c>
      <c r="G396" s="5">
        <v>0.14000000000000001</v>
      </c>
      <c r="H396" s="5">
        <v>0.1212</v>
      </c>
      <c r="I396" s="5">
        <v>0.93</v>
      </c>
      <c r="J396" s="5">
        <v>0.25369999999999998</v>
      </c>
      <c r="K396" s="5">
        <v>0</v>
      </c>
      <c r="L396" s="5">
        <v>13</v>
      </c>
      <c r="M396" s="5">
        <v>13</v>
      </c>
    </row>
    <row r="397" spans="1:13">
      <c r="A397" s="5">
        <v>396</v>
      </c>
      <c r="B397" s="6">
        <v>40560</v>
      </c>
      <c r="C397" s="5">
        <v>23</v>
      </c>
      <c r="D397" s="5" t="b">
        <v>1</v>
      </c>
      <c r="E397" s="5">
        <v>1</v>
      </c>
      <c r="F397" s="5">
        <v>3</v>
      </c>
      <c r="G397" s="5">
        <v>0.16</v>
      </c>
      <c r="H397" s="5">
        <v>0.13639999999999999</v>
      </c>
      <c r="I397" s="5">
        <v>0.86</v>
      </c>
      <c r="J397" s="5">
        <v>0.28360000000000002</v>
      </c>
      <c r="K397" s="5">
        <v>1</v>
      </c>
      <c r="L397" s="5">
        <v>3</v>
      </c>
      <c r="M397" s="5">
        <v>4</v>
      </c>
    </row>
    <row r="398" spans="1:13">
      <c r="A398" s="5">
        <v>397</v>
      </c>
      <c r="B398" s="6">
        <v>40561</v>
      </c>
      <c r="C398" s="5">
        <v>12</v>
      </c>
      <c r="D398" s="5" t="b">
        <v>0</v>
      </c>
      <c r="E398" s="5">
        <v>2</v>
      </c>
      <c r="F398" s="5">
        <v>2</v>
      </c>
      <c r="G398" s="5">
        <v>0.2</v>
      </c>
      <c r="H398" s="5">
        <v>0.18179999999999999</v>
      </c>
      <c r="I398" s="5">
        <v>0.86</v>
      </c>
      <c r="J398" s="5">
        <v>0.32840000000000003</v>
      </c>
      <c r="K398" s="5">
        <v>0</v>
      </c>
      <c r="L398" s="5">
        <v>3</v>
      </c>
      <c r="M398" s="5">
        <v>3</v>
      </c>
    </row>
    <row r="399" spans="1:13">
      <c r="A399" s="5">
        <v>398</v>
      </c>
      <c r="B399" s="6">
        <v>40561</v>
      </c>
      <c r="C399" s="5">
        <v>13</v>
      </c>
      <c r="D399" s="5" t="b">
        <v>0</v>
      </c>
      <c r="E399" s="5">
        <v>2</v>
      </c>
      <c r="F399" s="5">
        <v>2</v>
      </c>
      <c r="G399" s="5">
        <v>0.2</v>
      </c>
      <c r="H399" s="5">
        <v>0.19700000000000001</v>
      </c>
      <c r="I399" s="5">
        <v>0.86</v>
      </c>
      <c r="J399" s="5">
        <v>0.22389999999999999</v>
      </c>
      <c r="K399" s="5">
        <v>0</v>
      </c>
      <c r="L399" s="5">
        <v>22</v>
      </c>
      <c r="M399" s="5">
        <v>22</v>
      </c>
    </row>
    <row r="400" spans="1:13">
      <c r="A400" s="5">
        <v>399</v>
      </c>
      <c r="B400" s="6">
        <v>40561</v>
      </c>
      <c r="C400" s="5">
        <v>14</v>
      </c>
      <c r="D400" s="5" t="b">
        <v>0</v>
      </c>
      <c r="E400" s="5">
        <v>2</v>
      </c>
      <c r="F400" s="5">
        <v>2</v>
      </c>
      <c r="G400" s="5">
        <v>0.22</v>
      </c>
      <c r="H400" s="5">
        <v>0.2273</v>
      </c>
      <c r="I400" s="5">
        <v>0.8</v>
      </c>
      <c r="J400" s="5">
        <v>0.16420000000000001</v>
      </c>
      <c r="K400" s="5">
        <v>2</v>
      </c>
      <c r="L400" s="5">
        <v>26</v>
      </c>
      <c r="M400" s="5">
        <v>28</v>
      </c>
    </row>
    <row r="401" spans="1:13">
      <c r="A401" s="5">
        <v>400</v>
      </c>
      <c r="B401" s="6">
        <v>40561</v>
      </c>
      <c r="C401" s="5">
        <v>15</v>
      </c>
      <c r="D401" s="5" t="b">
        <v>0</v>
      </c>
      <c r="E401" s="5">
        <v>2</v>
      </c>
      <c r="F401" s="5">
        <v>2</v>
      </c>
      <c r="G401" s="5">
        <v>0.22</v>
      </c>
      <c r="H401" s="5">
        <v>0.2273</v>
      </c>
      <c r="I401" s="5">
        <v>0.87</v>
      </c>
      <c r="J401" s="5">
        <v>0.16420000000000001</v>
      </c>
      <c r="K401" s="5">
        <v>3</v>
      </c>
      <c r="L401" s="5">
        <v>32</v>
      </c>
      <c r="M401" s="5">
        <v>35</v>
      </c>
    </row>
    <row r="402" spans="1:13">
      <c r="A402" s="5">
        <v>401</v>
      </c>
      <c r="B402" s="6">
        <v>40561</v>
      </c>
      <c r="C402" s="5">
        <v>16</v>
      </c>
      <c r="D402" s="5" t="b">
        <v>0</v>
      </c>
      <c r="E402" s="5">
        <v>2</v>
      </c>
      <c r="F402" s="5">
        <v>2</v>
      </c>
      <c r="G402" s="5">
        <v>0.22</v>
      </c>
      <c r="H402" s="5">
        <v>0.2273</v>
      </c>
      <c r="I402" s="5">
        <v>0.87</v>
      </c>
      <c r="J402" s="5">
        <v>0.19400000000000001</v>
      </c>
      <c r="K402" s="5">
        <v>0</v>
      </c>
      <c r="L402" s="5">
        <v>61</v>
      </c>
      <c r="M402" s="5">
        <v>61</v>
      </c>
    </row>
    <row r="403" spans="1:13">
      <c r="A403" s="5">
        <v>402</v>
      </c>
      <c r="B403" s="6">
        <v>40561</v>
      </c>
      <c r="C403" s="5">
        <v>17</v>
      </c>
      <c r="D403" s="5" t="b">
        <v>0</v>
      </c>
      <c r="E403" s="5">
        <v>2</v>
      </c>
      <c r="F403" s="5">
        <v>2</v>
      </c>
      <c r="G403" s="5">
        <v>0.22</v>
      </c>
      <c r="H403" s="5">
        <v>0.2273</v>
      </c>
      <c r="I403" s="5">
        <v>0.82</v>
      </c>
      <c r="J403" s="5">
        <v>0.19400000000000001</v>
      </c>
      <c r="K403" s="5">
        <v>1</v>
      </c>
      <c r="L403" s="5">
        <v>124</v>
      </c>
      <c r="M403" s="5">
        <v>125</v>
      </c>
    </row>
    <row r="404" spans="1:13">
      <c r="A404" s="5">
        <v>403</v>
      </c>
      <c r="B404" s="6">
        <v>40561</v>
      </c>
      <c r="C404" s="5">
        <v>18</v>
      </c>
      <c r="D404" s="5" t="b">
        <v>0</v>
      </c>
      <c r="E404" s="5">
        <v>2</v>
      </c>
      <c r="F404" s="5">
        <v>2</v>
      </c>
      <c r="G404" s="5">
        <v>0.22</v>
      </c>
      <c r="H404" s="5">
        <v>0.2273</v>
      </c>
      <c r="I404" s="5">
        <v>0.8</v>
      </c>
      <c r="J404" s="5">
        <v>0.16420000000000001</v>
      </c>
      <c r="K404" s="5">
        <v>1</v>
      </c>
      <c r="L404" s="5">
        <v>132</v>
      </c>
      <c r="M404" s="5">
        <v>133</v>
      </c>
    </row>
    <row r="405" spans="1:13">
      <c r="A405" s="5">
        <v>404</v>
      </c>
      <c r="B405" s="6">
        <v>40561</v>
      </c>
      <c r="C405" s="5">
        <v>19</v>
      </c>
      <c r="D405" s="5" t="b">
        <v>0</v>
      </c>
      <c r="E405" s="5">
        <v>2</v>
      </c>
      <c r="F405" s="5">
        <v>2</v>
      </c>
      <c r="G405" s="5">
        <v>0.22</v>
      </c>
      <c r="H405" s="5">
        <v>0.2273</v>
      </c>
      <c r="I405" s="5">
        <v>0.8</v>
      </c>
      <c r="J405" s="5">
        <v>0.1343</v>
      </c>
      <c r="K405" s="5">
        <v>1</v>
      </c>
      <c r="L405" s="5">
        <v>98</v>
      </c>
      <c r="M405" s="5">
        <v>99</v>
      </c>
    </row>
    <row r="406" spans="1:13">
      <c r="A406" s="5">
        <v>405</v>
      </c>
      <c r="B406" s="6">
        <v>40561</v>
      </c>
      <c r="C406" s="5">
        <v>20</v>
      </c>
      <c r="D406" s="5" t="b">
        <v>0</v>
      </c>
      <c r="E406" s="5">
        <v>2</v>
      </c>
      <c r="F406" s="5">
        <v>2</v>
      </c>
      <c r="G406" s="5">
        <v>0.22</v>
      </c>
      <c r="H406" s="5">
        <v>0.2727</v>
      </c>
      <c r="I406" s="5">
        <v>0.87</v>
      </c>
      <c r="J406" s="5">
        <v>0</v>
      </c>
      <c r="K406" s="5">
        <v>0</v>
      </c>
      <c r="L406" s="5">
        <v>83</v>
      </c>
      <c r="M406" s="5">
        <v>83</v>
      </c>
    </row>
    <row r="407" spans="1:13">
      <c r="A407" s="5">
        <v>406</v>
      </c>
      <c r="B407" s="6">
        <v>40561</v>
      </c>
      <c r="C407" s="5">
        <v>21</v>
      </c>
      <c r="D407" s="5" t="b">
        <v>0</v>
      </c>
      <c r="E407" s="5">
        <v>2</v>
      </c>
      <c r="F407" s="5">
        <v>2</v>
      </c>
      <c r="G407" s="5">
        <v>0.22</v>
      </c>
      <c r="H407" s="5">
        <v>0.2424</v>
      </c>
      <c r="I407" s="5">
        <v>0.93</v>
      </c>
      <c r="J407" s="5">
        <v>0.1045</v>
      </c>
      <c r="K407" s="5">
        <v>0</v>
      </c>
      <c r="L407" s="5">
        <v>41</v>
      </c>
      <c r="M407" s="5">
        <v>41</v>
      </c>
    </row>
    <row r="408" spans="1:13">
      <c r="A408" s="5">
        <v>407</v>
      </c>
      <c r="B408" s="6">
        <v>40561</v>
      </c>
      <c r="C408" s="5">
        <v>22</v>
      </c>
      <c r="D408" s="5" t="b">
        <v>0</v>
      </c>
      <c r="E408" s="5">
        <v>2</v>
      </c>
      <c r="F408" s="5">
        <v>2</v>
      </c>
      <c r="G408" s="5">
        <v>0.22</v>
      </c>
      <c r="H408" s="5">
        <v>0.2576</v>
      </c>
      <c r="I408" s="5">
        <v>0.93</v>
      </c>
      <c r="J408" s="5">
        <v>8.9599999999999999E-2</v>
      </c>
      <c r="K408" s="5">
        <v>0</v>
      </c>
      <c r="L408" s="5">
        <v>33</v>
      </c>
      <c r="M408" s="5">
        <v>33</v>
      </c>
    </row>
    <row r="409" spans="1:13">
      <c r="A409" s="5">
        <v>408</v>
      </c>
      <c r="B409" s="6">
        <v>40561</v>
      </c>
      <c r="C409" s="5">
        <v>23</v>
      </c>
      <c r="D409" s="5" t="b">
        <v>0</v>
      </c>
      <c r="E409" s="5">
        <v>2</v>
      </c>
      <c r="F409" s="5">
        <v>2</v>
      </c>
      <c r="G409" s="5">
        <v>0.22</v>
      </c>
      <c r="H409" s="5">
        <v>0.2727</v>
      </c>
      <c r="I409" s="5">
        <v>0.93</v>
      </c>
      <c r="J409" s="5">
        <v>0</v>
      </c>
      <c r="K409" s="5">
        <v>1</v>
      </c>
      <c r="L409" s="5">
        <v>19</v>
      </c>
      <c r="M409" s="5">
        <v>20</v>
      </c>
    </row>
    <row r="410" spans="1:13">
      <c r="A410" s="5">
        <v>409</v>
      </c>
      <c r="B410" s="6">
        <v>40562</v>
      </c>
      <c r="C410" s="5">
        <v>0</v>
      </c>
      <c r="D410" s="5" t="b">
        <v>0</v>
      </c>
      <c r="E410" s="5">
        <v>3</v>
      </c>
      <c r="F410" s="5">
        <v>2</v>
      </c>
      <c r="G410" s="5">
        <v>0.22</v>
      </c>
      <c r="H410" s="5">
        <v>0.2727</v>
      </c>
      <c r="I410" s="5">
        <v>0.93</v>
      </c>
      <c r="J410" s="5">
        <v>0</v>
      </c>
      <c r="K410" s="5">
        <v>0</v>
      </c>
      <c r="L410" s="5">
        <v>3</v>
      </c>
      <c r="M410" s="5">
        <v>3</v>
      </c>
    </row>
    <row r="411" spans="1:13">
      <c r="A411" s="5">
        <v>410</v>
      </c>
      <c r="B411" s="6">
        <v>40562</v>
      </c>
      <c r="C411" s="5">
        <v>1</v>
      </c>
      <c r="D411" s="5" t="b">
        <v>0</v>
      </c>
      <c r="E411" s="5">
        <v>3</v>
      </c>
      <c r="F411" s="5">
        <v>3</v>
      </c>
      <c r="G411" s="5">
        <v>0.22</v>
      </c>
      <c r="H411" s="5">
        <v>0.2273</v>
      </c>
      <c r="I411" s="5">
        <v>0.93</v>
      </c>
      <c r="J411" s="5">
        <v>0.1343</v>
      </c>
      <c r="K411" s="5">
        <v>1</v>
      </c>
      <c r="L411" s="5">
        <v>6</v>
      </c>
      <c r="M411" s="5">
        <v>7</v>
      </c>
    </row>
    <row r="412" spans="1:13">
      <c r="A412" s="5">
        <v>411</v>
      </c>
      <c r="B412" s="6">
        <v>40562</v>
      </c>
      <c r="C412" s="5">
        <v>2</v>
      </c>
      <c r="D412" s="5" t="b">
        <v>0</v>
      </c>
      <c r="E412" s="5">
        <v>3</v>
      </c>
      <c r="F412" s="5">
        <v>3</v>
      </c>
      <c r="G412" s="5">
        <v>0.22</v>
      </c>
      <c r="H412" s="5">
        <v>0.2273</v>
      </c>
      <c r="I412" s="5">
        <v>0.93</v>
      </c>
      <c r="J412" s="5">
        <v>0.1343</v>
      </c>
      <c r="K412" s="5">
        <v>0</v>
      </c>
      <c r="L412" s="5">
        <v>3</v>
      </c>
      <c r="M412" s="5">
        <v>3</v>
      </c>
    </row>
    <row r="413" spans="1:13">
      <c r="A413" s="5">
        <v>412</v>
      </c>
      <c r="B413" s="6">
        <v>40562</v>
      </c>
      <c r="C413" s="5">
        <v>4</v>
      </c>
      <c r="D413" s="5" t="b">
        <v>0</v>
      </c>
      <c r="E413" s="5">
        <v>3</v>
      </c>
      <c r="F413" s="5">
        <v>3</v>
      </c>
      <c r="G413" s="5">
        <v>0.22</v>
      </c>
      <c r="H413" s="5">
        <v>0.2273</v>
      </c>
      <c r="I413" s="5">
        <v>0.93</v>
      </c>
      <c r="J413" s="5">
        <v>0.1343</v>
      </c>
      <c r="K413" s="5">
        <v>1</v>
      </c>
      <c r="L413" s="5">
        <v>1</v>
      </c>
      <c r="M413" s="5">
        <v>2</v>
      </c>
    </row>
    <row r="414" spans="1:13">
      <c r="A414" s="5">
        <v>413</v>
      </c>
      <c r="B414" s="6">
        <v>40562</v>
      </c>
      <c r="C414" s="5">
        <v>5</v>
      </c>
      <c r="D414" s="5" t="b">
        <v>0</v>
      </c>
      <c r="E414" s="5">
        <v>3</v>
      </c>
      <c r="F414" s="5">
        <v>2</v>
      </c>
      <c r="G414" s="5">
        <v>0.22</v>
      </c>
      <c r="H414" s="5">
        <v>0.2576</v>
      </c>
      <c r="I414" s="5">
        <v>0.93</v>
      </c>
      <c r="J414" s="5">
        <v>8.9599999999999999E-2</v>
      </c>
      <c r="K414" s="5">
        <v>0</v>
      </c>
      <c r="L414" s="5">
        <v>7</v>
      </c>
      <c r="M414" s="5">
        <v>7</v>
      </c>
    </row>
    <row r="415" spans="1:13">
      <c r="A415" s="5">
        <v>414</v>
      </c>
      <c r="B415" s="6">
        <v>40562</v>
      </c>
      <c r="C415" s="5">
        <v>6</v>
      </c>
      <c r="D415" s="5" t="b">
        <v>0</v>
      </c>
      <c r="E415" s="5">
        <v>3</v>
      </c>
      <c r="F415" s="5">
        <v>2</v>
      </c>
      <c r="G415" s="5">
        <v>0.22</v>
      </c>
      <c r="H415" s="5">
        <v>0.2576</v>
      </c>
      <c r="I415" s="5">
        <v>0.93</v>
      </c>
      <c r="J415" s="5">
        <v>8.9599999999999999E-2</v>
      </c>
      <c r="K415" s="5">
        <v>0</v>
      </c>
      <c r="L415" s="5">
        <v>32</v>
      </c>
      <c r="M415" s="5">
        <v>32</v>
      </c>
    </row>
    <row r="416" spans="1:13">
      <c r="A416" s="5">
        <v>415</v>
      </c>
      <c r="B416" s="6">
        <v>40562</v>
      </c>
      <c r="C416" s="5">
        <v>7</v>
      </c>
      <c r="D416" s="5" t="b">
        <v>0</v>
      </c>
      <c r="E416" s="5">
        <v>3</v>
      </c>
      <c r="F416" s="5">
        <v>2</v>
      </c>
      <c r="G416" s="5">
        <v>0.24</v>
      </c>
      <c r="H416" s="5">
        <v>0.2576</v>
      </c>
      <c r="I416" s="5">
        <v>0.92</v>
      </c>
      <c r="J416" s="5">
        <v>0.1045</v>
      </c>
      <c r="K416" s="5">
        <v>1</v>
      </c>
      <c r="L416" s="5">
        <v>89</v>
      </c>
      <c r="M416" s="5">
        <v>90</v>
      </c>
    </row>
    <row r="417" spans="1:13">
      <c r="A417" s="5">
        <v>416</v>
      </c>
      <c r="B417" s="6">
        <v>40562</v>
      </c>
      <c r="C417" s="5">
        <v>8</v>
      </c>
      <c r="D417" s="5" t="b">
        <v>0</v>
      </c>
      <c r="E417" s="5">
        <v>3</v>
      </c>
      <c r="F417" s="5">
        <v>2</v>
      </c>
      <c r="G417" s="5">
        <v>0.24</v>
      </c>
      <c r="H417" s="5">
        <v>0.2576</v>
      </c>
      <c r="I417" s="5">
        <v>0.93</v>
      </c>
      <c r="J417" s="5">
        <v>0.1045</v>
      </c>
      <c r="K417" s="5">
        <v>1</v>
      </c>
      <c r="L417" s="5">
        <v>196</v>
      </c>
      <c r="M417" s="5">
        <v>197</v>
      </c>
    </row>
    <row r="418" spans="1:13">
      <c r="A418" s="5">
        <v>417</v>
      </c>
      <c r="B418" s="6">
        <v>40562</v>
      </c>
      <c r="C418" s="5">
        <v>9</v>
      </c>
      <c r="D418" s="5" t="b">
        <v>0</v>
      </c>
      <c r="E418" s="5">
        <v>3</v>
      </c>
      <c r="F418" s="5">
        <v>2</v>
      </c>
      <c r="G418" s="5">
        <v>0.24</v>
      </c>
      <c r="H418" s="5">
        <v>0.2576</v>
      </c>
      <c r="I418" s="5">
        <v>0.93</v>
      </c>
      <c r="J418" s="5">
        <v>0.1045</v>
      </c>
      <c r="K418" s="5">
        <v>2</v>
      </c>
      <c r="L418" s="5">
        <v>107</v>
      </c>
      <c r="M418" s="5">
        <v>109</v>
      </c>
    </row>
    <row r="419" spans="1:13">
      <c r="A419" s="5">
        <v>418</v>
      </c>
      <c r="B419" s="6">
        <v>40562</v>
      </c>
      <c r="C419" s="5">
        <v>10</v>
      </c>
      <c r="D419" s="5" t="b">
        <v>0</v>
      </c>
      <c r="E419" s="5">
        <v>3</v>
      </c>
      <c r="F419" s="5">
        <v>2</v>
      </c>
      <c r="G419" s="5">
        <v>0.26</v>
      </c>
      <c r="H419" s="5">
        <v>0.2727</v>
      </c>
      <c r="I419" s="5">
        <v>0.93</v>
      </c>
      <c r="J419" s="5">
        <v>0.1343</v>
      </c>
      <c r="K419" s="5">
        <v>1</v>
      </c>
      <c r="L419" s="5">
        <v>46</v>
      </c>
      <c r="M419" s="5">
        <v>47</v>
      </c>
    </row>
    <row r="420" spans="1:13">
      <c r="A420" s="5">
        <v>419</v>
      </c>
      <c r="B420" s="6">
        <v>40562</v>
      </c>
      <c r="C420" s="5">
        <v>11</v>
      </c>
      <c r="D420" s="5" t="b">
        <v>0</v>
      </c>
      <c r="E420" s="5">
        <v>3</v>
      </c>
      <c r="F420" s="5">
        <v>2</v>
      </c>
      <c r="G420" s="5">
        <v>0.28000000000000003</v>
      </c>
      <c r="H420" s="5">
        <v>0.30299999999999999</v>
      </c>
      <c r="I420" s="5">
        <v>0.87</v>
      </c>
      <c r="J420" s="5">
        <v>8.9599999999999999E-2</v>
      </c>
      <c r="K420" s="5">
        <v>5</v>
      </c>
      <c r="L420" s="5">
        <v>47</v>
      </c>
      <c r="M420" s="5">
        <v>52</v>
      </c>
    </row>
    <row r="421" spans="1:13">
      <c r="A421" s="5">
        <v>420</v>
      </c>
      <c r="B421" s="6">
        <v>40562</v>
      </c>
      <c r="C421" s="5">
        <v>12</v>
      </c>
      <c r="D421" s="5" t="b">
        <v>0</v>
      </c>
      <c r="E421" s="5">
        <v>3</v>
      </c>
      <c r="F421" s="5">
        <v>2</v>
      </c>
      <c r="G421" s="5">
        <v>0.3</v>
      </c>
      <c r="H421" s="5">
        <v>0.31819999999999998</v>
      </c>
      <c r="I421" s="5">
        <v>0.81</v>
      </c>
      <c r="J421" s="5">
        <v>8.9599999999999999E-2</v>
      </c>
      <c r="K421" s="5">
        <v>5</v>
      </c>
      <c r="L421" s="5">
        <v>65</v>
      </c>
      <c r="M421" s="5">
        <v>70</v>
      </c>
    </row>
    <row r="422" spans="1:13">
      <c r="A422" s="5">
        <v>421</v>
      </c>
      <c r="B422" s="6">
        <v>40562</v>
      </c>
      <c r="C422" s="5">
        <v>13</v>
      </c>
      <c r="D422" s="5" t="b">
        <v>0</v>
      </c>
      <c r="E422" s="5">
        <v>3</v>
      </c>
      <c r="F422" s="5">
        <v>1</v>
      </c>
      <c r="G422" s="5">
        <v>0.4</v>
      </c>
      <c r="H422" s="5">
        <v>0.40910000000000002</v>
      </c>
      <c r="I422" s="5">
        <v>0.62</v>
      </c>
      <c r="J422" s="5">
        <v>0.28360000000000002</v>
      </c>
      <c r="K422" s="5">
        <v>11</v>
      </c>
      <c r="L422" s="5">
        <v>67</v>
      </c>
      <c r="M422" s="5">
        <v>78</v>
      </c>
    </row>
    <row r="423" spans="1:13">
      <c r="A423" s="5">
        <v>422</v>
      </c>
      <c r="B423" s="6">
        <v>40562</v>
      </c>
      <c r="C423" s="5">
        <v>14</v>
      </c>
      <c r="D423" s="5" t="b">
        <v>0</v>
      </c>
      <c r="E423" s="5">
        <v>3</v>
      </c>
      <c r="F423" s="5">
        <v>1</v>
      </c>
      <c r="G423" s="5">
        <v>0.4</v>
      </c>
      <c r="H423" s="5">
        <v>0.40910000000000002</v>
      </c>
      <c r="I423" s="5">
        <v>0.57999999999999996</v>
      </c>
      <c r="J423" s="5">
        <v>0.25369999999999998</v>
      </c>
      <c r="K423" s="5">
        <v>7</v>
      </c>
      <c r="L423" s="5">
        <v>68</v>
      </c>
      <c r="M423" s="5">
        <v>75</v>
      </c>
    </row>
    <row r="424" spans="1:13">
      <c r="A424" s="5">
        <v>423</v>
      </c>
      <c r="B424" s="6">
        <v>40562</v>
      </c>
      <c r="C424" s="5">
        <v>15</v>
      </c>
      <c r="D424" s="5" t="b">
        <v>0</v>
      </c>
      <c r="E424" s="5">
        <v>3</v>
      </c>
      <c r="F424" s="5">
        <v>1</v>
      </c>
      <c r="G424" s="5">
        <v>0.4</v>
      </c>
      <c r="H424" s="5">
        <v>0.40910000000000002</v>
      </c>
      <c r="I424" s="5">
        <v>0.54</v>
      </c>
      <c r="J424" s="5">
        <v>0.28360000000000002</v>
      </c>
      <c r="K424" s="5">
        <v>4</v>
      </c>
      <c r="L424" s="5">
        <v>78</v>
      </c>
      <c r="M424" s="5">
        <v>82</v>
      </c>
    </row>
    <row r="425" spans="1:13">
      <c r="A425" s="5">
        <v>424</v>
      </c>
      <c r="B425" s="6">
        <v>40562</v>
      </c>
      <c r="C425" s="5">
        <v>16</v>
      </c>
      <c r="D425" s="5" t="b">
        <v>0</v>
      </c>
      <c r="E425" s="5">
        <v>3</v>
      </c>
      <c r="F425" s="5">
        <v>1</v>
      </c>
      <c r="G425" s="5">
        <v>0.38</v>
      </c>
      <c r="H425" s="5">
        <v>0.39389999999999997</v>
      </c>
      <c r="I425" s="5">
        <v>0.57999999999999996</v>
      </c>
      <c r="J425" s="5">
        <v>0.3881</v>
      </c>
      <c r="K425" s="5">
        <v>10</v>
      </c>
      <c r="L425" s="5">
        <v>94</v>
      </c>
      <c r="M425" s="5">
        <v>104</v>
      </c>
    </row>
    <row r="426" spans="1:13">
      <c r="A426" s="5">
        <v>425</v>
      </c>
      <c r="B426" s="6">
        <v>40562</v>
      </c>
      <c r="C426" s="5">
        <v>17</v>
      </c>
      <c r="D426" s="5" t="b">
        <v>0</v>
      </c>
      <c r="E426" s="5">
        <v>3</v>
      </c>
      <c r="F426" s="5">
        <v>1</v>
      </c>
      <c r="G426" s="5">
        <v>0.36</v>
      </c>
      <c r="H426" s="5">
        <v>0.33329999999999999</v>
      </c>
      <c r="I426" s="5">
        <v>0.56999999999999995</v>
      </c>
      <c r="J426" s="5">
        <v>0.32840000000000003</v>
      </c>
      <c r="K426" s="5">
        <v>7</v>
      </c>
      <c r="L426" s="5">
        <v>190</v>
      </c>
      <c r="M426" s="5">
        <v>197</v>
      </c>
    </row>
    <row r="427" spans="1:13">
      <c r="A427" s="5">
        <v>426</v>
      </c>
      <c r="B427" s="6">
        <v>40562</v>
      </c>
      <c r="C427" s="5">
        <v>18</v>
      </c>
      <c r="D427" s="5" t="b">
        <v>0</v>
      </c>
      <c r="E427" s="5">
        <v>3</v>
      </c>
      <c r="F427" s="5">
        <v>1</v>
      </c>
      <c r="G427" s="5">
        <v>0.34</v>
      </c>
      <c r="H427" s="5">
        <v>0.31819999999999998</v>
      </c>
      <c r="I427" s="5">
        <v>0.61</v>
      </c>
      <c r="J427" s="5">
        <v>0.28360000000000002</v>
      </c>
      <c r="K427" s="5">
        <v>5</v>
      </c>
      <c r="L427" s="5">
        <v>156</v>
      </c>
      <c r="M427" s="5">
        <v>161</v>
      </c>
    </row>
    <row r="428" spans="1:13">
      <c r="A428" s="5">
        <v>427</v>
      </c>
      <c r="B428" s="6">
        <v>40562</v>
      </c>
      <c r="C428" s="5">
        <v>19</v>
      </c>
      <c r="D428" s="5" t="b">
        <v>0</v>
      </c>
      <c r="E428" s="5">
        <v>3</v>
      </c>
      <c r="F428" s="5">
        <v>1</v>
      </c>
      <c r="G428" s="5">
        <v>0.32</v>
      </c>
      <c r="H428" s="5">
        <v>0.28789999999999999</v>
      </c>
      <c r="I428" s="5">
        <v>0.56999999999999995</v>
      </c>
      <c r="J428" s="5">
        <v>0.41789999999999999</v>
      </c>
      <c r="K428" s="5">
        <v>4</v>
      </c>
      <c r="L428" s="5">
        <v>108</v>
      </c>
      <c r="M428" s="5">
        <v>112</v>
      </c>
    </row>
    <row r="429" spans="1:13">
      <c r="A429" s="5">
        <v>428</v>
      </c>
      <c r="B429" s="6">
        <v>40562</v>
      </c>
      <c r="C429" s="5">
        <v>20</v>
      </c>
      <c r="D429" s="5" t="b">
        <v>0</v>
      </c>
      <c r="E429" s="5">
        <v>3</v>
      </c>
      <c r="F429" s="5">
        <v>1</v>
      </c>
      <c r="G429" s="5">
        <v>0.32</v>
      </c>
      <c r="H429" s="5">
        <v>0.30299999999999999</v>
      </c>
      <c r="I429" s="5">
        <v>0.49</v>
      </c>
      <c r="J429" s="5">
        <v>0.29849999999999999</v>
      </c>
      <c r="K429" s="5">
        <v>2</v>
      </c>
      <c r="L429" s="5">
        <v>74</v>
      </c>
      <c r="M429" s="5">
        <v>76</v>
      </c>
    </row>
    <row r="430" spans="1:13">
      <c r="A430" s="5">
        <v>429</v>
      </c>
      <c r="B430" s="6">
        <v>40562</v>
      </c>
      <c r="C430" s="5">
        <v>21</v>
      </c>
      <c r="D430" s="5" t="b">
        <v>0</v>
      </c>
      <c r="E430" s="5">
        <v>3</v>
      </c>
      <c r="F430" s="5">
        <v>1</v>
      </c>
      <c r="G430" s="5">
        <v>0.32</v>
      </c>
      <c r="H430" s="5">
        <v>0.28789999999999999</v>
      </c>
      <c r="I430" s="5">
        <v>0.49</v>
      </c>
      <c r="J430" s="5">
        <v>0.41789999999999999</v>
      </c>
      <c r="K430" s="5">
        <v>4</v>
      </c>
      <c r="L430" s="5">
        <v>55</v>
      </c>
      <c r="M430" s="5">
        <v>59</v>
      </c>
    </row>
    <row r="431" spans="1:13">
      <c r="A431" s="5">
        <v>430</v>
      </c>
      <c r="B431" s="6">
        <v>40562</v>
      </c>
      <c r="C431" s="5">
        <v>22</v>
      </c>
      <c r="D431" s="5" t="b">
        <v>0</v>
      </c>
      <c r="E431" s="5">
        <v>3</v>
      </c>
      <c r="F431" s="5">
        <v>1</v>
      </c>
      <c r="G431" s="5">
        <v>0.3</v>
      </c>
      <c r="H431" s="5">
        <v>0.30299999999999999</v>
      </c>
      <c r="I431" s="5">
        <v>0.52</v>
      </c>
      <c r="J431" s="5">
        <v>0.16420000000000001</v>
      </c>
      <c r="K431" s="5">
        <v>6</v>
      </c>
      <c r="L431" s="5">
        <v>53</v>
      </c>
      <c r="M431" s="5">
        <v>59</v>
      </c>
    </row>
    <row r="432" spans="1:13">
      <c r="A432" s="5">
        <v>431</v>
      </c>
      <c r="B432" s="6">
        <v>40562</v>
      </c>
      <c r="C432" s="5">
        <v>23</v>
      </c>
      <c r="D432" s="5" t="b">
        <v>0</v>
      </c>
      <c r="E432" s="5">
        <v>3</v>
      </c>
      <c r="F432" s="5">
        <v>1</v>
      </c>
      <c r="G432" s="5">
        <v>0.3</v>
      </c>
      <c r="H432" s="5">
        <v>0.2727</v>
      </c>
      <c r="I432" s="5">
        <v>0.52</v>
      </c>
      <c r="J432" s="5">
        <v>0.4627</v>
      </c>
      <c r="K432" s="5">
        <v>1</v>
      </c>
      <c r="L432" s="5">
        <v>27</v>
      </c>
      <c r="M432" s="5">
        <v>28</v>
      </c>
    </row>
    <row r="433" spans="1:13">
      <c r="A433" s="5">
        <v>432</v>
      </c>
      <c r="B433" s="6">
        <v>40563</v>
      </c>
      <c r="C433" s="5">
        <v>0</v>
      </c>
      <c r="D433" s="5" t="b">
        <v>0</v>
      </c>
      <c r="E433" s="5">
        <v>4</v>
      </c>
      <c r="F433" s="5">
        <v>1</v>
      </c>
      <c r="G433" s="5">
        <v>0.26</v>
      </c>
      <c r="H433" s="5">
        <v>0.2273</v>
      </c>
      <c r="I433" s="5">
        <v>0.56000000000000005</v>
      </c>
      <c r="J433" s="5">
        <v>0.3881</v>
      </c>
      <c r="K433" s="5">
        <v>5</v>
      </c>
      <c r="L433" s="5">
        <v>8</v>
      </c>
      <c r="M433" s="5">
        <v>13</v>
      </c>
    </row>
    <row r="434" spans="1:13">
      <c r="A434" s="5">
        <v>433</v>
      </c>
      <c r="B434" s="6">
        <v>40563</v>
      </c>
      <c r="C434" s="5">
        <v>1</v>
      </c>
      <c r="D434" s="5" t="b">
        <v>0</v>
      </c>
      <c r="E434" s="5">
        <v>4</v>
      </c>
      <c r="F434" s="5">
        <v>1</v>
      </c>
      <c r="G434" s="5">
        <v>0.26</v>
      </c>
      <c r="H434" s="5">
        <v>0.2727</v>
      </c>
      <c r="I434" s="5">
        <v>0.56000000000000005</v>
      </c>
      <c r="J434" s="5">
        <v>0</v>
      </c>
      <c r="K434" s="5">
        <v>2</v>
      </c>
      <c r="L434" s="5">
        <v>3</v>
      </c>
      <c r="M434" s="5">
        <v>5</v>
      </c>
    </row>
    <row r="435" spans="1:13">
      <c r="A435" s="5">
        <v>434</v>
      </c>
      <c r="B435" s="6">
        <v>40563</v>
      </c>
      <c r="C435" s="5">
        <v>2</v>
      </c>
      <c r="D435" s="5" t="b">
        <v>0</v>
      </c>
      <c r="E435" s="5">
        <v>4</v>
      </c>
      <c r="F435" s="5">
        <v>1</v>
      </c>
      <c r="G435" s="5">
        <v>0.26</v>
      </c>
      <c r="H435" s="5">
        <v>0.2727</v>
      </c>
      <c r="I435" s="5">
        <v>0.56000000000000005</v>
      </c>
      <c r="J435" s="5">
        <v>0</v>
      </c>
      <c r="K435" s="5">
        <v>0</v>
      </c>
      <c r="L435" s="5">
        <v>2</v>
      </c>
      <c r="M435" s="5">
        <v>2</v>
      </c>
    </row>
    <row r="436" spans="1:13">
      <c r="A436" s="5">
        <v>435</v>
      </c>
      <c r="B436" s="6">
        <v>40563</v>
      </c>
      <c r="C436" s="5">
        <v>3</v>
      </c>
      <c r="D436" s="5" t="b">
        <v>0</v>
      </c>
      <c r="E436" s="5">
        <v>4</v>
      </c>
      <c r="F436" s="5">
        <v>1</v>
      </c>
      <c r="G436" s="5">
        <v>0.26</v>
      </c>
      <c r="H436" s="5">
        <v>0.2576</v>
      </c>
      <c r="I436" s="5">
        <v>0.56000000000000005</v>
      </c>
      <c r="J436" s="5">
        <v>0.16420000000000001</v>
      </c>
      <c r="K436" s="5">
        <v>0</v>
      </c>
      <c r="L436" s="5">
        <v>1</v>
      </c>
      <c r="M436" s="5">
        <v>1</v>
      </c>
    </row>
    <row r="437" spans="1:13">
      <c r="A437" s="5">
        <v>436</v>
      </c>
      <c r="B437" s="6">
        <v>40563</v>
      </c>
      <c r="C437" s="5">
        <v>4</v>
      </c>
      <c r="D437" s="5" t="b">
        <v>0</v>
      </c>
      <c r="E437" s="5">
        <v>4</v>
      </c>
      <c r="F437" s="5">
        <v>1</v>
      </c>
      <c r="G437" s="5">
        <v>0.26</v>
      </c>
      <c r="H437" s="5">
        <v>0.2576</v>
      </c>
      <c r="I437" s="5">
        <v>0.56000000000000005</v>
      </c>
      <c r="J437" s="5">
        <v>0.16420000000000001</v>
      </c>
      <c r="K437" s="5">
        <v>0</v>
      </c>
      <c r="L437" s="5">
        <v>1</v>
      </c>
      <c r="M437" s="5">
        <v>1</v>
      </c>
    </row>
    <row r="438" spans="1:13">
      <c r="A438" s="5">
        <v>437</v>
      </c>
      <c r="B438" s="6">
        <v>40563</v>
      </c>
      <c r="C438" s="5">
        <v>5</v>
      </c>
      <c r="D438" s="5" t="b">
        <v>0</v>
      </c>
      <c r="E438" s="5">
        <v>4</v>
      </c>
      <c r="F438" s="5">
        <v>1</v>
      </c>
      <c r="G438" s="5">
        <v>0.24</v>
      </c>
      <c r="H438" s="5">
        <v>0.2273</v>
      </c>
      <c r="I438" s="5">
        <v>0.6</v>
      </c>
      <c r="J438" s="5">
        <v>0.22389999999999999</v>
      </c>
      <c r="K438" s="5">
        <v>0</v>
      </c>
      <c r="L438" s="5">
        <v>6</v>
      </c>
      <c r="M438" s="5">
        <v>6</v>
      </c>
    </row>
    <row r="439" spans="1:13">
      <c r="A439" s="5">
        <v>438</v>
      </c>
      <c r="B439" s="6">
        <v>40563</v>
      </c>
      <c r="C439" s="5">
        <v>6</v>
      </c>
      <c r="D439" s="5" t="b">
        <v>0</v>
      </c>
      <c r="E439" s="5">
        <v>4</v>
      </c>
      <c r="F439" s="5">
        <v>1</v>
      </c>
      <c r="G439" s="5">
        <v>0.22</v>
      </c>
      <c r="H439" s="5">
        <v>0.21210000000000001</v>
      </c>
      <c r="I439" s="5">
        <v>0.6</v>
      </c>
      <c r="J439" s="5">
        <v>0.22389999999999999</v>
      </c>
      <c r="K439" s="5">
        <v>0</v>
      </c>
      <c r="L439" s="5">
        <v>35</v>
      </c>
      <c r="M439" s="5">
        <v>35</v>
      </c>
    </row>
    <row r="440" spans="1:13">
      <c r="A440" s="5">
        <v>439</v>
      </c>
      <c r="B440" s="6">
        <v>40563</v>
      </c>
      <c r="C440" s="5">
        <v>7</v>
      </c>
      <c r="D440" s="5" t="b">
        <v>0</v>
      </c>
      <c r="E440" s="5">
        <v>4</v>
      </c>
      <c r="F440" s="5">
        <v>1</v>
      </c>
      <c r="G440" s="5">
        <v>0.22</v>
      </c>
      <c r="H440" s="5">
        <v>0.21210000000000001</v>
      </c>
      <c r="I440" s="5">
        <v>0.55000000000000004</v>
      </c>
      <c r="J440" s="5">
        <v>0.22389999999999999</v>
      </c>
      <c r="K440" s="5">
        <v>1</v>
      </c>
      <c r="L440" s="5">
        <v>100</v>
      </c>
      <c r="M440" s="5">
        <v>101</v>
      </c>
    </row>
    <row r="441" spans="1:13">
      <c r="A441" s="5">
        <v>440</v>
      </c>
      <c r="B441" s="6">
        <v>40563</v>
      </c>
      <c r="C441" s="5">
        <v>8</v>
      </c>
      <c r="D441" s="5" t="b">
        <v>0</v>
      </c>
      <c r="E441" s="5">
        <v>4</v>
      </c>
      <c r="F441" s="5">
        <v>1</v>
      </c>
      <c r="G441" s="5">
        <v>0.22</v>
      </c>
      <c r="H441" s="5">
        <v>0.21210000000000001</v>
      </c>
      <c r="I441" s="5">
        <v>0.55000000000000004</v>
      </c>
      <c r="J441" s="5">
        <v>0.28360000000000002</v>
      </c>
      <c r="K441" s="5">
        <v>2</v>
      </c>
      <c r="L441" s="5">
        <v>247</v>
      </c>
      <c r="M441" s="5">
        <v>249</v>
      </c>
    </row>
    <row r="442" spans="1:13">
      <c r="A442" s="5">
        <v>441</v>
      </c>
      <c r="B442" s="6">
        <v>40563</v>
      </c>
      <c r="C442" s="5">
        <v>9</v>
      </c>
      <c r="D442" s="5" t="b">
        <v>0</v>
      </c>
      <c r="E442" s="5">
        <v>4</v>
      </c>
      <c r="F442" s="5">
        <v>2</v>
      </c>
      <c r="G442" s="5">
        <v>0.24</v>
      </c>
      <c r="H442" s="5">
        <v>0.2273</v>
      </c>
      <c r="I442" s="5">
        <v>0.52</v>
      </c>
      <c r="J442" s="5">
        <v>0.22389999999999999</v>
      </c>
      <c r="K442" s="5">
        <v>3</v>
      </c>
      <c r="L442" s="5">
        <v>140</v>
      </c>
      <c r="M442" s="5">
        <v>143</v>
      </c>
    </row>
    <row r="443" spans="1:13">
      <c r="A443" s="5">
        <v>442</v>
      </c>
      <c r="B443" s="6">
        <v>40563</v>
      </c>
      <c r="C443" s="5">
        <v>10</v>
      </c>
      <c r="D443" s="5" t="b">
        <v>0</v>
      </c>
      <c r="E443" s="5">
        <v>4</v>
      </c>
      <c r="F443" s="5">
        <v>1</v>
      </c>
      <c r="G443" s="5">
        <v>0.26</v>
      </c>
      <c r="H443" s="5">
        <v>0.2273</v>
      </c>
      <c r="I443" s="5">
        <v>0.48</v>
      </c>
      <c r="J443" s="5">
        <v>0.29849999999999999</v>
      </c>
      <c r="K443" s="5">
        <v>1</v>
      </c>
      <c r="L443" s="5">
        <v>56</v>
      </c>
      <c r="M443" s="5">
        <v>57</v>
      </c>
    </row>
    <row r="444" spans="1:13">
      <c r="A444" s="5">
        <v>443</v>
      </c>
      <c r="B444" s="6">
        <v>40563</v>
      </c>
      <c r="C444" s="5">
        <v>11</v>
      </c>
      <c r="D444" s="5" t="b">
        <v>0</v>
      </c>
      <c r="E444" s="5">
        <v>4</v>
      </c>
      <c r="F444" s="5">
        <v>2</v>
      </c>
      <c r="G444" s="5">
        <v>0.28000000000000003</v>
      </c>
      <c r="H444" s="5">
        <v>0.2727</v>
      </c>
      <c r="I444" s="5">
        <v>0.45</v>
      </c>
      <c r="J444" s="5">
        <v>0.16420000000000001</v>
      </c>
      <c r="K444" s="5">
        <v>5</v>
      </c>
      <c r="L444" s="5">
        <v>63</v>
      </c>
      <c r="M444" s="5">
        <v>68</v>
      </c>
    </row>
    <row r="445" spans="1:13">
      <c r="A445" s="5">
        <v>444</v>
      </c>
      <c r="B445" s="6">
        <v>40563</v>
      </c>
      <c r="C445" s="5">
        <v>12</v>
      </c>
      <c r="D445" s="5" t="b">
        <v>0</v>
      </c>
      <c r="E445" s="5">
        <v>4</v>
      </c>
      <c r="F445" s="5">
        <v>2</v>
      </c>
      <c r="G445" s="5">
        <v>0.3</v>
      </c>
      <c r="H445" s="5">
        <v>0.33329999999999999</v>
      </c>
      <c r="I445" s="5">
        <v>0.42</v>
      </c>
      <c r="J445" s="5">
        <v>0</v>
      </c>
      <c r="K445" s="5">
        <v>7</v>
      </c>
      <c r="L445" s="5">
        <v>77</v>
      </c>
      <c r="M445" s="5">
        <v>84</v>
      </c>
    </row>
    <row r="446" spans="1:13">
      <c r="A446" s="5">
        <v>445</v>
      </c>
      <c r="B446" s="6">
        <v>40563</v>
      </c>
      <c r="C446" s="5">
        <v>13</v>
      </c>
      <c r="D446" s="5" t="b">
        <v>0</v>
      </c>
      <c r="E446" s="5">
        <v>4</v>
      </c>
      <c r="F446" s="5">
        <v>2</v>
      </c>
      <c r="G446" s="5">
        <v>0.28000000000000003</v>
      </c>
      <c r="H446" s="5">
        <v>0.28789999999999999</v>
      </c>
      <c r="I446" s="5">
        <v>0.45</v>
      </c>
      <c r="J446" s="5">
        <v>0.1045</v>
      </c>
      <c r="K446" s="5">
        <v>12</v>
      </c>
      <c r="L446" s="5">
        <v>86</v>
      </c>
      <c r="M446" s="5">
        <v>98</v>
      </c>
    </row>
    <row r="447" spans="1:13">
      <c r="A447" s="5">
        <v>446</v>
      </c>
      <c r="B447" s="6">
        <v>40563</v>
      </c>
      <c r="C447" s="5">
        <v>14</v>
      </c>
      <c r="D447" s="5" t="b">
        <v>0</v>
      </c>
      <c r="E447" s="5">
        <v>4</v>
      </c>
      <c r="F447" s="5">
        <v>2</v>
      </c>
      <c r="G447" s="5">
        <v>0.3</v>
      </c>
      <c r="H447" s="5">
        <v>0.30299999999999999</v>
      </c>
      <c r="I447" s="5">
        <v>0.45</v>
      </c>
      <c r="J447" s="5">
        <v>0.1343</v>
      </c>
      <c r="K447" s="5">
        <v>6</v>
      </c>
      <c r="L447" s="5">
        <v>75</v>
      </c>
      <c r="M447" s="5">
        <v>81</v>
      </c>
    </row>
    <row r="448" spans="1:13">
      <c r="A448" s="5">
        <v>447</v>
      </c>
      <c r="B448" s="6">
        <v>40563</v>
      </c>
      <c r="C448" s="5">
        <v>15</v>
      </c>
      <c r="D448" s="5" t="b">
        <v>0</v>
      </c>
      <c r="E448" s="5">
        <v>4</v>
      </c>
      <c r="F448" s="5">
        <v>2</v>
      </c>
      <c r="G448" s="5">
        <v>0.32</v>
      </c>
      <c r="H448" s="5">
        <v>0.31819999999999998</v>
      </c>
      <c r="I448" s="5">
        <v>0.45</v>
      </c>
      <c r="J448" s="5">
        <v>0.19400000000000001</v>
      </c>
      <c r="K448" s="5">
        <v>8</v>
      </c>
      <c r="L448" s="5">
        <v>62</v>
      </c>
      <c r="M448" s="5">
        <v>70</v>
      </c>
    </row>
    <row r="449" spans="1:13">
      <c r="A449" s="5">
        <v>448</v>
      </c>
      <c r="B449" s="6">
        <v>40563</v>
      </c>
      <c r="C449" s="5">
        <v>16</v>
      </c>
      <c r="D449" s="5" t="b">
        <v>0</v>
      </c>
      <c r="E449" s="5">
        <v>4</v>
      </c>
      <c r="F449" s="5">
        <v>2</v>
      </c>
      <c r="G449" s="5">
        <v>0.3</v>
      </c>
      <c r="H449" s="5">
        <v>0.30299999999999999</v>
      </c>
      <c r="I449" s="5">
        <v>0.49</v>
      </c>
      <c r="J449" s="5">
        <v>0.1343</v>
      </c>
      <c r="K449" s="5">
        <v>8</v>
      </c>
      <c r="L449" s="5">
        <v>83</v>
      </c>
      <c r="M449" s="5">
        <v>91</v>
      </c>
    </row>
    <row r="450" spans="1:13">
      <c r="A450" s="5">
        <v>449</v>
      </c>
      <c r="B450" s="6">
        <v>40563</v>
      </c>
      <c r="C450" s="5">
        <v>17</v>
      </c>
      <c r="D450" s="5" t="b">
        <v>0</v>
      </c>
      <c r="E450" s="5">
        <v>4</v>
      </c>
      <c r="F450" s="5">
        <v>2</v>
      </c>
      <c r="G450" s="5">
        <v>0.3</v>
      </c>
      <c r="H450" s="5">
        <v>0.31819999999999998</v>
      </c>
      <c r="I450" s="5">
        <v>0.49</v>
      </c>
      <c r="J450" s="5">
        <v>0.1045</v>
      </c>
      <c r="K450" s="5">
        <v>8</v>
      </c>
      <c r="L450" s="5">
        <v>207</v>
      </c>
      <c r="M450" s="5">
        <v>215</v>
      </c>
    </row>
    <row r="451" spans="1:13">
      <c r="A451" s="5">
        <v>450</v>
      </c>
      <c r="B451" s="6">
        <v>40563</v>
      </c>
      <c r="C451" s="5">
        <v>18</v>
      </c>
      <c r="D451" s="5" t="b">
        <v>0</v>
      </c>
      <c r="E451" s="5">
        <v>4</v>
      </c>
      <c r="F451" s="5">
        <v>2</v>
      </c>
      <c r="G451" s="5">
        <v>0.26</v>
      </c>
      <c r="H451" s="5">
        <v>0.2576</v>
      </c>
      <c r="I451" s="5">
        <v>0.56000000000000005</v>
      </c>
      <c r="J451" s="5">
        <v>0.19400000000000001</v>
      </c>
      <c r="K451" s="5">
        <v>1</v>
      </c>
      <c r="L451" s="5">
        <v>184</v>
      </c>
      <c r="M451" s="5">
        <v>185</v>
      </c>
    </row>
    <row r="452" spans="1:13">
      <c r="A452" s="5">
        <v>451</v>
      </c>
      <c r="B452" s="6">
        <v>40563</v>
      </c>
      <c r="C452" s="5">
        <v>19</v>
      </c>
      <c r="D452" s="5" t="b">
        <v>0</v>
      </c>
      <c r="E452" s="5">
        <v>4</v>
      </c>
      <c r="F452" s="5">
        <v>1</v>
      </c>
      <c r="G452" s="5">
        <v>0.26</v>
      </c>
      <c r="H452" s="5">
        <v>0.2273</v>
      </c>
      <c r="I452" s="5">
        <v>0.56000000000000005</v>
      </c>
      <c r="J452" s="5">
        <v>0.32840000000000003</v>
      </c>
      <c r="K452" s="5">
        <v>6</v>
      </c>
      <c r="L452" s="5">
        <v>146</v>
      </c>
      <c r="M452" s="5">
        <v>152</v>
      </c>
    </row>
    <row r="453" spans="1:13">
      <c r="A453" s="5">
        <v>452</v>
      </c>
      <c r="B453" s="6">
        <v>40563</v>
      </c>
      <c r="C453" s="5">
        <v>20</v>
      </c>
      <c r="D453" s="5" t="b">
        <v>0</v>
      </c>
      <c r="E453" s="5">
        <v>4</v>
      </c>
      <c r="F453" s="5">
        <v>2</v>
      </c>
      <c r="G453" s="5">
        <v>0.26</v>
      </c>
      <c r="H453" s="5">
        <v>0.2424</v>
      </c>
      <c r="I453" s="5">
        <v>0.6</v>
      </c>
      <c r="J453" s="5">
        <v>0.28360000000000002</v>
      </c>
      <c r="K453" s="5">
        <v>2</v>
      </c>
      <c r="L453" s="5">
        <v>124</v>
      </c>
      <c r="M453" s="5">
        <v>126</v>
      </c>
    </row>
    <row r="454" spans="1:13">
      <c r="A454" s="5">
        <v>453</v>
      </c>
      <c r="B454" s="6">
        <v>40563</v>
      </c>
      <c r="C454" s="5">
        <v>21</v>
      </c>
      <c r="D454" s="5" t="b">
        <v>0</v>
      </c>
      <c r="E454" s="5">
        <v>4</v>
      </c>
      <c r="F454" s="5">
        <v>2</v>
      </c>
      <c r="G454" s="5">
        <v>0.24</v>
      </c>
      <c r="H454" s="5">
        <v>0.2273</v>
      </c>
      <c r="I454" s="5">
        <v>0.6</v>
      </c>
      <c r="J454" s="5">
        <v>0.25369999999999998</v>
      </c>
      <c r="K454" s="5">
        <v>3</v>
      </c>
      <c r="L454" s="5">
        <v>54</v>
      </c>
      <c r="M454" s="5">
        <v>57</v>
      </c>
    </row>
    <row r="455" spans="1:13">
      <c r="A455" s="5">
        <v>454</v>
      </c>
      <c r="B455" s="6">
        <v>40563</v>
      </c>
      <c r="C455" s="5">
        <v>22</v>
      </c>
      <c r="D455" s="5" t="b">
        <v>0</v>
      </c>
      <c r="E455" s="5">
        <v>4</v>
      </c>
      <c r="F455" s="5">
        <v>2</v>
      </c>
      <c r="G455" s="5">
        <v>0.24</v>
      </c>
      <c r="H455" s="5">
        <v>0.21210000000000001</v>
      </c>
      <c r="I455" s="5">
        <v>0.65</v>
      </c>
      <c r="J455" s="5">
        <v>0.28360000000000002</v>
      </c>
      <c r="K455" s="5">
        <v>0</v>
      </c>
      <c r="L455" s="5">
        <v>56</v>
      </c>
      <c r="M455" s="5">
        <v>56</v>
      </c>
    </row>
    <row r="456" spans="1:13">
      <c r="A456" s="5">
        <v>455</v>
      </c>
      <c r="B456" s="6">
        <v>40563</v>
      </c>
      <c r="C456" s="5">
        <v>23</v>
      </c>
      <c r="D456" s="5" t="b">
        <v>0</v>
      </c>
      <c r="E456" s="5">
        <v>4</v>
      </c>
      <c r="F456" s="5">
        <v>2</v>
      </c>
      <c r="G456" s="5">
        <v>0.24</v>
      </c>
      <c r="H456" s="5">
        <v>0.21210000000000001</v>
      </c>
      <c r="I456" s="5">
        <v>0.65</v>
      </c>
      <c r="J456" s="5">
        <v>0.32840000000000003</v>
      </c>
      <c r="K456" s="5">
        <v>3</v>
      </c>
      <c r="L456" s="5">
        <v>28</v>
      </c>
      <c r="M456" s="5">
        <v>31</v>
      </c>
    </row>
    <row r="457" spans="1:13">
      <c r="A457" s="5">
        <v>456</v>
      </c>
      <c r="B457" s="6">
        <v>40564</v>
      </c>
      <c r="C457" s="5">
        <v>0</v>
      </c>
      <c r="D457" s="5" t="b">
        <v>0</v>
      </c>
      <c r="E457" s="5">
        <v>5</v>
      </c>
      <c r="F457" s="5">
        <v>2</v>
      </c>
      <c r="G457" s="5">
        <v>0.24</v>
      </c>
      <c r="H457" s="5">
        <v>0.2273</v>
      </c>
      <c r="I457" s="5">
        <v>0.7</v>
      </c>
      <c r="J457" s="5">
        <v>0.25369999999999998</v>
      </c>
      <c r="K457" s="5">
        <v>1</v>
      </c>
      <c r="L457" s="5">
        <v>20</v>
      </c>
      <c r="M457" s="5">
        <v>21</v>
      </c>
    </row>
    <row r="458" spans="1:13">
      <c r="A458" s="5">
        <v>457</v>
      </c>
      <c r="B458" s="6">
        <v>40564</v>
      </c>
      <c r="C458" s="5">
        <v>1</v>
      </c>
      <c r="D458" s="5" t="b">
        <v>0</v>
      </c>
      <c r="E458" s="5">
        <v>5</v>
      </c>
      <c r="F458" s="5">
        <v>2</v>
      </c>
      <c r="G458" s="5">
        <v>0.24</v>
      </c>
      <c r="H458" s="5">
        <v>0.2273</v>
      </c>
      <c r="I458" s="5">
        <v>0.7</v>
      </c>
      <c r="J458" s="5">
        <v>0.25369999999999998</v>
      </c>
      <c r="K458" s="5">
        <v>0</v>
      </c>
      <c r="L458" s="5">
        <v>6</v>
      </c>
      <c r="M458" s="5">
        <v>6</v>
      </c>
    </row>
    <row r="459" spans="1:13">
      <c r="A459" s="5">
        <v>458</v>
      </c>
      <c r="B459" s="6">
        <v>40564</v>
      </c>
      <c r="C459" s="5">
        <v>2</v>
      </c>
      <c r="D459" s="5" t="b">
        <v>0</v>
      </c>
      <c r="E459" s="5">
        <v>5</v>
      </c>
      <c r="F459" s="5">
        <v>3</v>
      </c>
      <c r="G459" s="5">
        <v>0.24</v>
      </c>
      <c r="H459" s="5">
        <v>0.2424</v>
      </c>
      <c r="I459" s="5">
        <v>0.75</v>
      </c>
      <c r="J459" s="5">
        <v>0.16420000000000001</v>
      </c>
      <c r="K459" s="5">
        <v>0</v>
      </c>
      <c r="L459" s="5">
        <v>2</v>
      </c>
      <c r="M459" s="5">
        <v>2</v>
      </c>
    </row>
    <row r="460" spans="1:13">
      <c r="A460" s="5">
        <v>459</v>
      </c>
      <c r="B460" s="6">
        <v>40564</v>
      </c>
      <c r="C460" s="5">
        <v>3</v>
      </c>
      <c r="D460" s="5" t="b">
        <v>0</v>
      </c>
      <c r="E460" s="5">
        <v>5</v>
      </c>
      <c r="F460" s="5">
        <v>3</v>
      </c>
      <c r="G460" s="5">
        <v>0.22</v>
      </c>
      <c r="H460" s="5">
        <v>0.21210000000000001</v>
      </c>
      <c r="I460" s="5">
        <v>0.8</v>
      </c>
      <c r="J460" s="5">
        <v>0.29849999999999999</v>
      </c>
      <c r="K460" s="5">
        <v>0</v>
      </c>
      <c r="L460" s="5">
        <v>1</v>
      </c>
      <c r="M460" s="5">
        <v>1</v>
      </c>
    </row>
    <row r="461" spans="1:13">
      <c r="A461" s="5">
        <v>460</v>
      </c>
      <c r="B461" s="6">
        <v>40564</v>
      </c>
      <c r="C461" s="5">
        <v>4</v>
      </c>
      <c r="D461" s="5" t="b">
        <v>0</v>
      </c>
      <c r="E461" s="5">
        <v>5</v>
      </c>
      <c r="F461" s="5">
        <v>2</v>
      </c>
      <c r="G461" s="5">
        <v>0.22</v>
      </c>
      <c r="H461" s="5">
        <v>0.2576</v>
      </c>
      <c r="I461" s="5">
        <v>0.87</v>
      </c>
      <c r="J461" s="5">
        <v>8.9599999999999999E-2</v>
      </c>
      <c r="K461" s="5">
        <v>0</v>
      </c>
      <c r="L461" s="5">
        <v>1</v>
      </c>
      <c r="M461" s="5">
        <v>1</v>
      </c>
    </row>
    <row r="462" spans="1:13">
      <c r="A462" s="5">
        <v>461</v>
      </c>
      <c r="B462" s="6">
        <v>40564</v>
      </c>
      <c r="C462" s="5">
        <v>5</v>
      </c>
      <c r="D462" s="5" t="b">
        <v>0</v>
      </c>
      <c r="E462" s="5">
        <v>5</v>
      </c>
      <c r="F462" s="5">
        <v>1</v>
      </c>
      <c r="G462" s="5">
        <v>0.24</v>
      </c>
      <c r="H462" s="5">
        <v>0.19700000000000001</v>
      </c>
      <c r="I462" s="5">
        <v>0.6</v>
      </c>
      <c r="J462" s="5">
        <v>0.41789999999999999</v>
      </c>
      <c r="K462" s="5">
        <v>1</v>
      </c>
      <c r="L462" s="5">
        <v>4</v>
      </c>
      <c r="M462" s="5">
        <v>5</v>
      </c>
    </row>
    <row r="463" spans="1:13">
      <c r="A463" s="5">
        <v>462</v>
      </c>
      <c r="B463" s="6">
        <v>40564</v>
      </c>
      <c r="C463" s="5">
        <v>6</v>
      </c>
      <c r="D463" s="5" t="b">
        <v>0</v>
      </c>
      <c r="E463" s="5">
        <v>5</v>
      </c>
      <c r="F463" s="5">
        <v>1</v>
      </c>
      <c r="G463" s="5">
        <v>0.22</v>
      </c>
      <c r="H463" s="5">
        <v>0.21210000000000001</v>
      </c>
      <c r="I463" s="5">
        <v>0.55000000000000004</v>
      </c>
      <c r="J463" s="5">
        <v>0.25369999999999998</v>
      </c>
      <c r="K463" s="5">
        <v>0</v>
      </c>
      <c r="L463" s="5">
        <v>27</v>
      </c>
      <c r="M463" s="5">
        <v>27</v>
      </c>
    </row>
    <row r="464" spans="1:13">
      <c r="A464" s="5">
        <v>463</v>
      </c>
      <c r="B464" s="6">
        <v>40564</v>
      </c>
      <c r="C464" s="5">
        <v>7</v>
      </c>
      <c r="D464" s="5" t="b">
        <v>0</v>
      </c>
      <c r="E464" s="5">
        <v>5</v>
      </c>
      <c r="F464" s="5">
        <v>1</v>
      </c>
      <c r="G464" s="5">
        <v>0.2</v>
      </c>
      <c r="H464" s="5">
        <v>0.18179999999999999</v>
      </c>
      <c r="I464" s="5">
        <v>0.51</v>
      </c>
      <c r="J464" s="5">
        <v>0.28360000000000002</v>
      </c>
      <c r="K464" s="5">
        <v>2</v>
      </c>
      <c r="L464" s="5">
        <v>66</v>
      </c>
      <c r="M464" s="5">
        <v>68</v>
      </c>
    </row>
    <row r="465" spans="1:13">
      <c r="A465" s="5">
        <v>464</v>
      </c>
      <c r="B465" s="6">
        <v>40564</v>
      </c>
      <c r="C465" s="5">
        <v>8</v>
      </c>
      <c r="D465" s="5" t="b">
        <v>0</v>
      </c>
      <c r="E465" s="5">
        <v>5</v>
      </c>
      <c r="F465" s="5">
        <v>1</v>
      </c>
      <c r="G465" s="5">
        <v>0.2</v>
      </c>
      <c r="H465" s="5">
        <v>0.18179999999999999</v>
      </c>
      <c r="I465" s="5">
        <v>0.47</v>
      </c>
      <c r="J465" s="5">
        <v>0.32840000000000003</v>
      </c>
      <c r="K465" s="5">
        <v>7</v>
      </c>
      <c r="L465" s="5">
        <v>210</v>
      </c>
      <c r="M465" s="5">
        <v>217</v>
      </c>
    </row>
    <row r="466" spans="1:13">
      <c r="A466" s="5">
        <v>465</v>
      </c>
      <c r="B466" s="6">
        <v>40564</v>
      </c>
      <c r="C466" s="5">
        <v>9</v>
      </c>
      <c r="D466" s="5" t="b">
        <v>0</v>
      </c>
      <c r="E466" s="5">
        <v>5</v>
      </c>
      <c r="F466" s="5">
        <v>1</v>
      </c>
      <c r="G466" s="5">
        <v>0.2</v>
      </c>
      <c r="H466" s="5">
        <v>0.18179999999999999</v>
      </c>
      <c r="I466" s="5">
        <v>0.51</v>
      </c>
      <c r="J466" s="5">
        <v>0.35820000000000002</v>
      </c>
      <c r="K466" s="5">
        <v>7</v>
      </c>
      <c r="L466" s="5">
        <v>159</v>
      </c>
      <c r="M466" s="5">
        <v>166</v>
      </c>
    </row>
    <row r="467" spans="1:13">
      <c r="A467" s="5">
        <v>466</v>
      </c>
      <c r="B467" s="6">
        <v>40564</v>
      </c>
      <c r="C467" s="5">
        <v>10</v>
      </c>
      <c r="D467" s="5" t="b">
        <v>0</v>
      </c>
      <c r="E467" s="5">
        <v>5</v>
      </c>
      <c r="F467" s="5">
        <v>1</v>
      </c>
      <c r="G467" s="5">
        <v>0.2</v>
      </c>
      <c r="H467" s="5">
        <v>0.16669999999999999</v>
      </c>
      <c r="I467" s="5">
        <v>0.47</v>
      </c>
      <c r="J467" s="5">
        <v>0.4627</v>
      </c>
      <c r="K467" s="5">
        <v>6</v>
      </c>
      <c r="L467" s="5">
        <v>57</v>
      </c>
      <c r="M467" s="5">
        <v>63</v>
      </c>
    </row>
    <row r="468" spans="1:13">
      <c r="A468" s="5">
        <v>467</v>
      </c>
      <c r="B468" s="6">
        <v>40564</v>
      </c>
      <c r="C468" s="5">
        <v>11</v>
      </c>
      <c r="D468" s="5" t="b">
        <v>0</v>
      </c>
      <c r="E468" s="5">
        <v>5</v>
      </c>
      <c r="F468" s="5">
        <v>1</v>
      </c>
      <c r="G468" s="5">
        <v>0.22</v>
      </c>
      <c r="H468" s="5">
        <v>0.18179999999999999</v>
      </c>
      <c r="I468" s="5">
        <v>0.41</v>
      </c>
      <c r="J468" s="5">
        <v>0.4627</v>
      </c>
      <c r="K468" s="5">
        <v>6</v>
      </c>
      <c r="L468" s="5">
        <v>53</v>
      </c>
      <c r="M468" s="5">
        <v>59</v>
      </c>
    </row>
    <row r="469" spans="1:13">
      <c r="A469" s="5">
        <v>468</v>
      </c>
      <c r="B469" s="6">
        <v>40564</v>
      </c>
      <c r="C469" s="5">
        <v>12</v>
      </c>
      <c r="D469" s="5" t="b">
        <v>0</v>
      </c>
      <c r="E469" s="5">
        <v>5</v>
      </c>
      <c r="F469" s="5">
        <v>1</v>
      </c>
      <c r="G469" s="5">
        <v>0.22</v>
      </c>
      <c r="H469" s="5">
        <v>0.18179999999999999</v>
      </c>
      <c r="I469" s="5">
        <v>0.27</v>
      </c>
      <c r="J469" s="5">
        <v>0.58209999999999995</v>
      </c>
      <c r="K469" s="5">
        <v>11</v>
      </c>
      <c r="L469" s="5">
        <v>67</v>
      </c>
      <c r="M469" s="5">
        <v>78</v>
      </c>
    </row>
    <row r="470" spans="1:13">
      <c r="A470" s="5">
        <v>469</v>
      </c>
      <c r="B470" s="6">
        <v>40564</v>
      </c>
      <c r="C470" s="5">
        <v>13</v>
      </c>
      <c r="D470" s="5" t="b">
        <v>0</v>
      </c>
      <c r="E470" s="5">
        <v>5</v>
      </c>
      <c r="F470" s="5">
        <v>1</v>
      </c>
      <c r="G470" s="5">
        <v>0.2</v>
      </c>
      <c r="H470" s="5">
        <v>0.1515</v>
      </c>
      <c r="I470" s="5">
        <v>0.21</v>
      </c>
      <c r="J470" s="5">
        <v>0.58209999999999995</v>
      </c>
      <c r="K470" s="5">
        <v>8</v>
      </c>
      <c r="L470" s="5">
        <v>65</v>
      </c>
      <c r="M470" s="5">
        <v>73</v>
      </c>
    </row>
    <row r="471" spans="1:13">
      <c r="A471" s="5">
        <v>470</v>
      </c>
      <c r="B471" s="6">
        <v>40564</v>
      </c>
      <c r="C471" s="5">
        <v>14</v>
      </c>
      <c r="D471" s="5" t="b">
        <v>0</v>
      </c>
      <c r="E471" s="5">
        <v>5</v>
      </c>
      <c r="F471" s="5">
        <v>1</v>
      </c>
      <c r="G471" s="5">
        <v>0.2</v>
      </c>
      <c r="H471" s="5">
        <v>0.1515</v>
      </c>
      <c r="I471" s="5">
        <v>0.25</v>
      </c>
      <c r="J471" s="5">
        <v>0.52239999999999998</v>
      </c>
      <c r="K471" s="5">
        <v>6</v>
      </c>
      <c r="L471" s="5">
        <v>56</v>
      </c>
      <c r="M471" s="5">
        <v>62</v>
      </c>
    </row>
    <row r="472" spans="1:13">
      <c r="A472" s="5">
        <v>471</v>
      </c>
      <c r="B472" s="6">
        <v>40564</v>
      </c>
      <c r="C472" s="5">
        <v>15</v>
      </c>
      <c r="D472" s="5" t="b">
        <v>0</v>
      </c>
      <c r="E472" s="5">
        <v>5</v>
      </c>
      <c r="F472" s="5">
        <v>1</v>
      </c>
      <c r="G472" s="5">
        <v>0.16</v>
      </c>
      <c r="H472" s="5">
        <v>0.1212</v>
      </c>
      <c r="I472" s="5">
        <v>0.26</v>
      </c>
      <c r="J472" s="5">
        <v>0.44779999999999998</v>
      </c>
      <c r="K472" s="5">
        <v>4</v>
      </c>
      <c r="L472" s="5">
        <v>61</v>
      </c>
      <c r="M472" s="5">
        <v>65</v>
      </c>
    </row>
    <row r="473" spans="1:13">
      <c r="A473" s="5">
        <v>472</v>
      </c>
      <c r="B473" s="6">
        <v>40564</v>
      </c>
      <c r="C473" s="5">
        <v>16</v>
      </c>
      <c r="D473" s="5" t="b">
        <v>0</v>
      </c>
      <c r="E473" s="5">
        <v>5</v>
      </c>
      <c r="F473" s="5">
        <v>1</v>
      </c>
      <c r="G473" s="5">
        <v>0.16</v>
      </c>
      <c r="H473" s="5">
        <v>0.13639999999999999</v>
      </c>
      <c r="I473" s="5">
        <v>0.26</v>
      </c>
      <c r="J473" s="5">
        <v>0.35820000000000002</v>
      </c>
      <c r="K473" s="5">
        <v>0</v>
      </c>
      <c r="L473" s="5">
        <v>97</v>
      </c>
      <c r="M473" s="5">
        <v>97</v>
      </c>
    </row>
    <row r="474" spans="1:13">
      <c r="A474" s="5">
        <v>473</v>
      </c>
      <c r="B474" s="6">
        <v>40564</v>
      </c>
      <c r="C474" s="5">
        <v>17</v>
      </c>
      <c r="D474" s="5" t="b">
        <v>0</v>
      </c>
      <c r="E474" s="5">
        <v>5</v>
      </c>
      <c r="F474" s="5">
        <v>1</v>
      </c>
      <c r="G474" s="5">
        <v>0.14000000000000001</v>
      </c>
      <c r="H474" s="5">
        <v>0.1212</v>
      </c>
      <c r="I474" s="5">
        <v>0.28000000000000003</v>
      </c>
      <c r="J474" s="5">
        <v>0.35820000000000002</v>
      </c>
      <c r="K474" s="5">
        <v>10</v>
      </c>
      <c r="L474" s="5">
        <v>151</v>
      </c>
      <c r="M474" s="5">
        <v>161</v>
      </c>
    </row>
    <row r="475" spans="1:13">
      <c r="A475" s="5">
        <v>474</v>
      </c>
      <c r="B475" s="6">
        <v>40564</v>
      </c>
      <c r="C475" s="5">
        <v>18</v>
      </c>
      <c r="D475" s="5" t="b">
        <v>0</v>
      </c>
      <c r="E475" s="5">
        <v>5</v>
      </c>
      <c r="F475" s="5">
        <v>1</v>
      </c>
      <c r="G475" s="5">
        <v>0.12</v>
      </c>
      <c r="H475" s="5">
        <v>0.1212</v>
      </c>
      <c r="I475" s="5">
        <v>0.3</v>
      </c>
      <c r="J475" s="5">
        <v>0.25369999999999998</v>
      </c>
      <c r="K475" s="5">
        <v>1</v>
      </c>
      <c r="L475" s="5">
        <v>119</v>
      </c>
      <c r="M475" s="5">
        <v>120</v>
      </c>
    </row>
    <row r="476" spans="1:13">
      <c r="A476" s="5">
        <v>475</v>
      </c>
      <c r="B476" s="6">
        <v>40564</v>
      </c>
      <c r="C476" s="5">
        <v>19</v>
      </c>
      <c r="D476" s="5" t="b">
        <v>0</v>
      </c>
      <c r="E476" s="5">
        <v>5</v>
      </c>
      <c r="F476" s="5">
        <v>1</v>
      </c>
      <c r="G476" s="5">
        <v>0.12</v>
      </c>
      <c r="H476" s="5">
        <v>0.1061</v>
      </c>
      <c r="I476" s="5">
        <v>0.3</v>
      </c>
      <c r="J476" s="5">
        <v>0.32840000000000003</v>
      </c>
      <c r="K476" s="5">
        <v>3</v>
      </c>
      <c r="L476" s="5">
        <v>93</v>
      </c>
      <c r="M476" s="5">
        <v>96</v>
      </c>
    </row>
    <row r="477" spans="1:13">
      <c r="A477" s="5">
        <v>476</v>
      </c>
      <c r="B477" s="6">
        <v>40564</v>
      </c>
      <c r="C477" s="5">
        <v>20</v>
      </c>
      <c r="D477" s="5" t="b">
        <v>0</v>
      </c>
      <c r="E477" s="5">
        <v>5</v>
      </c>
      <c r="F477" s="5">
        <v>1</v>
      </c>
      <c r="G477" s="5">
        <v>0.1</v>
      </c>
      <c r="H477" s="5">
        <v>7.5800000000000006E-2</v>
      </c>
      <c r="I477" s="5">
        <v>0.33</v>
      </c>
      <c r="J477" s="5">
        <v>0.41789999999999999</v>
      </c>
      <c r="K477" s="5">
        <v>1</v>
      </c>
      <c r="L477" s="5">
        <v>52</v>
      </c>
      <c r="M477" s="5">
        <v>53</v>
      </c>
    </row>
    <row r="478" spans="1:13">
      <c r="A478" s="5">
        <v>477</v>
      </c>
      <c r="B478" s="6">
        <v>40564</v>
      </c>
      <c r="C478" s="5">
        <v>21</v>
      </c>
      <c r="D478" s="5" t="b">
        <v>0</v>
      </c>
      <c r="E478" s="5">
        <v>5</v>
      </c>
      <c r="F478" s="5">
        <v>1</v>
      </c>
      <c r="G478" s="5">
        <v>0.08</v>
      </c>
      <c r="H478" s="5">
        <v>7.5800000000000006E-2</v>
      </c>
      <c r="I478" s="5">
        <v>0.38</v>
      </c>
      <c r="J478" s="5">
        <v>0.28360000000000002</v>
      </c>
      <c r="K478" s="5">
        <v>0</v>
      </c>
      <c r="L478" s="5">
        <v>41</v>
      </c>
      <c r="M478" s="5">
        <v>41</v>
      </c>
    </row>
    <row r="479" spans="1:13">
      <c r="A479" s="5">
        <v>478</v>
      </c>
      <c r="B479" s="6">
        <v>40564</v>
      </c>
      <c r="C479" s="5">
        <v>22</v>
      </c>
      <c r="D479" s="5" t="b">
        <v>0</v>
      </c>
      <c r="E479" s="5">
        <v>5</v>
      </c>
      <c r="F479" s="5">
        <v>1</v>
      </c>
      <c r="G479" s="5">
        <v>0.06</v>
      </c>
      <c r="H479" s="5">
        <v>3.0300000000000001E-2</v>
      </c>
      <c r="I479" s="5">
        <v>0.41</v>
      </c>
      <c r="J479" s="5">
        <v>0.3881</v>
      </c>
      <c r="K479" s="5">
        <v>1</v>
      </c>
      <c r="L479" s="5">
        <v>33</v>
      </c>
      <c r="M479" s="5">
        <v>34</v>
      </c>
    </row>
    <row r="480" spans="1:13">
      <c r="A480" s="5">
        <v>479</v>
      </c>
      <c r="B480" s="6">
        <v>40564</v>
      </c>
      <c r="C480" s="5">
        <v>23</v>
      </c>
      <c r="D480" s="5" t="b">
        <v>0</v>
      </c>
      <c r="E480" s="5">
        <v>5</v>
      </c>
      <c r="F480" s="5">
        <v>1</v>
      </c>
      <c r="G480" s="5">
        <v>0.06</v>
      </c>
      <c r="H480" s="5">
        <v>4.5499999999999999E-2</v>
      </c>
      <c r="I480" s="5">
        <v>0.38</v>
      </c>
      <c r="J480" s="5">
        <v>0.32840000000000003</v>
      </c>
      <c r="K480" s="5">
        <v>0</v>
      </c>
      <c r="L480" s="5">
        <v>27</v>
      </c>
      <c r="M480" s="5">
        <v>27</v>
      </c>
    </row>
    <row r="481" spans="1:13">
      <c r="A481" s="5">
        <v>480</v>
      </c>
      <c r="B481" s="6">
        <v>40565</v>
      </c>
      <c r="C481" s="5">
        <v>0</v>
      </c>
      <c r="D481" s="5" t="b">
        <v>0</v>
      </c>
      <c r="E481" s="5">
        <v>6</v>
      </c>
      <c r="F481" s="5">
        <v>1</v>
      </c>
      <c r="G481" s="5">
        <v>0.04</v>
      </c>
      <c r="H481" s="5">
        <v>3.0300000000000001E-2</v>
      </c>
      <c r="I481" s="5">
        <v>0.45</v>
      </c>
      <c r="J481" s="5">
        <v>0.25369999999999998</v>
      </c>
      <c r="K481" s="5">
        <v>0</v>
      </c>
      <c r="L481" s="5">
        <v>13</v>
      </c>
      <c r="M481" s="5">
        <v>13</v>
      </c>
    </row>
    <row r="482" spans="1:13">
      <c r="A482" s="5">
        <v>481</v>
      </c>
      <c r="B482" s="6">
        <v>40565</v>
      </c>
      <c r="C482" s="5">
        <v>1</v>
      </c>
      <c r="D482" s="5" t="b">
        <v>0</v>
      </c>
      <c r="E482" s="5">
        <v>6</v>
      </c>
      <c r="F482" s="5">
        <v>2</v>
      </c>
      <c r="G482" s="5">
        <v>0.04</v>
      </c>
      <c r="H482" s="5">
        <v>0</v>
      </c>
      <c r="I482" s="5">
        <v>0.41</v>
      </c>
      <c r="J482" s="5">
        <v>0.3881</v>
      </c>
      <c r="K482" s="5">
        <v>3</v>
      </c>
      <c r="L482" s="5">
        <v>9</v>
      </c>
      <c r="M482" s="5">
        <v>12</v>
      </c>
    </row>
    <row r="483" spans="1:13">
      <c r="A483" s="5">
        <v>482</v>
      </c>
      <c r="B483" s="6">
        <v>40565</v>
      </c>
      <c r="C483" s="5">
        <v>2</v>
      </c>
      <c r="D483" s="5" t="b">
        <v>0</v>
      </c>
      <c r="E483" s="5">
        <v>6</v>
      </c>
      <c r="F483" s="5">
        <v>2</v>
      </c>
      <c r="G483" s="5">
        <v>0.04</v>
      </c>
      <c r="H483" s="5">
        <v>3.0300000000000001E-2</v>
      </c>
      <c r="I483" s="5">
        <v>0.41</v>
      </c>
      <c r="J483" s="5">
        <v>0.25369999999999998</v>
      </c>
      <c r="K483" s="5">
        <v>0</v>
      </c>
      <c r="L483" s="5">
        <v>11</v>
      </c>
      <c r="M483" s="5">
        <v>11</v>
      </c>
    </row>
    <row r="484" spans="1:13">
      <c r="A484" s="5">
        <v>483</v>
      </c>
      <c r="B484" s="6">
        <v>40565</v>
      </c>
      <c r="C484" s="5">
        <v>3</v>
      </c>
      <c r="D484" s="5" t="b">
        <v>0</v>
      </c>
      <c r="E484" s="5">
        <v>6</v>
      </c>
      <c r="F484" s="5">
        <v>2</v>
      </c>
      <c r="G484" s="5">
        <v>0.04</v>
      </c>
      <c r="H484" s="5">
        <v>3.0300000000000001E-2</v>
      </c>
      <c r="I484" s="5">
        <v>0.41</v>
      </c>
      <c r="J484" s="5">
        <v>0.28360000000000002</v>
      </c>
      <c r="K484" s="5">
        <v>1</v>
      </c>
      <c r="L484" s="5">
        <v>6</v>
      </c>
      <c r="M484" s="5">
        <v>7</v>
      </c>
    </row>
    <row r="485" spans="1:13">
      <c r="A485" s="5">
        <v>484</v>
      </c>
      <c r="B485" s="6">
        <v>40565</v>
      </c>
      <c r="C485" s="5">
        <v>4</v>
      </c>
      <c r="D485" s="5" t="b">
        <v>0</v>
      </c>
      <c r="E485" s="5">
        <v>6</v>
      </c>
      <c r="F485" s="5">
        <v>2</v>
      </c>
      <c r="G485" s="5">
        <v>0.02</v>
      </c>
      <c r="H485" s="5">
        <v>1.52E-2</v>
      </c>
      <c r="I485" s="5">
        <v>0.48</v>
      </c>
      <c r="J485" s="5">
        <v>0.29849999999999999</v>
      </c>
      <c r="K485" s="5">
        <v>0</v>
      </c>
      <c r="L485" s="5">
        <v>3</v>
      </c>
      <c r="M485" s="5">
        <v>3</v>
      </c>
    </row>
    <row r="486" spans="1:13">
      <c r="A486" s="5">
        <v>485</v>
      </c>
      <c r="B486" s="6">
        <v>40565</v>
      </c>
      <c r="C486" s="5">
        <v>6</v>
      </c>
      <c r="D486" s="5" t="b">
        <v>0</v>
      </c>
      <c r="E486" s="5">
        <v>6</v>
      </c>
      <c r="F486" s="5">
        <v>2</v>
      </c>
      <c r="G486" s="5">
        <v>0.02</v>
      </c>
      <c r="H486" s="5">
        <v>3.0300000000000001E-2</v>
      </c>
      <c r="I486" s="5">
        <v>0.44</v>
      </c>
      <c r="J486" s="5">
        <v>0.22389999999999999</v>
      </c>
      <c r="K486" s="5">
        <v>0</v>
      </c>
      <c r="L486" s="5">
        <v>2</v>
      </c>
      <c r="M486" s="5">
        <v>2</v>
      </c>
    </row>
    <row r="487" spans="1:13">
      <c r="A487" s="5">
        <v>486</v>
      </c>
      <c r="B487" s="6">
        <v>40565</v>
      </c>
      <c r="C487" s="5">
        <v>7</v>
      </c>
      <c r="D487" s="5" t="b">
        <v>0</v>
      </c>
      <c r="E487" s="5">
        <v>6</v>
      </c>
      <c r="F487" s="5">
        <v>1</v>
      </c>
      <c r="G487" s="5">
        <v>0.02</v>
      </c>
      <c r="H487" s="5">
        <v>1.52E-2</v>
      </c>
      <c r="I487" s="5">
        <v>0.44</v>
      </c>
      <c r="J487" s="5">
        <v>0.28360000000000002</v>
      </c>
      <c r="K487" s="5">
        <v>0</v>
      </c>
      <c r="L487" s="5">
        <v>8</v>
      </c>
      <c r="M487" s="5">
        <v>8</v>
      </c>
    </row>
    <row r="488" spans="1:13">
      <c r="A488" s="5">
        <v>487</v>
      </c>
      <c r="B488" s="6">
        <v>40565</v>
      </c>
      <c r="C488" s="5">
        <v>8</v>
      </c>
      <c r="D488" s="5" t="b">
        <v>0</v>
      </c>
      <c r="E488" s="5">
        <v>6</v>
      </c>
      <c r="F488" s="5">
        <v>1</v>
      </c>
      <c r="G488" s="5">
        <v>0.02</v>
      </c>
      <c r="H488" s="5">
        <v>0</v>
      </c>
      <c r="I488" s="5">
        <v>0.44</v>
      </c>
      <c r="J488" s="5">
        <v>0.32840000000000003</v>
      </c>
      <c r="K488" s="5">
        <v>1</v>
      </c>
      <c r="L488" s="5">
        <v>26</v>
      </c>
      <c r="M488" s="5">
        <v>27</v>
      </c>
    </row>
    <row r="489" spans="1:13">
      <c r="A489" s="5">
        <v>488</v>
      </c>
      <c r="B489" s="6">
        <v>40565</v>
      </c>
      <c r="C489" s="5">
        <v>9</v>
      </c>
      <c r="D489" s="5" t="b">
        <v>0</v>
      </c>
      <c r="E489" s="5">
        <v>6</v>
      </c>
      <c r="F489" s="5">
        <v>1</v>
      </c>
      <c r="G489" s="5">
        <v>0.04</v>
      </c>
      <c r="H489" s="5">
        <v>3.0300000000000001E-2</v>
      </c>
      <c r="I489" s="5">
        <v>0.41</v>
      </c>
      <c r="J489" s="5">
        <v>0.25369999999999998</v>
      </c>
      <c r="K489" s="5">
        <v>3</v>
      </c>
      <c r="L489" s="5">
        <v>37</v>
      </c>
      <c r="M489" s="5">
        <v>40</v>
      </c>
    </row>
    <row r="490" spans="1:13">
      <c r="A490" s="5">
        <v>489</v>
      </c>
      <c r="B490" s="6">
        <v>40565</v>
      </c>
      <c r="C490" s="5">
        <v>10</v>
      </c>
      <c r="D490" s="5" t="b">
        <v>0</v>
      </c>
      <c r="E490" s="5">
        <v>6</v>
      </c>
      <c r="F490" s="5">
        <v>2</v>
      </c>
      <c r="G490" s="5">
        <v>0.04</v>
      </c>
      <c r="H490" s="5">
        <v>6.0600000000000001E-2</v>
      </c>
      <c r="I490" s="5">
        <v>0.41</v>
      </c>
      <c r="J490" s="5">
        <v>0.16420000000000001</v>
      </c>
      <c r="K490" s="5">
        <v>3</v>
      </c>
      <c r="L490" s="5">
        <v>50</v>
      </c>
      <c r="M490" s="5">
        <v>53</v>
      </c>
    </row>
    <row r="491" spans="1:13">
      <c r="A491" s="5">
        <v>490</v>
      </c>
      <c r="B491" s="6">
        <v>40565</v>
      </c>
      <c r="C491" s="5">
        <v>11</v>
      </c>
      <c r="D491" s="5" t="b">
        <v>0</v>
      </c>
      <c r="E491" s="5">
        <v>6</v>
      </c>
      <c r="F491" s="5">
        <v>2</v>
      </c>
      <c r="G491" s="5">
        <v>0.06</v>
      </c>
      <c r="H491" s="5">
        <v>7.5800000000000006E-2</v>
      </c>
      <c r="I491" s="5">
        <v>0.38</v>
      </c>
      <c r="J491" s="5">
        <v>0.1343</v>
      </c>
      <c r="K491" s="5">
        <v>4</v>
      </c>
      <c r="L491" s="5">
        <v>59</v>
      </c>
      <c r="M491" s="5">
        <v>63</v>
      </c>
    </row>
    <row r="492" spans="1:13">
      <c r="A492" s="5">
        <v>491</v>
      </c>
      <c r="B492" s="6">
        <v>40565</v>
      </c>
      <c r="C492" s="5">
        <v>12</v>
      </c>
      <c r="D492" s="5" t="b">
        <v>0</v>
      </c>
      <c r="E492" s="5">
        <v>6</v>
      </c>
      <c r="F492" s="5">
        <v>2</v>
      </c>
      <c r="G492" s="5">
        <v>0.06</v>
      </c>
      <c r="H492" s="5">
        <v>0.1061</v>
      </c>
      <c r="I492" s="5">
        <v>0.38</v>
      </c>
      <c r="J492" s="5">
        <v>0.1045</v>
      </c>
      <c r="K492" s="5">
        <v>10</v>
      </c>
      <c r="L492" s="5">
        <v>60</v>
      </c>
      <c r="M492" s="5">
        <v>70</v>
      </c>
    </row>
    <row r="493" spans="1:13">
      <c r="A493" s="5">
        <v>492</v>
      </c>
      <c r="B493" s="6">
        <v>40565</v>
      </c>
      <c r="C493" s="5">
        <v>13</v>
      </c>
      <c r="D493" s="5" t="b">
        <v>0</v>
      </c>
      <c r="E493" s="5">
        <v>6</v>
      </c>
      <c r="F493" s="5">
        <v>1</v>
      </c>
      <c r="G493" s="5">
        <v>0.08</v>
      </c>
      <c r="H493" s="5">
        <v>0.16669999999999999</v>
      </c>
      <c r="I493" s="5">
        <v>0.35</v>
      </c>
      <c r="J493" s="5">
        <v>0</v>
      </c>
      <c r="K493" s="5">
        <v>12</v>
      </c>
      <c r="L493" s="5">
        <v>72</v>
      </c>
      <c r="M493" s="5">
        <v>84</v>
      </c>
    </row>
    <row r="494" spans="1:13">
      <c r="A494" s="5">
        <v>493</v>
      </c>
      <c r="B494" s="6">
        <v>40565</v>
      </c>
      <c r="C494" s="5">
        <v>14</v>
      </c>
      <c r="D494" s="5" t="b">
        <v>0</v>
      </c>
      <c r="E494" s="5">
        <v>6</v>
      </c>
      <c r="F494" s="5">
        <v>1</v>
      </c>
      <c r="G494" s="5">
        <v>0.1</v>
      </c>
      <c r="H494" s="5">
        <v>0.13639999999999999</v>
      </c>
      <c r="I494" s="5">
        <v>0.33</v>
      </c>
      <c r="J494" s="5">
        <v>0.1045</v>
      </c>
      <c r="K494" s="5">
        <v>11</v>
      </c>
      <c r="L494" s="5">
        <v>64</v>
      </c>
      <c r="M494" s="5">
        <v>75</v>
      </c>
    </row>
    <row r="495" spans="1:13">
      <c r="A495" s="5">
        <v>494</v>
      </c>
      <c r="B495" s="6">
        <v>40565</v>
      </c>
      <c r="C495" s="5">
        <v>15</v>
      </c>
      <c r="D495" s="5" t="b">
        <v>0</v>
      </c>
      <c r="E495" s="5">
        <v>6</v>
      </c>
      <c r="F495" s="5">
        <v>1</v>
      </c>
      <c r="G495" s="5">
        <v>0.12</v>
      </c>
      <c r="H495" s="5">
        <v>0.1515</v>
      </c>
      <c r="I495" s="5">
        <v>0.28000000000000003</v>
      </c>
      <c r="J495" s="5">
        <v>0</v>
      </c>
      <c r="K495" s="5">
        <v>10</v>
      </c>
      <c r="L495" s="5">
        <v>93</v>
      </c>
      <c r="M495" s="5">
        <v>103</v>
      </c>
    </row>
    <row r="496" spans="1:13">
      <c r="A496" s="5">
        <v>495</v>
      </c>
      <c r="B496" s="6">
        <v>40565</v>
      </c>
      <c r="C496" s="5">
        <v>16</v>
      </c>
      <c r="D496" s="5" t="b">
        <v>0</v>
      </c>
      <c r="E496" s="5">
        <v>6</v>
      </c>
      <c r="F496" s="5">
        <v>1</v>
      </c>
      <c r="G496" s="5">
        <v>0.12</v>
      </c>
      <c r="H496" s="5">
        <v>0.13639999999999999</v>
      </c>
      <c r="I496" s="5">
        <v>0.28000000000000003</v>
      </c>
      <c r="J496" s="5">
        <v>0.19400000000000001</v>
      </c>
      <c r="K496" s="5">
        <v>11</v>
      </c>
      <c r="L496" s="5">
        <v>72</v>
      </c>
      <c r="M496" s="5">
        <v>83</v>
      </c>
    </row>
    <row r="497" spans="1:13">
      <c r="A497" s="5">
        <v>496</v>
      </c>
      <c r="B497" s="6">
        <v>40565</v>
      </c>
      <c r="C497" s="5">
        <v>17</v>
      </c>
      <c r="D497" s="5" t="b">
        <v>0</v>
      </c>
      <c r="E497" s="5">
        <v>6</v>
      </c>
      <c r="F497" s="5">
        <v>1</v>
      </c>
      <c r="G497" s="5">
        <v>0.12</v>
      </c>
      <c r="H497" s="5">
        <v>0.19700000000000001</v>
      </c>
      <c r="I497" s="5">
        <v>0.28000000000000003</v>
      </c>
      <c r="J497" s="5">
        <v>0</v>
      </c>
      <c r="K497" s="5">
        <v>8</v>
      </c>
      <c r="L497" s="5">
        <v>59</v>
      </c>
      <c r="M497" s="5">
        <v>67</v>
      </c>
    </row>
    <row r="498" spans="1:13">
      <c r="A498" s="5">
        <v>497</v>
      </c>
      <c r="B498" s="6">
        <v>40565</v>
      </c>
      <c r="C498" s="5">
        <v>18</v>
      </c>
      <c r="D498" s="5" t="b">
        <v>0</v>
      </c>
      <c r="E498" s="5">
        <v>6</v>
      </c>
      <c r="F498" s="5">
        <v>1</v>
      </c>
      <c r="G498" s="5">
        <v>0.08</v>
      </c>
      <c r="H498" s="5">
        <v>9.0899999999999995E-2</v>
      </c>
      <c r="I498" s="5">
        <v>0.35</v>
      </c>
      <c r="J498" s="5">
        <v>0.19400000000000001</v>
      </c>
      <c r="K498" s="5">
        <v>0</v>
      </c>
      <c r="L498" s="5">
        <v>54</v>
      </c>
      <c r="M498" s="5">
        <v>54</v>
      </c>
    </row>
    <row r="499" spans="1:13">
      <c r="A499" s="5">
        <v>498</v>
      </c>
      <c r="B499" s="6">
        <v>40565</v>
      </c>
      <c r="C499" s="5">
        <v>19</v>
      </c>
      <c r="D499" s="5" t="b">
        <v>0</v>
      </c>
      <c r="E499" s="5">
        <v>6</v>
      </c>
      <c r="F499" s="5">
        <v>1</v>
      </c>
      <c r="G499" s="5">
        <v>0.08</v>
      </c>
      <c r="H499" s="5">
        <v>0.1061</v>
      </c>
      <c r="I499" s="5">
        <v>0.35</v>
      </c>
      <c r="J499" s="5">
        <v>0.1343</v>
      </c>
      <c r="K499" s="5">
        <v>6</v>
      </c>
      <c r="L499" s="5">
        <v>53</v>
      </c>
      <c r="M499" s="5">
        <v>59</v>
      </c>
    </row>
    <row r="500" spans="1:13">
      <c r="A500" s="5">
        <v>499</v>
      </c>
      <c r="B500" s="6">
        <v>40565</v>
      </c>
      <c r="C500" s="5">
        <v>20</v>
      </c>
      <c r="D500" s="5" t="b">
        <v>0</v>
      </c>
      <c r="E500" s="5">
        <v>6</v>
      </c>
      <c r="F500" s="5">
        <v>1</v>
      </c>
      <c r="G500" s="5">
        <v>0.06</v>
      </c>
      <c r="H500" s="5">
        <v>7.5800000000000006E-2</v>
      </c>
      <c r="I500" s="5">
        <v>0.45</v>
      </c>
      <c r="J500" s="5">
        <v>0.16420000000000001</v>
      </c>
      <c r="K500" s="5">
        <v>1</v>
      </c>
      <c r="L500" s="5">
        <v>44</v>
      </c>
      <c r="M500" s="5">
        <v>45</v>
      </c>
    </row>
    <row r="501" spans="1:13">
      <c r="A501" s="5">
        <v>500</v>
      </c>
      <c r="B501" s="6">
        <v>40565</v>
      </c>
      <c r="C501" s="5">
        <v>21</v>
      </c>
      <c r="D501" s="5" t="b">
        <v>0</v>
      </c>
      <c r="E501" s="5">
        <v>6</v>
      </c>
      <c r="F501" s="5">
        <v>1</v>
      </c>
      <c r="G501" s="5">
        <v>0.06</v>
      </c>
      <c r="H501" s="5">
        <v>0.1061</v>
      </c>
      <c r="I501" s="5">
        <v>0.41</v>
      </c>
      <c r="J501" s="5">
        <v>8.9599999999999999E-2</v>
      </c>
      <c r="K501" s="5">
        <v>0</v>
      </c>
      <c r="L501" s="5">
        <v>39</v>
      </c>
      <c r="M501" s="5">
        <v>39</v>
      </c>
    </row>
    <row r="502" spans="1:13">
      <c r="A502" s="5">
        <v>501</v>
      </c>
      <c r="B502" s="6">
        <v>40565</v>
      </c>
      <c r="C502" s="5">
        <v>22</v>
      </c>
      <c r="D502" s="5" t="b">
        <v>0</v>
      </c>
      <c r="E502" s="5">
        <v>6</v>
      </c>
      <c r="F502" s="5">
        <v>1</v>
      </c>
      <c r="G502" s="5">
        <v>0.06</v>
      </c>
      <c r="H502" s="5">
        <v>0.1515</v>
      </c>
      <c r="I502" s="5">
        <v>0.49</v>
      </c>
      <c r="J502" s="5">
        <v>0</v>
      </c>
      <c r="K502" s="5">
        <v>7</v>
      </c>
      <c r="L502" s="5">
        <v>23</v>
      </c>
      <c r="M502" s="5">
        <v>30</v>
      </c>
    </row>
    <row r="503" spans="1:13">
      <c r="A503" s="5">
        <v>502</v>
      </c>
      <c r="B503" s="6">
        <v>40565</v>
      </c>
      <c r="C503" s="5">
        <v>23</v>
      </c>
      <c r="D503" s="5" t="b">
        <v>0</v>
      </c>
      <c r="E503" s="5">
        <v>6</v>
      </c>
      <c r="F503" s="5">
        <v>1</v>
      </c>
      <c r="G503" s="5">
        <v>0.04</v>
      </c>
      <c r="H503" s="5">
        <v>7.5800000000000006E-2</v>
      </c>
      <c r="I503" s="5">
        <v>0.56999999999999995</v>
      </c>
      <c r="J503" s="5">
        <v>0.1045</v>
      </c>
      <c r="K503" s="5">
        <v>2</v>
      </c>
      <c r="L503" s="5">
        <v>31</v>
      </c>
      <c r="M503" s="5">
        <v>33</v>
      </c>
    </row>
    <row r="504" spans="1:13">
      <c r="A504" s="5">
        <v>503</v>
      </c>
      <c r="B504" s="6">
        <v>40566</v>
      </c>
      <c r="C504" s="5">
        <v>0</v>
      </c>
      <c r="D504" s="5" t="b">
        <v>0</v>
      </c>
      <c r="E504" s="5">
        <v>0</v>
      </c>
      <c r="F504" s="5">
        <v>1</v>
      </c>
      <c r="G504" s="5">
        <v>0.04</v>
      </c>
      <c r="H504" s="5">
        <v>7.5800000000000006E-2</v>
      </c>
      <c r="I504" s="5">
        <v>0.56999999999999995</v>
      </c>
      <c r="J504" s="5">
        <v>0.1045</v>
      </c>
      <c r="K504" s="5">
        <v>2</v>
      </c>
      <c r="L504" s="5">
        <v>20</v>
      </c>
      <c r="M504" s="5">
        <v>22</v>
      </c>
    </row>
    <row r="505" spans="1:13">
      <c r="A505" s="5">
        <v>504</v>
      </c>
      <c r="B505" s="6">
        <v>40566</v>
      </c>
      <c r="C505" s="5">
        <v>1</v>
      </c>
      <c r="D505" s="5" t="b">
        <v>0</v>
      </c>
      <c r="E505" s="5">
        <v>0</v>
      </c>
      <c r="F505" s="5">
        <v>1</v>
      </c>
      <c r="G505" s="5">
        <v>0.04</v>
      </c>
      <c r="H505" s="5">
        <v>7.5800000000000006E-2</v>
      </c>
      <c r="I505" s="5">
        <v>0.56999999999999995</v>
      </c>
      <c r="J505" s="5">
        <v>0.1045</v>
      </c>
      <c r="K505" s="5">
        <v>1</v>
      </c>
      <c r="L505" s="5">
        <v>12</v>
      </c>
      <c r="M505" s="5">
        <v>13</v>
      </c>
    </row>
    <row r="506" spans="1:13">
      <c r="A506" s="5">
        <v>505</v>
      </c>
      <c r="B506" s="6">
        <v>40566</v>
      </c>
      <c r="C506" s="5">
        <v>2</v>
      </c>
      <c r="D506" s="5" t="b">
        <v>0</v>
      </c>
      <c r="E506" s="5">
        <v>0</v>
      </c>
      <c r="F506" s="5">
        <v>1</v>
      </c>
      <c r="G506" s="5">
        <v>0.02</v>
      </c>
      <c r="H506" s="5">
        <v>6.0600000000000001E-2</v>
      </c>
      <c r="I506" s="5">
        <v>0.62</v>
      </c>
      <c r="J506" s="5">
        <v>0.1343</v>
      </c>
      <c r="K506" s="5">
        <v>3</v>
      </c>
      <c r="L506" s="5">
        <v>15</v>
      </c>
      <c r="M506" s="5">
        <v>18</v>
      </c>
    </row>
    <row r="507" spans="1:13">
      <c r="A507" s="5">
        <v>506</v>
      </c>
      <c r="B507" s="6">
        <v>40566</v>
      </c>
      <c r="C507" s="5">
        <v>3</v>
      </c>
      <c r="D507" s="5" t="b">
        <v>0</v>
      </c>
      <c r="E507" s="5">
        <v>0</v>
      </c>
      <c r="F507" s="5">
        <v>1</v>
      </c>
      <c r="G507" s="5">
        <v>0.02</v>
      </c>
      <c r="H507" s="5">
        <v>6.0600000000000001E-2</v>
      </c>
      <c r="I507" s="5">
        <v>0.62</v>
      </c>
      <c r="J507" s="5">
        <v>0.1343</v>
      </c>
      <c r="K507" s="5">
        <v>1</v>
      </c>
      <c r="L507" s="5">
        <v>4</v>
      </c>
      <c r="M507" s="5">
        <v>5</v>
      </c>
    </row>
    <row r="508" spans="1:13">
      <c r="A508" s="5">
        <v>507</v>
      </c>
      <c r="B508" s="6">
        <v>40566</v>
      </c>
      <c r="C508" s="5">
        <v>5</v>
      </c>
      <c r="D508" s="5" t="b">
        <v>0</v>
      </c>
      <c r="E508" s="5">
        <v>0</v>
      </c>
      <c r="F508" s="5">
        <v>2</v>
      </c>
      <c r="G508" s="5">
        <v>0.04</v>
      </c>
      <c r="H508" s="5">
        <v>7.5800000000000006E-2</v>
      </c>
      <c r="I508" s="5">
        <v>0.56999999999999995</v>
      </c>
      <c r="J508" s="5">
        <v>0.1045</v>
      </c>
      <c r="K508" s="5">
        <v>0</v>
      </c>
      <c r="L508" s="5">
        <v>3</v>
      </c>
      <c r="M508" s="5">
        <v>3</v>
      </c>
    </row>
    <row r="509" spans="1:13">
      <c r="A509" s="5">
        <v>508</v>
      </c>
      <c r="B509" s="6">
        <v>40566</v>
      </c>
      <c r="C509" s="5">
        <v>6</v>
      </c>
      <c r="D509" s="5" t="b">
        <v>0</v>
      </c>
      <c r="E509" s="5">
        <v>0</v>
      </c>
      <c r="F509" s="5">
        <v>2</v>
      </c>
      <c r="G509" s="5">
        <v>0.04</v>
      </c>
      <c r="H509" s="5">
        <v>7.5800000000000006E-2</v>
      </c>
      <c r="I509" s="5">
        <v>0.56999999999999995</v>
      </c>
      <c r="J509" s="5">
        <v>0.1045</v>
      </c>
      <c r="K509" s="5">
        <v>0</v>
      </c>
      <c r="L509" s="5">
        <v>1</v>
      </c>
      <c r="M509" s="5">
        <v>1</v>
      </c>
    </row>
    <row r="510" spans="1:13">
      <c r="A510" s="5">
        <v>509</v>
      </c>
      <c r="B510" s="6">
        <v>40566</v>
      </c>
      <c r="C510" s="5">
        <v>7</v>
      </c>
      <c r="D510" s="5" t="b">
        <v>0</v>
      </c>
      <c r="E510" s="5">
        <v>0</v>
      </c>
      <c r="F510" s="5">
        <v>1</v>
      </c>
      <c r="G510" s="5">
        <v>0.08</v>
      </c>
      <c r="H510" s="5">
        <v>0.1061</v>
      </c>
      <c r="I510" s="5">
        <v>0.57999999999999996</v>
      </c>
      <c r="J510" s="5">
        <v>0.16420000000000001</v>
      </c>
      <c r="K510" s="5">
        <v>1</v>
      </c>
      <c r="L510" s="5">
        <v>1</v>
      </c>
      <c r="M510" s="5">
        <v>2</v>
      </c>
    </row>
    <row r="511" spans="1:13">
      <c r="A511" s="5">
        <v>510</v>
      </c>
      <c r="B511" s="6">
        <v>40566</v>
      </c>
      <c r="C511" s="5">
        <v>8</v>
      </c>
      <c r="D511" s="5" t="b">
        <v>0</v>
      </c>
      <c r="E511" s="5">
        <v>0</v>
      </c>
      <c r="F511" s="5">
        <v>1</v>
      </c>
      <c r="G511" s="5">
        <v>0.06</v>
      </c>
      <c r="H511" s="5">
        <v>7.5800000000000006E-2</v>
      </c>
      <c r="I511" s="5">
        <v>0.62</v>
      </c>
      <c r="J511" s="5">
        <v>0.16420000000000001</v>
      </c>
      <c r="K511" s="5">
        <v>2</v>
      </c>
      <c r="L511" s="5">
        <v>17</v>
      </c>
      <c r="M511" s="5">
        <v>19</v>
      </c>
    </row>
    <row r="512" spans="1:13">
      <c r="A512" s="5">
        <v>511</v>
      </c>
      <c r="B512" s="6">
        <v>40566</v>
      </c>
      <c r="C512" s="5">
        <v>9</v>
      </c>
      <c r="D512" s="5" t="b">
        <v>0</v>
      </c>
      <c r="E512" s="5">
        <v>0</v>
      </c>
      <c r="F512" s="5">
        <v>1</v>
      </c>
      <c r="G512" s="5">
        <v>0.1</v>
      </c>
      <c r="H512" s="5">
        <v>7.5800000000000006E-2</v>
      </c>
      <c r="I512" s="5">
        <v>0.54</v>
      </c>
      <c r="J512" s="5">
        <v>0.35820000000000002</v>
      </c>
      <c r="K512" s="5">
        <v>3</v>
      </c>
      <c r="L512" s="5">
        <v>25</v>
      </c>
      <c r="M512" s="5">
        <v>28</v>
      </c>
    </row>
    <row r="513" spans="1:13">
      <c r="A513" s="5">
        <v>512</v>
      </c>
      <c r="B513" s="6">
        <v>40566</v>
      </c>
      <c r="C513" s="5">
        <v>10</v>
      </c>
      <c r="D513" s="5" t="b">
        <v>0</v>
      </c>
      <c r="E513" s="5">
        <v>0</v>
      </c>
      <c r="F513" s="5">
        <v>1</v>
      </c>
      <c r="G513" s="5">
        <v>0.14000000000000001</v>
      </c>
      <c r="H513" s="5">
        <v>0.1061</v>
      </c>
      <c r="I513" s="5">
        <v>0.46</v>
      </c>
      <c r="J513" s="5">
        <v>0.3881</v>
      </c>
      <c r="K513" s="5">
        <v>7</v>
      </c>
      <c r="L513" s="5">
        <v>51</v>
      </c>
      <c r="M513" s="5">
        <v>58</v>
      </c>
    </row>
    <row r="514" spans="1:13">
      <c r="A514" s="5">
        <v>513</v>
      </c>
      <c r="B514" s="6">
        <v>40566</v>
      </c>
      <c r="C514" s="5">
        <v>11</v>
      </c>
      <c r="D514" s="5" t="b">
        <v>0</v>
      </c>
      <c r="E514" s="5">
        <v>0</v>
      </c>
      <c r="F514" s="5">
        <v>1</v>
      </c>
      <c r="G514" s="5">
        <v>0.14000000000000001</v>
      </c>
      <c r="H514" s="5">
        <v>0.13639999999999999</v>
      </c>
      <c r="I514" s="5">
        <v>0.43</v>
      </c>
      <c r="J514" s="5">
        <v>0.22389999999999999</v>
      </c>
      <c r="K514" s="5">
        <v>22</v>
      </c>
      <c r="L514" s="5">
        <v>77</v>
      </c>
      <c r="M514" s="5">
        <v>99</v>
      </c>
    </row>
    <row r="515" spans="1:13">
      <c r="A515" s="5">
        <v>514</v>
      </c>
      <c r="B515" s="6">
        <v>40566</v>
      </c>
      <c r="C515" s="5">
        <v>12</v>
      </c>
      <c r="D515" s="5" t="b">
        <v>0</v>
      </c>
      <c r="E515" s="5">
        <v>0</v>
      </c>
      <c r="F515" s="5">
        <v>1</v>
      </c>
      <c r="G515" s="5">
        <v>0.16</v>
      </c>
      <c r="H515" s="5">
        <v>0.1212</v>
      </c>
      <c r="I515" s="5">
        <v>0.37</v>
      </c>
      <c r="J515" s="5">
        <v>0.4627</v>
      </c>
      <c r="K515" s="5">
        <v>24</v>
      </c>
      <c r="L515" s="5">
        <v>92</v>
      </c>
      <c r="M515" s="5">
        <v>116</v>
      </c>
    </row>
    <row r="516" spans="1:13">
      <c r="A516" s="5">
        <v>515</v>
      </c>
      <c r="B516" s="6">
        <v>40566</v>
      </c>
      <c r="C516" s="5">
        <v>13</v>
      </c>
      <c r="D516" s="5" t="b">
        <v>0</v>
      </c>
      <c r="E516" s="5">
        <v>0</v>
      </c>
      <c r="F516" s="5">
        <v>1</v>
      </c>
      <c r="G516" s="5">
        <v>0.14000000000000001</v>
      </c>
      <c r="H516" s="5">
        <v>0.1061</v>
      </c>
      <c r="I516" s="5">
        <v>0.33</v>
      </c>
      <c r="J516" s="5">
        <v>0.3881</v>
      </c>
      <c r="K516" s="5">
        <v>12</v>
      </c>
      <c r="L516" s="5">
        <v>75</v>
      </c>
      <c r="M516" s="5">
        <v>87</v>
      </c>
    </row>
    <row r="517" spans="1:13">
      <c r="A517" s="5">
        <v>516</v>
      </c>
      <c r="B517" s="6">
        <v>40566</v>
      </c>
      <c r="C517" s="5">
        <v>14</v>
      </c>
      <c r="D517" s="5" t="b">
        <v>0</v>
      </c>
      <c r="E517" s="5">
        <v>0</v>
      </c>
      <c r="F517" s="5">
        <v>1</v>
      </c>
      <c r="G517" s="5">
        <v>0.16</v>
      </c>
      <c r="H517" s="5">
        <v>0.13639999999999999</v>
      </c>
      <c r="I517" s="5">
        <v>0.28000000000000003</v>
      </c>
      <c r="J517" s="5">
        <v>0.35820000000000002</v>
      </c>
      <c r="K517" s="5">
        <v>17</v>
      </c>
      <c r="L517" s="5">
        <v>93</v>
      </c>
      <c r="M517" s="5">
        <v>110</v>
      </c>
    </row>
    <row r="518" spans="1:13">
      <c r="A518" s="5">
        <v>517</v>
      </c>
      <c r="B518" s="6">
        <v>40566</v>
      </c>
      <c r="C518" s="5">
        <v>15</v>
      </c>
      <c r="D518" s="5" t="b">
        <v>0</v>
      </c>
      <c r="E518" s="5">
        <v>0</v>
      </c>
      <c r="F518" s="5">
        <v>1</v>
      </c>
      <c r="G518" s="5">
        <v>0.16</v>
      </c>
      <c r="H518" s="5">
        <v>0.13639999999999999</v>
      </c>
      <c r="I518" s="5">
        <v>0.28000000000000003</v>
      </c>
      <c r="J518" s="5">
        <v>0.35820000000000002</v>
      </c>
      <c r="K518" s="5">
        <v>13</v>
      </c>
      <c r="L518" s="5">
        <v>64</v>
      </c>
      <c r="M518" s="5">
        <v>77</v>
      </c>
    </row>
    <row r="519" spans="1:13">
      <c r="A519" s="5">
        <v>518</v>
      </c>
      <c r="B519" s="6">
        <v>40566</v>
      </c>
      <c r="C519" s="5">
        <v>16</v>
      </c>
      <c r="D519" s="5" t="b">
        <v>0</v>
      </c>
      <c r="E519" s="5">
        <v>0</v>
      </c>
      <c r="F519" s="5">
        <v>1</v>
      </c>
      <c r="G519" s="5">
        <v>0.16</v>
      </c>
      <c r="H519" s="5">
        <v>0.13639999999999999</v>
      </c>
      <c r="I519" s="5">
        <v>0.26</v>
      </c>
      <c r="J519" s="5">
        <v>0.32840000000000003</v>
      </c>
      <c r="K519" s="5">
        <v>9</v>
      </c>
      <c r="L519" s="5">
        <v>56</v>
      </c>
      <c r="M519" s="5">
        <v>65</v>
      </c>
    </row>
    <row r="520" spans="1:13">
      <c r="A520" s="5">
        <v>519</v>
      </c>
      <c r="B520" s="6">
        <v>40566</v>
      </c>
      <c r="C520" s="5">
        <v>17</v>
      </c>
      <c r="D520" s="5" t="b">
        <v>0</v>
      </c>
      <c r="E520" s="5">
        <v>0</v>
      </c>
      <c r="F520" s="5">
        <v>1</v>
      </c>
      <c r="G520" s="5">
        <v>0.14000000000000001</v>
      </c>
      <c r="H520" s="5">
        <v>0.1061</v>
      </c>
      <c r="I520" s="5">
        <v>0.26</v>
      </c>
      <c r="J520" s="5">
        <v>0.3881</v>
      </c>
      <c r="K520" s="5">
        <v>5</v>
      </c>
      <c r="L520" s="5">
        <v>50</v>
      </c>
      <c r="M520" s="5">
        <v>55</v>
      </c>
    </row>
    <row r="521" spans="1:13">
      <c r="A521" s="5">
        <v>520</v>
      </c>
      <c r="B521" s="6">
        <v>40566</v>
      </c>
      <c r="C521" s="5">
        <v>18</v>
      </c>
      <c r="D521" s="5" t="b">
        <v>0</v>
      </c>
      <c r="E521" s="5">
        <v>0</v>
      </c>
      <c r="F521" s="5">
        <v>1</v>
      </c>
      <c r="G521" s="5">
        <v>0.12</v>
      </c>
      <c r="H521" s="5">
        <v>0.1212</v>
      </c>
      <c r="I521" s="5">
        <v>0.3</v>
      </c>
      <c r="J521" s="5">
        <v>0.25369999999999998</v>
      </c>
      <c r="K521" s="5">
        <v>5</v>
      </c>
      <c r="L521" s="5">
        <v>44</v>
      </c>
      <c r="M521" s="5">
        <v>49</v>
      </c>
    </row>
    <row r="522" spans="1:13">
      <c r="A522" s="5">
        <v>521</v>
      </c>
      <c r="B522" s="6">
        <v>40566</v>
      </c>
      <c r="C522" s="5">
        <v>19</v>
      </c>
      <c r="D522" s="5" t="b">
        <v>0</v>
      </c>
      <c r="E522" s="5">
        <v>0</v>
      </c>
      <c r="F522" s="5">
        <v>1</v>
      </c>
      <c r="G522" s="5">
        <v>0.12</v>
      </c>
      <c r="H522" s="5">
        <v>0.1212</v>
      </c>
      <c r="I522" s="5">
        <v>0.3</v>
      </c>
      <c r="J522" s="5">
        <v>0.28360000000000002</v>
      </c>
      <c r="K522" s="5">
        <v>5</v>
      </c>
      <c r="L522" s="5">
        <v>45</v>
      </c>
      <c r="M522" s="5">
        <v>50</v>
      </c>
    </row>
    <row r="523" spans="1:13">
      <c r="A523" s="5">
        <v>522</v>
      </c>
      <c r="B523" s="6">
        <v>40566</v>
      </c>
      <c r="C523" s="5">
        <v>20</v>
      </c>
      <c r="D523" s="5" t="b">
        <v>0</v>
      </c>
      <c r="E523" s="5">
        <v>0</v>
      </c>
      <c r="F523" s="5">
        <v>1</v>
      </c>
      <c r="G523" s="5">
        <v>0.1</v>
      </c>
      <c r="H523" s="5">
        <v>0.1061</v>
      </c>
      <c r="I523" s="5">
        <v>0.36</v>
      </c>
      <c r="J523" s="5">
        <v>0.25369999999999998</v>
      </c>
      <c r="K523" s="5">
        <v>4</v>
      </c>
      <c r="L523" s="5">
        <v>31</v>
      </c>
      <c r="M523" s="5">
        <v>35</v>
      </c>
    </row>
    <row r="524" spans="1:13">
      <c r="A524" s="5">
        <v>523</v>
      </c>
      <c r="B524" s="6">
        <v>40566</v>
      </c>
      <c r="C524" s="5">
        <v>21</v>
      </c>
      <c r="D524" s="5" t="b">
        <v>0</v>
      </c>
      <c r="E524" s="5">
        <v>0</v>
      </c>
      <c r="F524" s="5">
        <v>1</v>
      </c>
      <c r="G524" s="5">
        <v>0.1</v>
      </c>
      <c r="H524" s="5">
        <v>0.1061</v>
      </c>
      <c r="I524" s="5">
        <v>0.36</v>
      </c>
      <c r="J524" s="5">
        <v>0.19400000000000001</v>
      </c>
      <c r="K524" s="5">
        <v>5</v>
      </c>
      <c r="L524" s="5">
        <v>20</v>
      </c>
      <c r="M524" s="5">
        <v>25</v>
      </c>
    </row>
    <row r="525" spans="1:13">
      <c r="A525" s="5">
        <v>524</v>
      </c>
      <c r="B525" s="6">
        <v>40566</v>
      </c>
      <c r="C525" s="5">
        <v>22</v>
      </c>
      <c r="D525" s="5" t="b">
        <v>0</v>
      </c>
      <c r="E525" s="5">
        <v>0</v>
      </c>
      <c r="F525" s="5">
        <v>1</v>
      </c>
      <c r="G525" s="5">
        <v>0.08</v>
      </c>
      <c r="H525" s="5">
        <v>9.0899999999999995E-2</v>
      </c>
      <c r="I525" s="5">
        <v>0.38</v>
      </c>
      <c r="J525" s="5">
        <v>0.19400000000000001</v>
      </c>
      <c r="K525" s="5">
        <v>5</v>
      </c>
      <c r="L525" s="5">
        <v>23</v>
      </c>
      <c r="M525" s="5">
        <v>28</v>
      </c>
    </row>
    <row r="526" spans="1:13">
      <c r="A526" s="5">
        <v>525</v>
      </c>
      <c r="B526" s="6">
        <v>40566</v>
      </c>
      <c r="C526" s="5">
        <v>23</v>
      </c>
      <c r="D526" s="5" t="b">
        <v>0</v>
      </c>
      <c r="E526" s="5">
        <v>0</v>
      </c>
      <c r="F526" s="5">
        <v>1</v>
      </c>
      <c r="G526" s="5">
        <v>0.06</v>
      </c>
      <c r="H526" s="5">
        <v>6.0600000000000001E-2</v>
      </c>
      <c r="I526" s="5">
        <v>0.41</v>
      </c>
      <c r="J526" s="5">
        <v>0.22389999999999999</v>
      </c>
      <c r="K526" s="5">
        <v>4</v>
      </c>
      <c r="L526" s="5">
        <v>17</v>
      </c>
      <c r="M526" s="5">
        <v>21</v>
      </c>
    </row>
    <row r="527" spans="1:13">
      <c r="A527" s="5">
        <v>526</v>
      </c>
      <c r="B527" s="6">
        <v>40567</v>
      </c>
      <c r="C527" s="5">
        <v>0</v>
      </c>
      <c r="D527" s="5" t="b">
        <v>0</v>
      </c>
      <c r="E527" s="5">
        <v>1</v>
      </c>
      <c r="F527" s="5">
        <v>1</v>
      </c>
      <c r="G527" s="5">
        <v>0.06</v>
      </c>
      <c r="H527" s="5">
        <v>6.0600000000000001E-2</v>
      </c>
      <c r="I527" s="5">
        <v>0.41</v>
      </c>
      <c r="J527" s="5">
        <v>0.19400000000000001</v>
      </c>
      <c r="K527" s="5">
        <v>0</v>
      </c>
      <c r="L527" s="5">
        <v>7</v>
      </c>
      <c r="M527" s="5">
        <v>7</v>
      </c>
    </row>
    <row r="528" spans="1:13">
      <c r="A528" s="5">
        <v>527</v>
      </c>
      <c r="B528" s="6">
        <v>40567</v>
      </c>
      <c r="C528" s="5">
        <v>1</v>
      </c>
      <c r="D528" s="5" t="b">
        <v>0</v>
      </c>
      <c r="E528" s="5">
        <v>1</v>
      </c>
      <c r="F528" s="5">
        <v>1</v>
      </c>
      <c r="G528" s="5">
        <v>0.04</v>
      </c>
      <c r="H528" s="5">
        <v>4.5499999999999999E-2</v>
      </c>
      <c r="I528" s="5">
        <v>0.45</v>
      </c>
      <c r="J528" s="5">
        <v>0.19400000000000001</v>
      </c>
      <c r="K528" s="5">
        <v>0</v>
      </c>
      <c r="L528" s="5">
        <v>1</v>
      </c>
      <c r="M528" s="5">
        <v>1</v>
      </c>
    </row>
    <row r="529" spans="1:13">
      <c r="A529" s="5">
        <v>528</v>
      </c>
      <c r="B529" s="6">
        <v>40567</v>
      </c>
      <c r="C529" s="5">
        <v>3</v>
      </c>
      <c r="D529" s="5" t="b">
        <v>0</v>
      </c>
      <c r="E529" s="5">
        <v>1</v>
      </c>
      <c r="F529" s="5">
        <v>1</v>
      </c>
      <c r="G529" s="5">
        <v>0.04</v>
      </c>
      <c r="H529" s="5">
        <v>3.0300000000000001E-2</v>
      </c>
      <c r="I529" s="5">
        <v>0.45</v>
      </c>
      <c r="J529" s="5">
        <v>0.25369999999999998</v>
      </c>
      <c r="K529" s="5">
        <v>0</v>
      </c>
      <c r="L529" s="5">
        <v>1</v>
      </c>
      <c r="M529" s="5">
        <v>1</v>
      </c>
    </row>
    <row r="530" spans="1:13">
      <c r="A530" s="5">
        <v>529</v>
      </c>
      <c r="B530" s="6">
        <v>40567</v>
      </c>
      <c r="C530" s="5">
        <v>4</v>
      </c>
      <c r="D530" s="5" t="b">
        <v>0</v>
      </c>
      <c r="E530" s="5">
        <v>1</v>
      </c>
      <c r="F530" s="5">
        <v>1</v>
      </c>
      <c r="G530" s="5">
        <v>0.02</v>
      </c>
      <c r="H530" s="5">
        <v>6.0600000000000001E-2</v>
      </c>
      <c r="I530" s="5">
        <v>0.48</v>
      </c>
      <c r="J530" s="5">
        <v>0.1343</v>
      </c>
      <c r="K530" s="5">
        <v>0</v>
      </c>
      <c r="L530" s="5">
        <v>1</v>
      </c>
      <c r="M530" s="5">
        <v>1</v>
      </c>
    </row>
    <row r="531" spans="1:13">
      <c r="A531" s="5">
        <v>530</v>
      </c>
      <c r="B531" s="6">
        <v>40567</v>
      </c>
      <c r="C531" s="5">
        <v>5</v>
      </c>
      <c r="D531" s="5" t="b">
        <v>0</v>
      </c>
      <c r="E531" s="5">
        <v>1</v>
      </c>
      <c r="F531" s="5">
        <v>1</v>
      </c>
      <c r="G531" s="5">
        <v>0.02</v>
      </c>
      <c r="H531" s="5">
        <v>6.0600000000000001E-2</v>
      </c>
      <c r="I531" s="5">
        <v>0.48</v>
      </c>
      <c r="J531" s="5">
        <v>0.1343</v>
      </c>
      <c r="K531" s="5">
        <v>0</v>
      </c>
      <c r="L531" s="5">
        <v>5</v>
      </c>
      <c r="M531" s="5">
        <v>5</v>
      </c>
    </row>
    <row r="532" spans="1:13">
      <c r="A532" s="5">
        <v>531</v>
      </c>
      <c r="B532" s="6">
        <v>40567</v>
      </c>
      <c r="C532" s="5">
        <v>6</v>
      </c>
      <c r="D532" s="5" t="b">
        <v>0</v>
      </c>
      <c r="E532" s="5">
        <v>1</v>
      </c>
      <c r="F532" s="5">
        <v>1</v>
      </c>
      <c r="G532" s="5">
        <v>0.02</v>
      </c>
      <c r="H532" s="5">
        <v>7.5800000000000006E-2</v>
      </c>
      <c r="I532" s="5">
        <v>0.48</v>
      </c>
      <c r="J532" s="5">
        <v>8.9599999999999999E-2</v>
      </c>
      <c r="K532" s="5">
        <v>0</v>
      </c>
      <c r="L532" s="5">
        <v>15</v>
      </c>
      <c r="M532" s="5">
        <v>15</v>
      </c>
    </row>
    <row r="533" spans="1:13">
      <c r="A533" s="5">
        <v>532</v>
      </c>
      <c r="B533" s="6">
        <v>40567</v>
      </c>
      <c r="C533" s="5">
        <v>7</v>
      </c>
      <c r="D533" s="5" t="b">
        <v>0</v>
      </c>
      <c r="E533" s="5">
        <v>1</v>
      </c>
      <c r="F533" s="5">
        <v>1</v>
      </c>
      <c r="G533" s="5">
        <v>0.02</v>
      </c>
      <c r="H533" s="5">
        <v>0.1212</v>
      </c>
      <c r="I533" s="5">
        <v>0.48</v>
      </c>
      <c r="J533" s="5">
        <v>0</v>
      </c>
      <c r="K533" s="5">
        <v>5</v>
      </c>
      <c r="L533" s="5">
        <v>79</v>
      </c>
      <c r="M533" s="5">
        <v>84</v>
      </c>
    </row>
    <row r="534" spans="1:13">
      <c r="A534" s="5">
        <v>533</v>
      </c>
      <c r="B534" s="6">
        <v>40567</v>
      </c>
      <c r="C534" s="5">
        <v>8</v>
      </c>
      <c r="D534" s="5" t="b">
        <v>0</v>
      </c>
      <c r="E534" s="5">
        <v>1</v>
      </c>
      <c r="F534" s="5">
        <v>1</v>
      </c>
      <c r="G534" s="5">
        <v>0.04</v>
      </c>
      <c r="H534" s="5">
        <v>0.13639999999999999</v>
      </c>
      <c r="I534" s="5">
        <v>0.49</v>
      </c>
      <c r="J534" s="5">
        <v>0</v>
      </c>
      <c r="K534" s="5">
        <v>6</v>
      </c>
      <c r="L534" s="5">
        <v>171</v>
      </c>
      <c r="M534" s="5">
        <v>177</v>
      </c>
    </row>
    <row r="535" spans="1:13">
      <c r="A535" s="5">
        <v>534</v>
      </c>
      <c r="B535" s="6">
        <v>40567</v>
      </c>
      <c r="C535" s="5">
        <v>9</v>
      </c>
      <c r="D535" s="5" t="b">
        <v>0</v>
      </c>
      <c r="E535" s="5">
        <v>1</v>
      </c>
      <c r="F535" s="5">
        <v>1</v>
      </c>
      <c r="G535" s="5">
        <v>0.06</v>
      </c>
      <c r="H535" s="5">
        <v>0.1515</v>
      </c>
      <c r="I535" s="5">
        <v>0.41</v>
      </c>
      <c r="J535" s="5">
        <v>0</v>
      </c>
      <c r="K535" s="5">
        <v>4</v>
      </c>
      <c r="L535" s="5">
        <v>98</v>
      </c>
      <c r="M535" s="5">
        <v>102</v>
      </c>
    </row>
    <row r="536" spans="1:13">
      <c r="A536" s="5">
        <v>535</v>
      </c>
      <c r="B536" s="6">
        <v>40567</v>
      </c>
      <c r="C536" s="5">
        <v>10</v>
      </c>
      <c r="D536" s="5" t="b">
        <v>0</v>
      </c>
      <c r="E536" s="5">
        <v>1</v>
      </c>
      <c r="F536" s="5">
        <v>1</v>
      </c>
      <c r="G536" s="5">
        <v>0.1</v>
      </c>
      <c r="H536" s="5">
        <v>0.13639999999999999</v>
      </c>
      <c r="I536" s="5">
        <v>0.42</v>
      </c>
      <c r="J536" s="5">
        <v>0</v>
      </c>
      <c r="K536" s="5">
        <v>6</v>
      </c>
      <c r="L536" s="5">
        <v>34</v>
      </c>
      <c r="M536" s="5">
        <v>40</v>
      </c>
    </row>
    <row r="537" spans="1:13">
      <c r="A537" s="5">
        <v>536</v>
      </c>
      <c r="B537" s="6">
        <v>40567</v>
      </c>
      <c r="C537" s="5">
        <v>11</v>
      </c>
      <c r="D537" s="5" t="b">
        <v>0</v>
      </c>
      <c r="E537" s="5">
        <v>1</v>
      </c>
      <c r="F537" s="5">
        <v>1</v>
      </c>
      <c r="G537" s="5">
        <v>0.1</v>
      </c>
      <c r="H537" s="5">
        <v>0.1212</v>
      </c>
      <c r="I537" s="5">
        <v>0.46</v>
      </c>
      <c r="J537" s="5">
        <v>0.1343</v>
      </c>
      <c r="K537" s="5">
        <v>3</v>
      </c>
      <c r="L537" s="5">
        <v>43</v>
      </c>
      <c r="M537" s="5">
        <v>46</v>
      </c>
    </row>
    <row r="538" spans="1:13">
      <c r="A538" s="5">
        <v>537</v>
      </c>
      <c r="B538" s="6">
        <v>40567</v>
      </c>
      <c r="C538" s="5">
        <v>12</v>
      </c>
      <c r="D538" s="5" t="b">
        <v>0</v>
      </c>
      <c r="E538" s="5">
        <v>1</v>
      </c>
      <c r="F538" s="5">
        <v>2</v>
      </c>
      <c r="G538" s="5">
        <v>0.12</v>
      </c>
      <c r="H538" s="5">
        <v>0.13639999999999999</v>
      </c>
      <c r="I538" s="5">
        <v>0.42</v>
      </c>
      <c r="J538" s="5">
        <v>0.19400000000000001</v>
      </c>
      <c r="K538" s="5">
        <v>11</v>
      </c>
      <c r="L538" s="5">
        <v>52</v>
      </c>
      <c r="M538" s="5">
        <v>63</v>
      </c>
    </row>
    <row r="539" spans="1:13">
      <c r="A539" s="5">
        <v>538</v>
      </c>
      <c r="B539" s="6">
        <v>40567</v>
      </c>
      <c r="C539" s="5">
        <v>13</v>
      </c>
      <c r="D539" s="5" t="b">
        <v>0</v>
      </c>
      <c r="E539" s="5">
        <v>1</v>
      </c>
      <c r="F539" s="5">
        <v>2</v>
      </c>
      <c r="G539" s="5">
        <v>0.14000000000000001</v>
      </c>
      <c r="H539" s="5">
        <v>0.13639999999999999</v>
      </c>
      <c r="I539" s="5">
        <v>0.43</v>
      </c>
      <c r="J539" s="5">
        <v>0.22389999999999999</v>
      </c>
      <c r="K539" s="5">
        <v>6</v>
      </c>
      <c r="L539" s="5">
        <v>54</v>
      </c>
      <c r="M539" s="5">
        <v>60</v>
      </c>
    </row>
    <row r="540" spans="1:13">
      <c r="A540" s="5">
        <v>539</v>
      </c>
      <c r="B540" s="6">
        <v>40567</v>
      </c>
      <c r="C540" s="5">
        <v>14</v>
      </c>
      <c r="D540" s="5" t="b">
        <v>0</v>
      </c>
      <c r="E540" s="5">
        <v>1</v>
      </c>
      <c r="F540" s="5">
        <v>2</v>
      </c>
      <c r="G540" s="5">
        <v>0.14000000000000001</v>
      </c>
      <c r="H540" s="5">
        <v>0.13639999999999999</v>
      </c>
      <c r="I540" s="5">
        <v>0.46</v>
      </c>
      <c r="J540" s="5">
        <v>0.22389999999999999</v>
      </c>
      <c r="K540" s="5">
        <v>2</v>
      </c>
      <c r="L540" s="5">
        <v>43</v>
      </c>
      <c r="M540" s="5">
        <v>45</v>
      </c>
    </row>
    <row r="541" spans="1:13">
      <c r="A541" s="5">
        <v>540</v>
      </c>
      <c r="B541" s="6">
        <v>40567</v>
      </c>
      <c r="C541" s="5">
        <v>15</v>
      </c>
      <c r="D541" s="5" t="b">
        <v>0</v>
      </c>
      <c r="E541" s="5">
        <v>1</v>
      </c>
      <c r="F541" s="5">
        <v>1</v>
      </c>
      <c r="G541" s="5">
        <v>0.16</v>
      </c>
      <c r="H541" s="5">
        <v>0.16669999999999999</v>
      </c>
      <c r="I541" s="5">
        <v>0.4</v>
      </c>
      <c r="J541" s="5">
        <v>0.16420000000000001</v>
      </c>
      <c r="K541" s="5">
        <v>7</v>
      </c>
      <c r="L541" s="5">
        <v>50</v>
      </c>
      <c r="M541" s="5">
        <v>57</v>
      </c>
    </row>
    <row r="542" spans="1:13">
      <c r="A542" s="5">
        <v>541</v>
      </c>
      <c r="B542" s="6">
        <v>40567</v>
      </c>
      <c r="C542" s="5">
        <v>16</v>
      </c>
      <c r="D542" s="5" t="b">
        <v>0</v>
      </c>
      <c r="E542" s="5">
        <v>1</v>
      </c>
      <c r="F542" s="5">
        <v>1</v>
      </c>
      <c r="G542" s="5">
        <v>0.16</v>
      </c>
      <c r="H542" s="5">
        <v>0.1515</v>
      </c>
      <c r="I542" s="5">
        <v>0.47</v>
      </c>
      <c r="J542" s="5">
        <v>0.25369999999999998</v>
      </c>
      <c r="K542" s="5">
        <v>4</v>
      </c>
      <c r="L542" s="5">
        <v>66</v>
      </c>
      <c r="M542" s="5">
        <v>70</v>
      </c>
    </row>
    <row r="543" spans="1:13">
      <c r="A543" s="5">
        <v>542</v>
      </c>
      <c r="B543" s="6">
        <v>40567</v>
      </c>
      <c r="C543" s="5">
        <v>17</v>
      </c>
      <c r="D543" s="5" t="b">
        <v>0</v>
      </c>
      <c r="E543" s="5">
        <v>1</v>
      </c>
      <c r="F543" s="5">
        <v>1</v>
      </c>
      <c r="G543" s="5">
        <v>0.14000000000000001</v>
      </c>
      <c r="H543" s="5">
        <v>0.1212</v>
      </c>
      <c r="I543" s="5">
        <v>0.5</v>
      </c>
      <c r="J543" s="5">
        <v>0.25369999999999998</v>
      </c>
      <c r="K543" s="5">
        <v>6</v>
      </c>
      <c r="L543" s="5">
        <v>178</v>
      </c>
      <c r="M543" s="5">
        <v>184</v>
      </c>
    </row>
    <row r="544" spans="1:13">
      <c r="A544" s="5">
        <v>543</v>
      </c>
      <c r="B544" s="6">
        <v>40567</v>
      </c>
      <c r="C544" s="5">
        <v>18</v>
      </c>
      <c r="D544" s="5" t="b">
        <v>0</v>
      </c>
      <c r="E544" s="5">
        <v>1</v>
      </c>
      <c r="F544" s="5">
        <v>1</v>
      </c>
      <c r="G544" s="5">
        <v>0.14000000000000001</v>
      </c>
      <c r="H544" s="5">
        <v>0.13639999999999999</v>
      </c>
      <c r="I544" s="5">
        <v>0.59</v>
      </c>
      <c r="J544" s="5">
        <v>0.19400000000000001</v>
      </c>
      <c r="K544" s="5">
        <v>8</v>
      </c>
      <c r="L544" s="5">
        <v>145</v>
      </c>
      <c r="M544" s="5">
        <v>153</v>
      </c>
    </row>
    <row r="545" spans="1:13">
      <c r="A545" s="5">
        <v>544</v>
      </c>
      <c r="B545" s="6">
        <v>40567</v>
      </c>
      <c r="C545" s="5">
        <v>19</v>
      </c>
      <c r="D545" s="5" t="b">
        <v>0</v>
      </c>
      <c r="E545" s="5">
        <v>1</v>
      </c>
      <c r="F545" s="5">
        <v>1</v>
      </c>
      <c r="G545" s="5">
        <v>0.14000000000000001</v>
      </c>
      <c r="H545" s="5">
        <v>0.1515</v>
      </c>
      <c r="I545" s="5">
        <v>0.54</v>
      </c>
      <c r="J545" s="5">
        <v>0.16420000000000001</v>
      </c>
      <c r="K545" s="5">
        <v>5</v>
      </c>
      <c r="L545" s="5">
        <v>101</v>
      </c>
      <c r="M545" s="5">
        <v>106</v>
      </c>
    </row>
    <row r="546" spans="1:13">
      <c r="A546" s="5">
        <v>545</v>
      </c>
      <c r="B546" s="6">
        <v>40567</v>
      </c>
      <c r="C546" s="5">
        <v>20</v>
      </c>
      <c r="D546" s="5" t="b">
        <v>0</v>
      </c>
      <c r="E546" s="5">
        <v>1</v>
      </c>
      <c r="F546" s="5">
        <v>1</v>
      </c>
      <c r="G546" s="5">
        <v>0.14000000000000001</v>
      </c>
      <c r="H546" s="5">
        <v>0.13639999999999999</v>
      </c>
      <c r="I546" s="5">
        <v>0.59</v>
      </c>
      <c r="J546" s="5">
        <v>0.19400000000000001</v>
      </c>
      <c r="K546" s="5">
        <v>1</v>
      </c>
      <c r="L546" s="5">
        <v>80</v>
      </c>
      <c r="M546" s="5">
        <v>81</v>
      </c>
    </row>
    <row r="547" spans="1:13">
      <c r="A547" s="5">
        <v>546</v>
      </c>
      <c r="B547" s="6">
        <v>40567</v>
      </c>
      <c r="C547" s="5">
        <v>21</v>
      </c>
      <c r="D547" s="5" t="b">
        <v>0</v>
      </c>
      <c r="E547" s="5">
        <v>1</v>
      </c>
      <c r="F547" s="5">
        <v>1</v>
      </c>
      <c r="G547" s="5">
        <v>0.14000000000000001</v>
      </c>
      <c r="H547" s="5">
        <v>0.1515</v>
      </c>
      <c r="I547" s="5">
        <v>0.63</v>
      </c>
      <c r="J547" s="5">
        <v>0.16420000000000001</v>
      </c>
      <c r="K547" s="5">
        <v>6</v>
      </c>
      <c r="L547" s="5">
        <v>53</v>
      </c>
      <c r="M547" s="5">
        <v>59</v>
      </c>
    </row>
    <row r="548" spans="1:13">
      <c r="A548" s="5">
        <v>547</v>
      </c>
      <c r="B548" s="6">
        <v>40567</v>
      </c>
      <c r="C548" s="5">
        <v>22</v>
      </c>
      <c r="D548" s="5" t="b">
        <v>0</v>
      </c>
      <c r="E548" s="5">
        <v>1</v>
      </c>
      <c r="F548" s="5">
        <v>2</v>
      </c>
      <c r="G548" s="5">
        <v>0.14000000000000001</v>
      </c>
      <c r="H548" s="5">
        <v>0.13639999999999999</v>
      </c>
      <c r="I548" s="5">
        <v>0.63</v>
      </c>
      <c r="J548" s="5">
        <v>0.22389999999999999</v>
      </c>
      <c r="K548" s="5">
        <v>3</v>
      </c>
      <c r="L548" s="5">
        <v>32</v>
      </c>
      <c r="M548" s="5">
        <v>35</v>
      </c>
    </row>
    <row r="549" spans="1:13">
      <c r="A549" s="5">
        <v>548</v>
      </c>
      <c r="B549" s="6">
        <v>40567</v>
      </c>
      <c r="C549" s="5">
        <v>23</v>
      </c>
      <c r="D549" s="5" t="b">
        <v>0</v>
      </c>
      <c r="E549" s="5">
        <v>1</v>
      </c>
      <c r="F549" s="5">
        <v>2</v>
      </c>
      <c r="G549" s="5">
        <v>0.16</v>
      </c>
      <c r="H549" s="5">
        <v>0.1515</v>
      </c>
      <c r="I549" s="5">
        <v>0.64</v>
      </c>
      <c r="J549" s="5">
        <v>0.25369999999999998</v>
      </c>
      <c r="K549" s="5">
        <v>3</v>
      </c>
      <c r="L549" s="5">
        <v>21</v>
      </c>
      <c r="M549" s="5">
        <v>24</v>
      </c>
    </row>
    <row r="550" spans="1:13">
      <c r="A550" s="5">
        <v>549</v>
      </c>
      <c r="B550" s="6">
        <v>40568</v>
      </c>
      <c r="C550" s="5">
        <v>0</v>
      </c>
      <c r="D550" s="5" t="b">
        <v>0</v>
      </c>
      <c r="E550" s="5">
        <v>2</v>
      </c>
      <c r="F550" s="5">
        <v>2</v>
      </c>
      <c r="G550" s="5">
        <v>0.16</v>
      </c>
      <c r="H550" s="5">
        <v>0.13639999999999999</v>
      </c>
      <c r="I550" s="5">
        <v>0.69</v>
      </c>
      <c r="J550" s="5">
        <v>0.28360000000000002</v>
      </c>
      <c r="K550" s="5">
        <v>3</v>
      </c>
      <c r="L550" s="5">
        <v>6</v>
      </c>
      <c r="M550" s="5">
        <v>9</v>
      </c>
    </row>
    <row r="551" spans="1:13">
      <c r="A551" s="5">
        <v>550</v>
      </c>
      <c r="B551" s="6">
        <v>40568</v>
      </c>
      <c r="C551" s="5">
        <v>1</v>
      </c>
      <c r="D551" s="5" t="b">
        <v>0</v>
      </c>
      <c r="E551" s="5">
        <v>2</v>
      </c>
      <c r="F551" s="5">
        <v>2</v>
      </c>
      <c r="G551" s="5">
        <v>0.16</v>
      </c>
      <c r="H551" s="5">
        <v>0.16669999999999999</v>
      </c>
      <c r="I551" s="5">
        <v>0.69</v>
      </c>
      <c r="J551" s="5">
        <v>0.16420000000000001</v>
      </c>
      <c r="K551" s="5">
        <v>0</v>
      </c>
      <c r="L551" s="5">
        <v>5</v>
      </c>
      <c r="M551" s="5">
        <v>5</v>
      </c>
    </row>
    <row r="552" spans="1:13">
      <c r="A552" s="5">
        <v>551</v>
      </c>
      <c r="B552" s="6">
        <v>40568</v>
      </c>
      <c r="C552" s="5">
        <v>2</v>
      </c>
      <c r="D552" s="5" t="b">
        <v>0</v>
      </c>
      <c r="E552" s="5">
        <v>2</v>
      </c>
      <c r="F552" s="5">
        <v>1</v>
      </c>
      <c r="G552" s="5">
        <v>0.16</v>
      </c>
      <c r="H552" s="5">
        <v>0.1515</v>
      </c>
      <c r="I552" s="5">
        <v>0.69</v>
      </c>
      <c r="J552" s="5">
        <v>0.22389999999999999</v>
      </c>
      <c r="K552" s="5">
        <v>0</v>
      </c>
      <c r="L552" s="5">
        <v>2</v>
      </c>
      <c r="M552" s="5">
        <v>2</v>
      </c>
    </row>
    <row r="553" spans="1:13">
      <c r="A553" s="5">
        <v>552</v>
      </c>
      <c r="B553" s="6">
        <v>40568</v>
      </c>
      <c r="C553" s="5">
        <v>4</v>
      </c>
      <c r="D553" s="5" t="b">
        <v>0</v>
      </c>
      <c r="E553" s="5">
        <v>2</v>
      </c>
      <c r="F553" s="5">
        <v>1</v>
      </c>
      <c r="G553" s="5">
        <v>0.14000000000000001</v>
      </c>
      <c r="H553" s="5">
        <v>0.16669999999999999</v>
      </c>
      <c r="I553" s="5">
        <v>0.74</v>
      </c>
      <c r="J553" s="5">
        <v>0.1045</v>
      </c>
      <c r="K553" s="5">
        <v>0</v>
      </c>
      <c r="L553" s="5">
        <v>1</v>
      </c>
      <c r="M553" s="5">
        <v>1</v>
      </c>
    </row>
    <row r="554" spans="1:13">
      <c r="A554" s="5">
        <v>553</v>
      </c>
      <c r="B554" s="6">
        <v>40568</v>
      </c>
      <c r="C554" s="5">
        <v>5</v>
      </c>
      <c r="D554" s="5" t="b">
        <v>0</v>
      </c>
      <c r="E554" s="5">
        <v>2</v>
      </c>
      <c r="F554" s="5">
        <v>1</v>
      </c>
      <c r="G554" s="5">
        <v>0.14000000000000001</v>
      </c>
      <c r="H554" s="5">
        <v>0.13639999999999999</v>
      </c>
      <c r="I554" s="5">
        <v>0.74</v>
      </c>
      <c r="J554" s="5">
        <v>0.22389999999999999</v>
      </c>
      <c r="K554" s="5">
        <v>0</v>
      </c>
      <c r="L554" s="5">
        <v>9</v>
      </c>
      <c r="M554" s="5">
        <v>9</v>
      </c>
    </row>
    <row r="555" spans="1:13">
      <c r="A555" s="5">
        <v>554</v>
      </c>
      <c r="B555" s="6">
        <v>40568</v>
      </c>
      <c r="C555" s="5">
        <v>6</v>
      </c>
      <c r="D555" s="5" t="b">
        <v>0</v>
      </c>
      <c r="E555" s="5">
        <v>2</v>
      </c>
      <c r="F555" s="5">
        <v>1</v>
      </c>
      <c r="G555" s="5">
        <v>0.16</v>
      </c>
      <c r="H555" s="5">
        <v>0.18179999999999999</v>
      </c>
      <c r="I555" s="5">
        <v>0.74</v>
      </c>
      <c r="J555" s="5">
        <v>0.1045</v>
      </c>
      <c r="K555" s="5">
        <v>1</v>
      </c>
      <c r="L555" s="5">
        <v>35</v>
      </c>
      <c r="M555" s="5">
        <v>36</v>
      </c>
    </row>
    <row r="556" spans="1:13">
      <c r="A556" s="5">
        <v>555</v>
      </c>
      <c r="B556" s="6">
        <v>40568</v>
      </c>
      <c r="C556" s="5">
        <v>7</v>
      </c>
      <c r="D556" s="5" t="b">
        <v>0</v>
      </c>
      <c r="E556" s="5">
        <v>2</v>
      </c>
      <c r="F556" s="5">
        <v>1</v>
      </c>
      <c r="G556" s="5">
        <v>0.16</v>
      </c>
      <c r="H556" s="5">
        <v>0.1515</v>
      </c>
      <c r="I556" s="5">
        <v>0.74</v>
      </c>
      <c r="J556" s="5">
        <v>0.22389999999999999</v>
      </c>
      <c r="K556" s="5">
        <v>5</v>
      </c>
      <c r="L556" s="5">
        <v>103</v>
      </c>
      <c r="M556" s="5">
        <v>108</v>
      </c>
    </row>
    <row r="557" spans="1:13">
      <c r="A557" s="5">
        <v>556</v>
      </c>
      <c r="B557" s="6">
        <v>40568</v>
      </c>
      <c r="C557" s="5">
        <v>8</v>
      </c>
      <c r="D557" s="5" t="b">
        <v>0</v>
      </c>
      <c r="E557" s="5">
        <v>2</v>
      </c>
      <c r="F557" s="5">
        <v>2</v>
      </c>
      <c r="G557" s="5">
        <v>0.16</v>
      </c>
      <c r="H557" s="5">
        <v>0.18179999999999999</v>
      </c>
      <c r="I557" s="5">
        <v>0.74</v>
      </c>
      <c r="J557" s="5">
        <v>0.1343</v>
      </c>
      <c r="K557" s="5">
        <v>5</v>
      </c>
      <c r="L557" s="5">
        <v>233</v>
      </c>
      <c r="M557" s="5">
        <v>238</v>
      </c>
    </row>
    <row r="558" spans="1:13">
      <c r="A558" s="5">
        <v>557</v>
      </c>
      <c r="B558" s="6">
        <v>40568</v>
      </c>
      <c r="C558" s="5">
        <v>9</v>
      </c>
      <c r="D558" s="5" t="b">
        <v>0</v>
      </c>
      <c r="E558" s="5">
        <v>2</v>
      </c>
      <c r="F558" s="5">
        <v>2</v>
      </c>
      <c r="G558" s="5">
        <v>0.2</v>
      </c>
      <c r="H558" s="5">
        <v>0.2273</v>
      </c>
      <c r="I558" s="5">
        <v>0.64</v>
      </c>
      <c r="J558" s="5">
        <v>8.9599999999999999E-2</v>
      </c>
      <c r="K558" s="5">
        <v>10</v>
      </c>
      <c r="L558" s="5">
        <v>134</v>
      </c>
      <c r="M558" s="5">
        <v>144</v>
      </c>
    </row>
    <row r="559" spans="1:13">
      <c r="A559" s="5">
        <v>558</v>
      </c>
      <c r="B559" s="6">
        <v>40568</v>
      </c>
      <c r="C559" s="5">
        <v>10</v>
      </c>
      <c r="D559" s="5" t="b">
        <v>0</v>
      </c>
      <c r="E559" s="5">
        <v>2</v>
      </c>
      <c r="F559" s="5">
        <v>2</v>
      </c>
      <c r="G559" s="5">
        <v>0.22</v>
      </c>
      <c r="H559" s="5">
        <v>0.2424</v>
      </c>
      <c r="I559" s="5">
        <v>0.6</v>
      </c>
      <c r="J559" s="5">
        <v>0.1045</v>
      </c>
      <c r="K559" s="5">
        <v>6</v>
      </c>
      <c r="L559" s="5">
        <v>49</v>
      </c>
      <c r="M559" s="5">
        <v>55</v>
      </c>
    </row>
    <row r="560" spans="1:13">
      <c r="A560" s="5">
        <v>559</v>
      </c>
      <c r="B560" s="6">
        <v>40568</v>
      </c>
      <c r="C560" s="5">
        <v>11</v>
      </c>
      <c r="D560" s="5" t="b">
        <v>0</v>
      </c>
      <c r="E560" s="5">
        <v>2</v>
      </c>
      <c r="F560" s="5">
        <v>2</v>
      </c>
      <c r="G560" s="5">
        <v>0.24</v>
      </c>
      <c r="H560" s="5">
        <v>0.2424</v>
      </c>
      <c r="I560" s="5">
        <v>0.6</v>
      </c>
      <c r="J560" s="5">
        <v>0.1343</v>
      </c>
      <c r="K560" s="5">
        <v>6</v>
      </c>
      <c r="L560" s="5">
        <v>55</v>
      </c>
      <c r="M560" s="5">
        <v>61</v>
      </c>
    </row>
    <row r="561" spans="1:13">
      <c r="A561" s="5">
        <v>560</v>
      </c>
      <c r="B561" s="6">
        <v>40568</v>
      </c>
      <c r="C561" s="5">
        <v>12</v>
      </c>
      <c r="D561" s="5" t="b">
        <v>0</v>
      </c>
      <c r="E561" s="5">
        <v>2</v>
      </c>
      <c r="F561" s="5">
        <v>2</v>
      </c>
      <c r="G561" s="5">
        <v>0.26</v>
      </c>
      <c r="H561" s="5">
        <v>0.28789999999999999</v>
      </c>
      <c r="I561" s="5">
        <v>0.56000000000000005</v>
      </c>
      <c r="J561" s="5">
        <v>8.9599999999999999E-2</v>
      </c>
      <c r="K561" s="5">
        <v>21</v>
      </c>
      <c r="L561" s="5">
        <v>85</v>
      </c>
      <c r="M561" s="5">
        <v>106</v>
      </c>
    </row>
    <row r="562" spans="1:13">
      <c r="A562" s="5">
        <v>561</v>
      </c>
      <c r="B562" s="6">
        <v>40568</v>
      </c>
      <c r="C562" s="5">
        <v>13</v>
      </c>
      <c r="D562" s="5" t="b">
        <v>0</v>
      </c>
      <c r="E562" s="5">
        <v>2</v>
      </c>
      <c r="F562" s="5">
        <v>2</v>
      </c>
      <c r="G562" s="5">
        <v>0.26</v>
      </c>
      <c r="H562" s="5">
        <v>0.2727</v>
      </c>
      <c r="I562" s="5">
        <v>0.56000000000000005</v>
      </c>
      <c r="J562" s="5">
        <v>0.1343</v>
      </c>
      <c r="K562" s="5">
        <v>21</v>
      </c>
      <c r="L562" s="5">
        <v>72</v>
      </c>
      <c r="M562" s="5">
        <v>93</v>
      </c>
    </row>
    <row r="563" spans="1:13">
      <c r="A563" s="5">
        <v>562</v>
      </c>
      <c r="B563" s="6">
        <v>40568</v>
      </c>
      <c r="C563" s="5">
        <v>14</v>
      </c>
      <c r="D563" s="5" t="b">
        <v>0</v>
      </c>
      <c r="E563" s="5">
        <v>2</v>
      </c>
      <c r="F563" s="5">
        <v>2</v>
      </c>
      <c r="G563" s="5">
        <v>0.3</v>
      </c>
      <c r="H563" s="5">
        <v>0.33329999999999999</v>
      </c>
      <c r="I563" s="5">
        <v>0.45</v>
      </c>
      <c r="J563" s="5">
        <v>0</v>
      </c>
      <c r="K563" s="5">
        <v>11</v>
      </c>
      <c r="L563" s="5">
        <v>57</v>
      </c>
      <c r="M563" s="5">
        <v>68</v>
      </c>
    </row>
    <row r="564" spans="1:13">
      <c r="A564" s="5">
        <v>563</v>
      </c>
      <c r="B564" s="6">
        <v>40568</v>
      </c>
      <c r="C564" s="5">
        <v>15</v>
      </c>
      <c r="D564" s="5" t="b">
        <v>0</v>
      </c>
      <c r="E564" s="5">
        <v>2</v>
      </c>
      <c r="F564" s="5">
        <v>2</v>
      </c>
      <c r="G564" s="5">
        <v>0.32</v>
      </c>
      <c r="H564" s="5">
        <v>0.34849999999999998</v>
      </c>
      <c r="I564" s="5">
        <v>0.42</v>
      </c>
      <c r="J564" s="5">
        <v>0</v>
      </c>
      <c r="K564" s="5">
        <v>21</v>
      </c>
      <c r="L564" s="5">
        <v>63</v>
      </c>
      <c r="M564" s="5">
        <v>84</v>
      </c>
    </row>
    <row r="565" spans="1:13">
      <c r="A565" s="5">
        <v>564</v>
      </c>
      <c r="B565" s="6">
        <v>40568</v>
      </c>
      <c r="C565" s="5">
        <v>16</v>
      </c>
      <c r="D565" s="5" t="b">
        <v>0</v>
      </c>
      <c r="E565" s="5">
        <v>2</v>
      </c>
      <c r="F565" s="5">
        <v>2</v>
      </c>
      <c r="G565" s="5">
        <v>0.32</v>
      </c>
      <c r="H565" s="5">
        <v>0.34849999999999998</v>
      </c>
      <c r="I565" s="5">
        <v>0.42</v>
      </c>
      <c r="J565" s="5">
        <v>0</v>
      </c>
      <c r="K565" s="5">
        <v>14</v>
      </c>
      <c r="L565" s="5">
        <v>102</v>
      </c>
      <c r="M565" s="5">
        <v>116</v>
      </c>
    </row>
    <row r="566" spans="1:13">
      <c r="A566" s="5">
        <v>565</v>
      </c>
      <c r="B566" s="6">
        <v>40568</v>
      </c>
      <c r="C566" s="5">
        <v>17</v>
      </c>
      <c r="D566" s="5" t="b">
        <v>0</v>
      </c>
      <c r="E566" s="5">
        <v>2</v>
      </c>
      <c r="F566" s="5">
        <v>1</v>
      </c>
      <c r="G566" s="5">
        <v>0.3</v>
      </c>
      <c r="H566" s="5">
        <v>0.33329999999999999</v>
      </c>
      <c r="I566" s="5">
        <v>0.45</v>
      </c>
      <c r="J566" s="5">
        <v>0</v>
      </c>
      <c r="K566" s="5">
        <v>14</v>
      </c>
      <c r="L566" s="5">
        <v>208</v>
      </c>
      <c r="M566" s="5">
        <v>222</v>
      </c>
    </row>
    <row r="567" spans="1:13">
      <c r="A567" s="5">
        <v>566</v>
      </c>
      <c r="B567" s="6">
        <v>40568</v>
      </c>
      <c r="C567" s="5">
        <v>18</v>
      </c>
      <c r="D567" s="5" t="b">
        <v>0</v>
      </c>
      <c r="E567" s="5">
        <v>2</v>
      </c>
      <c r="F567" s="5">
        <v>2</v>
      </c>
      <c r="G567" s="5">
        <v>0.3</v>
      </c>
      <c r="H567" s="5">
        <v>0.31819999999999998</v>
      </c>
      <c r="I567" s="5">
        <v>0.49</v>
      </c>
      <c r="J567" s="5">
        <v>8.9599999999999999E-2</v>
      </c>
      <c r="K567" s="5">
        <v>7</v>
      </c>
      <c r="L567" s="5">
        <v>218</v>
      </c>
      <c r="M567" s="5">
        <v>225</v>
      </c>
    </row>
    <row r="568" spans="1:13">
      <c r="A568" s="5">
        <v>567</v>
      </c>
      <c r="B568" s="6">
        <v>40568</v>
      </c>
      <c r="C568" s="5">
        <v>19</v>
      </c>
      <c r="D568" s="5" t="b">
        <v>0</v>
      </c>
      <c r="E568" s="5">
        <v>2</v>
      </c>
      <c r="F568" s="5">
        <v>2</v>
      </c>
      <c r="G568" s="5">
        <v>0.26</v>
      </c>
      <c r="H568" s="5">
        <v>0.2576</v>
      </c>
      <c r="I568" s="5">
        <v>0.65</v>
      </c>
      <c r="J568" s="5">
        <v>0.16420000000000001</v>
      </c>
      <c r="K568" s="5">
        <v>13</v>
      </c>
      <c r="L568" s="5">
        <v>133</v>
      </c>
      <c r="M568" s="5">
        <v>146</v>
      </c>
    </row>
    <row r="569" spans="1:13">
      <c r="A569" s="5">
        <v>568</v>
      </c>
      <c r="B569" s="6">
        <v>40568</v>
      </c>
      <c r="C569" s="5">
        <v>20</v>
      </c>
      <c r="D569" s="5" t="b">
        <v>0</v>
      </c>
      <c r="E569" s="5">
        <v>2</v>
      </c>
      <c r="F569" s="5">
        <v>1</v>
      </c>
      <c r="G569" s="5">
        <v>0.24</v>
      </c>
      <c r="H569" s="5">
        <v>0.2273</v>
      </c>
      <c r="I569" s="5">
        <v>0.65</v>
      </c>
      <c r="J569" s="5">
        <v>0.19400000000000001</v>
      </c>
      <c r="K569" s="5">
        <v>16</v>
      </c>
      <c r="L569" s="5">
        <v>103</v>
      </c>
      <c r="M569" s="5">
        <v>119</v>
      </c>
    </row>
    <row r="570" spans="1:13">
      <c r="A570" s="5">
        <v>569</v>
      </c>
      <c r="B570" s="6">
        <v>40568</v>
      </c>
      <c r="C570" s="5">
        <v>21</v>
      </c>
      <c r="D570" s="5" t="b">
        <v>0</v>
      </c>
      <c r="E570" s="5">
        <v>2</v>
      </c>
      <c r="F570" s="5">
        <v>1</v>
      </c>
      <c r="G570" s="5">
        <v>0.24</v>
      </c>
      <c r="H570" s="5">
        <v>0.2273</v>
      </c>
      <c r="I570" s="5">
        <v>0.65</v>
      </c>
      <c r="J570" s="5">
        <v>0.19400000000000001</v>
      </c>
      <c r="K570" s="5">
        <v>5</v>
      </c>
      <c r="L570" s="5">
        <v>40</v>
      </c>
      <c r="M570" s="5">
        <v>45</v>
      </c>
    </row>
    <row r="571" spans="1:13">
      <c r="A571" s="5">
        <v>570</v>
      </c>
      <c r="B571" s="6">
        <v>40568</v>
      </c>
      <c r="C571" s="5">
        <v>22</v>
      </c>
      <c r="D571" s="5" t="b">
        <v>0</v>
      </c>
      <c r="E571" s="5">
        <v>2</v>
      </c>
      <c r="F571" s="5">
        <v>1</v>
      </c>
      <c r="G571" s="5">
        <v>0.22</v>
      </c>
      <c r="H571" s="5">
        <v>0.2273</v>
      </c>
      <c r="I571" s="5">
        <v>0.64</v>
      </c>
      <c r="J571" s="5">
        <v>0.16420000000000001</v>
      </c>
      <c r="K571" s="5">
        <v>4</v>
      </c>
      <c r="L571" s="5">
        <v>49</v>
      </c>
      <c r="M571" s="5">
        <v>53</v>
      </c>
    </row>
    <row r="572" spans="1:13">
      <c r="A572" s="5">
        <v>571</v>
      </c>
      <c r="B572" s="6">
        <v>40568</v>
      </c>
      <c r="C572" s="5">
        <v>23</v>
      </c>
      <c r="D572" s="5" t="b">
        <v>0</v>
      </c>
      <c r="E572" s="5">
        <v>2</v>
      </c>
      <c r="F572" s="5">
        <v>2</v>
      </c>
      <c r="G572" s="5">
        <v>0.22</v>
      </c>
      <c r="H572" s="5">
        <v>0.2273</v>
      </c>
      <c r="I572" s="5">
        <v>0.64</v>
      </c>
      <c r="J572" s="5">
        <v>0.16420000000000001</v>
      </c>
      <c r="K572" s="5">
        <v>3</v>
      </c>
      <c r="L572" s="5">
        <v>37</v>
      </c>
      <c r="M572" s="5">
        <v>40</v>
      </c>
    </row>
    <row r="573" spans="1:13">
      <c r="A573" s="5">
        <v>572</v>
      </c>
      <c r="B573" s="6">
        <v>40569</v>
      </c>
      <c r="C573" s="5">
        <v>0</v>
      </c>
      <c r="D573" s="5" t="b">
        <v>0</v>
      </c>
      <c r="E573" s="5">
        <v>3</v>
      </c>
      <c r="F573" s="5">
        <v>2</v>
      </c>
      <c r="G573" s="5">
        <v>0.22</v>
      </c>
      <c r="H573" s="5">
        <v>0.2273</v>
      </c>
      <c r="I573" s="5">
        <v>0.69</v>
      </c>
      <c r="J573" s="5">
        <v>0.1343</v>
      </c>
      <c r="K573" s="5">
        <v>3</v>
      </c>
      <c r="L573" s="5">
        <v>14</v>
      </c>
      <c r="M573" s="5">
        <v>17</v>
      </c>
    </row>
    <row r="574" spans="1:13">
      <c r="A574" s="5">
        <v>573</v>
      </c>
      <c r="B574" s="6">
        <v>40569</v>
      </c>
      <c r="C574" s="5">
        <v>1</v>
      </c>
      <c r="D574" s="5" t="b">
        <v>0</v>
      </c>
      <c r="E574" s="5">
        <v>3</v>
      </c>
      <c r="F574" s="5">
        <v>2</v>
      </c>
      <c r="G574" s="5">
        <v>0.24</v>
      </c>
      <c r="H574" s="5">
        <v>0.2424</v>
      </c>
      <c r="I574" s="5">
        <v>0.65</v>
      </c>
      <c r="J574" s="5">
        <v>0.1343</v>
      </c>
      <c r="K574" s="5">
        <v>0</v>
      </c>
      <c r="L574" s="5">
        <v>5</v>
      </c>
      <c r="M574" s="5">
        <v>5</v>
      </c>
    </row>
    <row r="575" spans="1:13">
      <c r="A575" s="5">
        <v>574</v>
      </c>
      <c r="B575" s="6">
        <v>40569</v>
      </c>
      <c r="C575" s="5">
        <v>2</v>
      </c>
      <c r="D575" s="5" t="b">
        <v>0</v>
      </c>
      <c r="E575" s="5">
        <v>3</v>
      </c>
      <c r="F575" s="5">
        <v>3</v>
      </c>
      <c r="G575" s="5">
        <v>0.22</v>
      </c>
      <c r="H575" s="5">
        <v>0.2273</v>
      </c>
      <c r="I575" s="5">
        <v>0.69</v>
      </c>
      <c r="J575" s="5">
        <v>0.19400000000000001</v>
      </c>
      <c r="K575" s="5">
        <v>3</v>
      </c>
      <c r="L575" s="5">
        <v>7</v>
      </c>
      <c r="M575" s="5">
        <v>10</v>
      </c>
    </row>
    <row r="576" spans="1:13">
      <c r="A576" s="5">
        <v>575</v>
      </c>
      <c r="B576" s="6">
        <v>40569</v>
      </c>
      <c r="C576" s="5">
        <v>5</v>
      </c>
      <c r="D576" s="5" t="b">
        <v>0</v>
      </c>
      <c r="E576" s="5">
        <v>3</v>
      </c>
      <c r="F576" s="5">
        <v>3</v>
      </c>
      <c r="G576" s="5">
        <v>0.2</v>
      </c>
      <c r="H576" s="5">
        <v>0.18179999999999999</v>
      </c>
      <c r="I576" s="5">
        <v>0.86</v>
      </c>
      <c r="J576" s="5">
        <v>0.28360000000000002</v>
      </c>
      <c r="K576" s="5">
        <v>0</v>
      </c>
      <c r="L576" s="5">
        <v>1</v>
      </c>
      <c r="M576" s="5">
        <v>1</v>
      </c>
    </row>
    <row r="577" spans="1:13">
      <c r="A577" s="5">
        <v>576</v>
      </c>
      <c r="B577" s="6">
        <v>40569</v>
      </c>
      <c r="C577" s="5">
        <v>6</v>
      </c>
      <c r="D577" s="5" t="b">
        <v>0</v>
      </c>
      <c r="E577" s="5">
        <v>3</v>
      </c>
      <c r="F577" s="5">
        <v>3</v>
      </c>
      <c r="G577" s="5">
        <v>0.2</v>
      </c>
      <c r="H577" s="5">
        <v>0.18179999999999999</v>
      </c>
      <c r="I577" s="5">
        <v>0.86</v>
      </c>
      <c r="J577" s="5">
        <v>0.28360000000000002</v>
      </c>
      <c r="K577" s="5">
        <v>0</v>
      </c>
      <c r="L577" s="5">
        <v>8</v>
      </c>
      <c r="M577" s="5">
        <v>8</v>
      </c>
    </row>
    <row r="578" spans="1:13">
      <c r="A578" s="5">
        <v>577</v>
      </c>
      <c r="B578" s="6">
        <v>40569</v>
      </c>
      <c r="C578" s="5">
        <v>7</v>
      </c>
      <c r="D578" s="5" t="b">
        <v>0</v>
      </c>
      <c r="E578" s="5">
        <v>3</v>
      </c>
      <c r="F578" s="5">
        <v>3</v>
      </c>
      <c r="G578" s="5">
        <v>0.22</v>
      </c>
      <c r="H578" s="5">
        <v>0.21210000000000001</v>
      </c>
      <c r="I578" s="5">
        <v>0.87</v>
      </c>
      <c r="J578" s="5">
        <v>0.29849999999999999</v>
      </c>
      <c r="K578" s="5">
        <v>1</v>
      </c>
      <c r="L578" s="5">
        <v>29</v>
      </c>
      <c r="M578" s="5">
        <v>30</v>
      </c>
    </row>
    <row r="579" spans="1:13">
      <c r="A579" s="5">
        <v>578</v>
      </c>
      <c r="B579" s="6">
        <v>40569</v>
      </c>
      <c r="C579" s="5">
        <v>8</v>
      </c>
      <c r="D579" s="5" t="b">
        <v>0</v>
      </c>
      <c r="E579" s="5">
        <v>3</v>
      </c>
      <c r="F579" s="5">
        <v>3</v>
      </c>
      <c r="G579" s="5">
        <v>0.22</v>
      </c>
      <c r="H579" s="5">
        <v>0.21210000000000001</v>
      </c>
      <c r="I579" s="5">
        <v>0.87</v>
      </c>
      <c r="J579" s="5">
        <v>0.29849999999999999</v>
      </c>
      <c r="K579" s="5">
        <v>3</v>
      </c>
      <c r="L579" s="5">
        <v>69</v>
      </c>
      <c r="M579" s="5">
        <v>72</v>
      </c>
    </row>
    <row r="580" spans="1:13">
      <c r="A580" s="5">
        <v>579</v>
      </c>
      <c r="B580" s="6">
        <v>40569</v>
      </c>
      <c r="C580" s="5">
        <v>9</v>
      </c>
      <c r="D580" s="5" t="b">
        <v>0</v>
      </c>
      <c r="E580" s="5">
        <v>3</v>
      </c>
      <c r="F580" s="5">
        <v>3</v>
      </c>
      <c r="G580" s="5">
        <v>0.22</v>
      </c>
      <c r="H580" s="5">
        <v>0.21210000000000001</v>
      </c>
      <c r="I580" s="5">
        <v>0.87</v>
      </c>
      <c r="J580" s="5">
        <v>0.29849999999999999</v>
      </c>
      <c r="K580" s="5">
        <v>3</v>
      </c>
      <c r="L580" s="5">
        <v>55</v>
      </c>
      <c r="M580" s="5">
        <v>58</v>
      </c>
    </row>
    <row r="581" spans="1:13">
      <c r="A581" s="5">
        <v>580</v>
      </c>
      <c r="B581" s="6">
        <v>40569</v>
      </c>
      <c r="C581" s="5">
        <v>10</v>
      </c>
      <c r="D581" s="5" t="b">
        <v>0</v>
      </c>
      <c r="E581" s="5">
        <v>3</v>
      </c>
      <c r="F581" s="5">
        <v>3</v>
      </c>
      <c r="G581" s="5">
        <v>0.22</v>
      </c>
      <c r="H581" s="5">
        <v>0.21210000000000001</v>
      </c>
      <c r="I581" s="5">
        <v>0.93</v>
      </c>
      <c r="J581" s="5">
        <v>0.28360000000000002</v>
      </c>
      <c r="K581" s="5">
        <v>2</v>
      </c>
      <c r="L581" s="5">
        <v>26</v>
      </c>
      <c r="M581" s="5">
        <v>28</v>
      </c>
    </row>
    <row r="582" spans="1:13">
      <c r="A582" s="5">
        <v>581</v>
      </c>
      <c r="B582" s="6">
        <v>40569</v>
      </c>
      <c r="C582" s="5">
        <v>11</v>
      </c>
      <c r="D582" s="5" t="b">
        <v>0</v>
      </c>
      <c r="E582" s="5">
        <v>3</v>
      </c>
      <c r="F582" s="5">
        <v>3</v>
      </c>
      <c r="G582" s="5">
        <v>0.22</v>
      </c>
      <c r="H582" s="5">
        <v>0.19700000000000001</v>
      </c>
      <c r="I582" s="5">
        <v>0.93</v>
      </c>
      <c r="J582" s="5">
        <v>0.32840000000000003</v>
      </c>
      <c r="K582" s="5">
        <v>6</v>
      </c>
      <c r="L582" s="5">
        <v>35</v>
      </c>
      <c r="M582" s="5">
        <v>41</v>
      </c>
    </row>
    <row r="583" spans="1:13">
      <c r="A583" s="5">
        <v>582</v>
      </c>
      <c r="B583" s="6">
        <v>40569</v>
      </c>
      <c r="C583" s="5">
        <v>12</v>
      </c>
      <c r="D583" s="5" t="b">
        <v>0</v>
      </c>
      <c r="E583" s="5">
        <v>3</v>
      </c>
      <c r="F583" s="5">
        <v>3</v>
      </c>
      <c r="G583" s="5">
        <v>0.22</v>
      </c>
      <c r="H583" s="5">
        <v>0.19700000000000001</v>
      </c>
      <c r="I583" s="5">
        <v>0.93</v>
      </c>
      <c r="J583" s="5">
        <v>0.32840000000000003</v>
      </c>
      <c r="K583" s="5">
        <v>7</v>
      </c>
      <c r="L583" s="5">
        <v>41</v>
      </c>
      <c r="M583" s="5">
        <v>48</v>
      </c>
    </row>
    <row r="584" spans="1:13">
      <c r="A584" s="5">
        <v>583</v>
      </c>
      <c r="B584" s="6">
        <v>40569</v>
      </c>
      <c r="C584" s="5">
        <v>13</v>
      </c>
      <c r="D584" s="5" t="b">
        <v>0</v>
      </c>
      <c r="E584" s="5">
        <v>3</v>
      </c>
      <c r="F584" s="5">
        <v>3</v>
      </c>
      <c r="G584" s="5">
        <v>0.22</v>
      </c>
      <c r="H584" s="5">
        <v>0.19700000000000001</v>
      </c>
      <c r="I584" s="5">
        <v>0.93</v>
      </c>
      <c r="J584" s="5">
        <v>0.32840000000000003</v>
      </c>
      <c r="K584" s="5">
        <v>4</v>
      </c>
      <c r="L584" s="5">
        <v>43</v>
      </c>
      <c r="M584" s="5">
        <v>47</v>
      </c>
    </row>
    <row r="585" spans="1:13">
      <c r="A585" s="5">
        <v>584</v>
      </c>
      <c r="B585" s="6">
        <v>40569</v>
      </c>
      <c r="C585" s="5">
        <v>14</v>
      </c>
      <c r="D585" s="5" t="b">
        <v>0</v>
      </c>
      <c r="E585" s="5">
        <v>3</v>
      </c>
      <c r="F585" s="5">
        <v>3</v>
      </c>
      <c r="G585" s="5">
        <v>0.22</v>
      </c>
      <c r="H585" s="5">
        <v>0.19700000000000001</v>
      </c>
      <c r="I585" s="5">
        <v>0.93</v>
      </c>
      <c r="J585" s="5">
        <v>0.35820000000000002</v>
      </c>
      <c r="K585" s="5">
        <v>0</v>
      </c>
      <c r="L585" s="5">
        <v>36</v>
      </c>
      <c r="M585" s="5">
        <v>36</v>
      </c>
    </row>
    <row r="586" spans="1:13">
      <c r="A586" s="5">
        <v>585</v>
      </c>
      <c r="B586" s="6">
        <v>40569</v>
      </c>
      <c r="C586" s="5">
        <v>15</v>
      </c>
      <c r="D586" s="5" t="b">
        <v>0</v>
      </c>
      <c r="E586" s="5">
        <v>3</v>
      </c>
      <c r="F586" s="5">
        <v>3</v>
      </c>
      <c r="G586" s="5">
        <v>0.22</v>
      </c>
      <c r="H586" s="5">
        <v>0.18179999999999999</v>
      </c>
      <c r="I586" s="5">
        <v>0.93</v>
      </c>
      <c r="J586" s="5">
        <v>0.4627</v>
      </c>
      <c r="K586" s="5">
        <v>1</v>
      </c>
      <c r="L586" s="5">
        <v>42</v>
      </c>
      <c r="M586" s="5">
        <v>43</v>
      </c>
    </row>
    <row r="587" spans="1:13">
      <c r="A587" s="5">
        <v>586</v>
      </c>
      <c r="B587" s="6">
        <v>40569</v>
      </c>
      <c r="C587" s="5">
        <v>16</v>
      </c>
      <c r="D587" s="5" t="b">
        <v>0</v>
      </c>
      <c r="E587" s="5">
        <v>3</v>
      </c>
      <c r="F587" s="5">
        <v>4</v>
      </c>
      <c r="G587" s="5">
        <v>0.22</v>
      </c>
      <c r="H587" s="5">
        <v>0.19700000000000001</v>
      </c>
      <c r="I587" s="5">
        <v>0.93</v>
      </c>
      <c r="J587" s="5">
        <v>0.32840000000000003</v>
      </c>
      <c r="K587" s="5">
        <v>1</v>
      </c>
      <c r="L587" s="5">
        <v>35</v>
      </c>
      <c r="M587" s="5">
        <v>36</v>
      </c>
    </row>
    <row r="588" spans="1:13">
      <c r="A588" s="5">
        <v>587</v>
      </c>
      <c r="B588" s="6">
        <v>40569</v>
      </c>
      <c r="C588" s="5">
        <v>17</v>
      </c>
      <c r="D588" s="5" t="b">
        <v>0</v>
      </c>
      <c r="E588" s="5">
        <v>3</v>
      </c>
      <c r="F588" s="5">
        <v>3</v>
      </c>
      <c r="G588" s="5">
        <v>0.2</v>
      </c>
      <c r="H588" s="5">
        <v>0.18179999999999999</v>
      </c>
      <c r="I588" s="5">
        <v>0.93</v>
      </c>
      <c r="J588" s="5">
        <v>0.35820000000000002</v>
      </c>
      <c r="K588" s="5">
        <v>0</v>
      </c>
      <c r="L588" s="5">
        <v>26</v>
      </c>
      <c r="M588" s="5">
        <v>26</v>
      </c>
    </row>
    <row r="589" spans="1:13">
      <c r="A589" s="5">
        <v>588</v>
      </c>
      <c r="B589" s="6">
        <v>40570</v>
      </c>
      <c r="C589" s="5">
        <v>16</v>
      </c>
      <c r="D589" s="5" t="b">
        <v>0</v>
      </c>
      <c r="E589" s="5">
        <v>4</v>
      </c>
      <c r="F589" s="5">
        <v>1</v>
      </c>
      <c r="G589" s="5">
        <v>0.22</v>
      </c>
      <c r="H589" s="5">
        <v>0.2273</v>
      </c>
      <c r="I589" s="5">
        <v>0.55000000000000004</v>
      </c>
      <c r="J589" s="5">
        <v>0.19400000000000001</v>
      </c>
      <c r="K589" s="5">
        <v>1</v>
      </c>
      <c r="L589" s="5">
        <v>23</v>
      </c>
      <c r="M589" s="5">
        <v>24</v>
      </c>
    </row>
    <row r="590" spans="1:13">
      <c r="A590" s="5">
        <v>589</v>
      </c>
      <c r="B590" s="6">
        <v>40570</v>
      </c>
      <c r="C590" s="5">
        <v>17</v>
      </c>
      <c r="D590" s="5" t="b">
        <v>0</v>
      </c>
      <c r="E590" s="5">
        <v>4</v>
      </c>
      <c r="F590" s="5">
        <v>1</v>
      </c>
      <c r="G590" s="5">
        <v>0.22</v>
      </c>
      <c r="H590" s="5">
        <v>0.2424</v>
      </c>
      <c r="I590" s="5">
        <v>0.55000000000000004</v>
      </c>
      <c r="J590" s="5">
        <v>0.1045</v>
      </c>
      <c r="K590" s="5">
        <v>2</v>
      </c>
      <c r="L590" s="5">
        <v>82</v>
      </c>
      <c r="M590" s="5">
        <v>84</v>
      </c>
    </row>
    <row r="591" spans="1:13">
      <c r="A591" s="5">
        <v>590</v>
      </c>
      <c r="B591" s="6">
        <v>40570</v>
      </c>
      <c r="C591" s="5">
        <v>18</v>
      </c>
      <c r="D591" s="5" t="b">
        <v>0</v>
      </c>
      <c r="E591" s="5">
        <v>4</v>
      </c>
      <c r="F591" s="5">
        <v>1</v>
      </c>
      <c r="G591" s="5">
        <v>0.2</v>
      </c>
      <c r="H591" s="5">
        <v>0.2273</v>
      </c>
      <c r="I591" s="5">
        <v>0.69</v>
      </c>
      <c r="J591" s="5">
        <v>8.9599999999999999E-2</v>
      </c>
      <c r="K591" s="5">
        <v>3</v>
      </c>
      <c r="L591" s="5">
        <v>101</v>
      </c>
      <c r="M591" s="5">
        <v>104</v>
      </c>
    </row>
    <row r="592" spans="1:13">
      <c r="A592" s="5">
        <v>591</v>
      </c>
      <c r="B592" s="6">
        <v>40570</v>
      </c>
      <c r="C592" s="5">
        <v>19</v>
      </c>
      <c r="D592" s="5" t="b">
        <v>0</v>
      </c>
      <c r="E592" s="5">
        <v>4</v>
      </c>
      <c r="F592" s="5">
        <v>1</v>
      </c>
      <c r="G592" s="5">
        <v>0.2</v>
      </c>
      <c r="H592" s="5">
        <v>0.2273</v>
      </c>
      <c r="I592" s="5">
        <v>0.69</v>
      </c>
      <c r="J592" s="5">
        <v>8.9599999999999999E-2</v>
      </c>
      <c r="K592" s="5">
        <v>3</v>
      </c>
      <c r="L592" s="5">
        <v>76</v>
      </c>
      <c r="M592" s="5">
        <v>79</v>
      </c>
    </row>
    <row r="593" spans="1:13">
      <c r="A593" s="5">
        <v>592</v>
      </c>
      <c r="B593" s="6">
        <v>40570</v>
      </c>
      <c r="C593" s="5">
        <v>20</v>
      </c>
      <c r="D593" s="5" t="b">
        <v>0</v>
      </c>
      <c r="E593" s="5">
        <v>4</v>
      </c>
      <c r="F593" s="5">
        <v>1</v>
      </c>
      <c r="G593" s="5">
        <v>0.18</v>
      </c>
      <c r="H593" s="5">
        <v>0.21210000000000001</v>
      </c>
      <c r="I593" s="5">
        <v>0.74</v>
      </c>
      <c r="J593" s="5">
        <v>8.9599999999999999E-2</v>
      </c>
      <c r="K593" s="5">
        <v>4</v>
      </c>
      <c r="L593" s="5">
        <v>55</v>
      </c>
      <c r="M593" s="5">
        <v>59</v>
      </c>
    </row>
    <row r="594" spans="1:13">
      <c r="A594" s="5">
        <v>593</v>
      </c>
      <c r="B594" s="6">
        <v>40570</v>
      </c>
      <c r="C594" s="5">
        <v>21</v>
      </c>
      <c r="D594" s="5" t="b">
        <v>0</v>
      </c>
      <c r="E594" s="5">
        <v>4</v>
      </c>
      <c r="F594" s="5">
        <v>1</v>
      </c>
      <c r="G594" s="5">
        <v>0.18</v>
      </c>
      <c r="H594" s="5">
        <v>0.21210000000000001</v>
      </c>
      <c r="I594" s="5">
        <v>0.74</v>
      </c>
      <c r="J594" s="5">
        <v>8.9599999999999999E-2</v>
      </c>
      <c r="K594" s="5">
        <v>2</v>
      </c>
      <c r="L594" s="5">
        <v>36</v>
      </c>
      <c r="M594" s="5">
        <v>38</v>
      </c>
    </row>
    <row r="595" spans="1:13">
      <c r="A595" s="5">
        <v>594</v>
      </c>
      <c r="B595" s="6">
        <v>40570</v>
      </c>
      <c r="C595" s="5">
        <v>22</v>
      </c>
      <c r="D595" s="5" t="b">
        <v>0</v>
      </c>
      <c r="E595" s="5">
        <v>4</v>
      </c>
      <c r="F595" s="5">
        <v>1</v>
      </c>
      <c r="G595" s="5">
        <v>0.18</v>
      </c>
      <c r="H595" s="5">
        <v>0.21210000000000001</v>
      </c>
      <c r="I595" s="5">
        <v>0.74</v>
      </c>
      <c r="J595" s="5">
        <v>8.9599999999999999E-2</v>
      </c>
      <c r="K595" s="5">
        <v>0</v>
      </c>
      <c r="L595" s="5">
        <v>27</v>
      </c>
      <c r="M595" s="5">
        <v>27</v>
      </c>
    </row>
    <row r="596" spans="1:13">
      <c r="A596" s="5">
        <v>595</v>
      </c>
      <c r="B596" s="6">
        <v>40570</v>
      </c>
      <c r="C596" s="5">
        <v>23</v>
      </c>
      <c r="D596" s="5" t="b">
        <v>0</v>
      </c>
      <c r="E596" s="5">
        <v>4</v>
      </c>
      <c r="F596" s="5">
        <v>1</v>
      </c>
      <c r="G596" s="5">
        <v>0.18</v>
      </c>
      <c r="H596" s="5">
        <v>0.19700000000000001</v>
      </c>
      <c r="I596" s="5">
        <v>0.8</v>
      </c>
      <c r="J596" s="5">
        <v>0.16420000000000001</v>
      </c>
      <c r="K596" s="5">
        <v>0</v>
      </c>
      <c r="L596" s="5">
        <v>16</v>
      </c>
      <c r="M596" s="5">
        <v>16</v>
      </c>
    </row>
    <row r="597" spans="1:13">
      <c r="A597" s="5">
        <v>596</v>
      </c>
      <c r="B597" s="6">
        <v>40571</v>
      </c>
      <c r="C597" s="5">
        <v>0</v>
      </c>
      <c r="D597" s="5" t="b">
        <v>0</v>
      </c>
      <c r="E597" s="5">
        <v>5</v>
      </c>
      <c r="F597" s="5">
        <v>2</v>
      </c>
      <c r="G597" s="5">
        <v>0.2</v>
      </c>
      <c r="H597" s="5">
        <v>0.21210000000000001</v>
      </c>
      <c r="I597" s="5">
        <v>0.75</v>
      </c>
      <c r="J597" s="5">
        <v>0.1343</v>
      </c>
      <c r="K597" s="5">
        <v>0</v>
      </c>
      <c r="L597" s="5">
        <v>9</v>
      </c>
      <c r="M597" s="5">
        <v>9</v>
      </c>
    </row>
    <row r="598" spans="1:13">
      <c r="A598" s="5">
        <v>597</v>
      </c>
      <c r="B598" s="6">
        <v>40571</v>
      </c>
      <c r="C598" s="5">
        <v>1</v>
      </c>
      <c r="D598" s="5" t="b">
        <v>0</v>
      </c>
      <c r="E598" s="5">
        <v>5</v>
      </c>
      <c r="F598" s="5">
        <v>2</v>
      </c>
      <c r="G598" s="5">
        <v>0.2</v>
      </c>
      <c r="H598" s="5">
        <v>0.21210000000000001</v>
      </c>
      <c r="I598" s="5">
        <v>0.75</v>
      </c>
      <c r="J598" s="5">
        <v>0.1343</v>
      </c>
      <c r="K598" s="5">
        <v>1</v>
      </c>
      <c r="L598" s="5">
        <v>2</v>
      </c>
      <c r="M598" s="5">
        <v>3</v>
      </c>
    </row>
    <row r="599" spans="1:13">
      <c r="A599" s="5">
        <v>598</v>
      </c>
      <c r="B599" s="6">
        <v>40571</v>
      </c>
      <c r="C599" s="5">
        <v>2</v>
      </c>
      <c r="D599" s="5" t="b">
        <v>0</v>
      </c>
      <c r="E599" s="5">
        <v>5</v>
      </c>
      <c r="F599" s="5">
        <v>2</v>
      </c>
      <c r="G599" s="5">
        <v>0.2</v>
      </c>
      <c r="H599" s="5">
        <v>0.21210000000000001</v>
      </c>
      <c r="I599" s="5">
        <v>0.75</v>
      </c>
      <c r="J599" s="5">
        <v>0.16420000000000001</v>
      </c>
      <c r="K599" s="5">
        <v>0</v>
      </c>
      <c r="L599" s="5">
        <v>2</v>
      </c>
      <c r="M599" s="5">
        <v>2</v>
      </c>
    </row>
    <row r="600" spans="1:13">
      <c r="A600" s="5">
        <v>599</v>
      </c>
      <c r="B600" s="6">
        <v>40571</v>
      </c>
      <c r="C600" s="5">
        <v>3</v>
      </c>
      <c r="D600" s="5" t="b">
        <v>0</v>
      </c>
      <c r="E600" s="5">
        <v>5</v>
      </c>
      <c r="F600" s="5">
        <v>2</v>
      </c>
      <c r="G600" s="5">
        <v>0.2</v>
      </c>
      <c r="H600" s="5">
        <v>0.2273</v>
      </c>
      <c r="I600" s="5">
        <v>0.75</v>
      </c>
      <c r="J600" s="5">
        <v>0.1045</v>
      </c>
      <c r="K600" s="5">
        <v>1</v>
      </c>
      <c r="L600" s="5">
        <v>0</v>
      </c>
      <c r="M600" s="5">
        <v>1</v>
      </c>
    </row>
    <row r="601" spans="1:13">
      <c r="A601" s="5">
        <v>600</v>
      </c>
      <c r="B601" s="6">
        <v>40571</v>
      </c>
      <c r="C601" s="5">
        <v>5</v>
      </c>
      <c r="D601" s="5" t="b">
        <v>0</v>
      </c>
      <c r="E601" s="5">
        <v>5</v>
      </c>
      <c r="F601" s="5">
        <v>2</v>
      </c>
      <c r="G601" s="5">
        <v>0.18</v>
      </c>
      <c r="H601" s="5">
        <v>0.21210000000000001</v>
      </c>
      <c r="I601" s="5">
        <v>0.8</v>
      </c>
      <c r="J601" s="5">
        <v>0.1045</v>
      </c>
      <c r="K601" s="5">
        <v>0</v>
      </c>
      <c r="L601" s="5">
        <v>4</v>
      </c>
      <c r="M601" s="5">
        <v>4</v>
      </c>
    </row>
    <row r="602" spans="1:13">
      <c r="A602" s="5">
        <v>601</v>
      </c>
      <c r="B602" s="6">
        <v>40571</v>
      </c>
      <c r="C602" s="5">
        <v>6</v>
      </c>
      <c r="D602" s="5" t="b">
        <v>0</v>
      </c>
      <c r="E602" s="5">
        <v>5</v>
      </c>
      <c r="F602" s="5">
        <v>2</v>
      </c>
      <c r="G602" s="5">
        <v>0.18</v>
      </c>
      <c r="H602" s="5">
        <v>0.19700000000000001</v>
      </c>
      <c r="I602" s="5">
        <v>0.8</v>
      </c>
      <c r="J602" s="5">
        <v>0.1343</v>
      </c>
      <c r="K602" s="5">
        <v>0</v>
      </c>
      <c r="L602" s="5">
        <v>16</v>
      </c>
      <c r="M602" s="5">
        <v>16</v>
      </c>
    </row>
    <row r="603" spans="1:13">
      <c r="A603" s="5">
        <v>602</v>
      </c>
      <c r="B603" s="6">
        <v>40571</v>
      </c>
      <c r="C603" s="5">
        <v>7</v>
      </c>
      <c r="D603" s="5" t="b">
        <v>0</v>
      </c>
      <c r="E603" s="5">
        <v>5</v>
      </c>
      <c r="F603" s="5">
        <v>2</v>
      </c>
      <c r="G603" s="5">
        <v>0.16</v>
      </c>
      <c r="H603" s="5">
        <v>0.19700000000000001</v>
      </c>
      <c r="I603" s="5">
        <v>0.86</v>
      </c>
      <c r="J603" s="5">
        <v>8.9599999999999999E-2</v>
      </c>
      <c r="K603" s="5">
        <v>2</v>
      </c>
      <c r="L603" s="5">
        <v>58</v>
      </c>
      <c r="M603" s="5">
        <v>60</v>
      </c>
    </row>
    <row r="604" spans="1:13">
      <c r="A604" s="5">
        <v>603</v>
      </c>
      <c r="B604" s="6">
        <v>40571</v>
      </c>
      <c r="C604" s="5">
        <v>8</v>
      </c>
      <c r="D604" s="5" t="b">
        <v>0</v>
      </c>
      <c r="E604" s="5">
        <v>5</v>
      </c>
      <c r="F604" s="5">
        <v>2</v>
      </c>
      <c r="G604" s="5">
        <v>0.16</v>
      </c>
      <c r="H604" s="5">
        <v>0.19700000000000001</v>
      </c>
      <c r="I604" s="5">
        <v>0.86</v>
      </c>
      <c r="J604" s="5">
        <v>8.9599999999999999E-2</v>
      </c>
      <c r="K604" s="5">
        <v>2</v>
      </c>
      <c r="L604" s="5">
        <v>155</v>
      </c>
      <c r="M604" s="5">
        <v>157</v>
      </c>
    </row>
    <row r="605" spans="1:13">
      <c r="A605" s="5">
        <v>604</v>
      </c>
      <c r="B605" s="6">
        <v>40571</v>
      </c>
      <c r="C605" s="5">
        <v>9</v>
      </c>
      <c r="D605" s="5" t="b">
        <v>0</v>
      </c>
      <c r="E605" s="5">
        <v>5</v>
      </c>
      <c r="F605" s="5">
        <v>3</v>
      </c>
      <c r="G605" s="5">
        <v>0.18</v>
      </c>
      <c r="H605" s="5">
        <v>0.21210000000000001</v>
      </c>
      <c r="I605" s="5">
        <v>0.86</v>
      </c>
      <c r="J605" s="5">
        <v>8.9599999999999999E-2</v>
      </c>
      <c r="K605" s="5">
        <v>6</v>
      </c>
      <c r="L605" s="5">
        <v>95</v>
      </c>
      <c r="M605" s="5">
        <v>101</v>
      </c>
    </row>
    <row r="606" spans="1:13">
      <c r="A606" s="5">
        <v>605</v>
      </c>
      <c r="B606" s="6">
        <v>40571</v>
      </c>
      <c r="C606" s="5">
        <v>10</v>
      </c>
      <c r="D606" s="5" t="b">
        <v>0</v>
      </c>
      <c r="E606" s="5">
        <v>5</v>
      </c>
      <c r="F606" s="5">
        <v>3</v>
      </c>
      <c r="G606" s="5">
        <v>0.18</v>
      </c>
      <c r="H606" s="5">
        <v>0.21210000000000001</v>
      </c>
      <c r="I606" s="5">
        <v>0.86</v>
      </c>
      <c r="J606" s="5">
        <v>0.1045</v>
      </c>
      <c r="K606" s="5">
        <v>0</v>
      </c>
      <c r="L606" s="5">
        <v>49</v>
      </c>
      <c r="M606" s="5">
        <v>49</v>
      </c>
    </row>
    <row r="607" spans="1:13">
      <c r="A607" s="5">
        <v>606</v>
      </c>
      <c r="B607" s="6">
        <v>40571</v>
      </c>
      <c r="C607" s="5">
        <v>11</v>
      </c>
      <c r="D607" s="5" t="b">
        <v>0</v>
      </c>
      <c r="E607" s="5">
        <v>5</v>
      </c>
      <c r="F607" s="5">
        <v>3</v>
      </c>
      <c r="G607" s="5">
        <v>0.18</v>
      </c>
      <c r="H607" s="5">
        <v>0.21210000000000001</v>
      </c>
      <c r="I607" s="5">
        <v>0.93</v>
      </c>
      <c r="J607" s="5">
        <v>0.1045</v>
      </c>
      <c r="K607" s="5">
        <v>0</v>
      </c>
      <c r="L607" s="5">
        <v>30</v>
      </c>
      <c r="M607" s="5">
        <v>30</v>
      </c>
    </row>
    <row r="608" spans="1:13">
      <c r="A608" s="5">
        <v>607</v>
      </c>
      <c r="B608" s="6">
        <v>40571</v>
      </c>
      <c r="C608" s="5">
        <v>12</v>
      </c>
      <c r="D608" s="5" t="b">
        <v>0</v>
      </c>
      <c r="E608" s="5">
        <v>5</v>
      </c>
      <c r="F608" s="5">
        <v>3</v>
      </c>
      <c r="G608" s="5">
        <v>0.18</v>
      </c>
      <c r="H608" s="5">
        <v>0.21210000000000001</v>
      </c>
      <c r="I608" s="5">
        <v>0.93</v>
      </c>
      <c r="J608" s="5">
        <v>0.1045</v>
      </c>
      <c r="K608" s="5">
        <v>1</v>
      </c>
      <c r="L608" s="5">
        <v>28</v>
      </c>
      <c r="M608" s="5">
        <v>29</v>
      </c>
    </row>
    <row r="609" spans="1:13">
      <c r="A609" s="5">
        <v>608</v>
      </c>
      <c r="B609" s="6">
        <v>40571</v>
      </c>
      <c r="C609" s="5">
        <v>13</v>
      </c>
      <c r="D609" s="5" t="b">
        <v>0</v>
      </c>
      <c r="E609" s="5">
        <v>5</v>
      </c>
      <c r="F609" s="5">
        <v>3</v>
      </c>
      <c r="G609" s="5">
        <v>0.18</v>
      </c>
      <c r="H609" s="5">
        <v>0.21210000000000001</v>
      </c>
      <c r="I609" s="5">
        <v>0.93</v>
      </c>
      <c r="J609" s="5">
        <v>0.1045</v>
      </c>
      <c r="K609" s="5">
        <v>0</v>
      </c>
      <c r="L609" s="5">
        <v>31</v>
      </c>
      <c r="M609" s="5">
        <v>31</v>
      </c>
    </row>
    <row r="610" spans="1:13">
      <c r="A610" s="5">
        <v>609</v>
      </c>
      <c r="B610" s="6">
        <v>40571</v>
      </c>
      <c r="C610" s="5">
        <v>14</v>
      </c>
      <c r="D610" s="5" t="b">
        <v>0</v>
      </c>
      <c r="E610" s="5">
        <v>5</v>
      </c>
      <c r="F610" s="5">
        <v>3</v>
      </c>
      <c r="G610" s="5">
        <v>0.22</v>
      </c>
      <c r="H610" s="5">
        <v>0.2727</v>
      </c>
      <c r="I610" s="5">
        <v>0.8</v>
      </c>
      <c r="J610" s="5">
        <v>0</v>
      </c>
      <c r="K610" s="5">
        <v>2</v>
      </c>
      <c r="L610" s="5">
        <v>36</v>
      </c>
      <c r="M610" s="5">
        <v>38</v>
      </c>
    </row>
    <row r="611" spans="1:13">
      <c r="A611" s="5">
        <v>610</v>
      </c>
      <c r="B611" s="6">
        <v>40571</v>
      </c>
      <c r="C611" s="5">
        <v>15</v>
      </c>
      <c r="D611" s="5" t="b">
        <v>0</v>
      </c>
      <c r="E611" s="5">
        <v>5</v>
      </c>
      <c r="F611" s="5">
        <v>2</v>
      </c>
      <c r="G611" s="5">
        <v>0.2</v>
      </c>
      <c r="H611" s="5">
        <v>0.2576</v>
      </c>
      <c r="I611" s="5">
        <v>0.86</v>
      </c>
      <c r="J611" s="5">
        <v>0</v>
      </c>
      <c r="K611" s="5">
        <v>1</v>
      </c>
      <c r="L611" s="5">
        <v>40</v>
      </c>
      <c r="M611" s="5">
        <v>41</v>
      </c>
    </row>
    <row r="612" spans="1:13">
      <c r="A612" s="7"/>
      <c r="B612" s="8"/>
      <c r="C612" s="7"/>
      <c r="D612" s="7"/>
      <c r="E612" s="7"/>
      <c r="F612" s="7"/>
      <c r="G612" s="7"/>
      <c r="H612" s="7"/>
      <c r="I612" s="7"/>
      <c r="J612" s="7"/>
      <c r="K612" s="7"/>
      <c r="L612" s="7"/>
      <c r="M612" s="7"/>
    </row>
  </sheetData>
  <conditionalFormatting sqref="A1:M612">
    <cfRule type="containsBlanks" priority="1">
      <formula>LEN(TRIM(A1))=0</formula>
    </cfRule>
  </conditionalFormatting>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91"/>
  <sheetViews>
    <sheetView topLeftCell="A385" zoomScale="65" workbookViewId="0">
      <selection sqref="A1:P1"/>
    </sheetView>
  </sheetViews>
  <sheetFormatPr defaultRowHeight="14.5"/>
  <cols>
    <col min="1" max="3" width="13.54296875" customWidth="1"/>
    <col min="4" max="4" width="9.26953125" customWidth="1"/>
    <col min="5" max="5" width="12.1796875" customWidth="1"/>
    <col min="6" max="6" width="9.453125" customWidth="1"/>
    <col min="7" max="7" width="13.90625" customWidth="1"/>
    <col min="8" max="8" width="15.26953125" customWidth="1"/>
    <col min="9" max="9" width="16.81640625" customWidth="1"/>
    <col min="10" max="10" width="12.1796875" customWidth="1"/>
    <col min="11" max="11" width="13.08984375" customWidth="1"/>
    <col min="12" max="12" width="11.453125" customWidth="1"/>
    <col min="13" max="13" width="17.08984375" customWidth="1"/>
    <col min="14" max="14" width="12.81640625" customWidth="1"/>
    <col min="15" max="15" width="16.36328125" customWidth="1"/>
    <col min="16" max="16" width="10.26953125" customWidth="1"/>
    <col min="19" max="19" width="8.7265625" customWidth="1"/>
    <col min="20" max="20" width="16" customWidth="1"/>
    <col min="21" max="21" width="13.1796875" customWidth="1"/>
  </cols>
  <sheetData>
    <row r="1" spans="1:21">
      <c r="A1" s="29" t="s">
        <v>29</v>
      </c>
      <c r="B1" s="29" t="s">
        <v>30</v>
      </c>
      <c r="C1" s="29" t="s">
        <v>22</v>
      </c>
      <c r="D1" s="29" t="s">
        <v>21</v>
      </c>
      <c r="E1" s="29" t="s">
        <v>20</v>
      </c>
      <c r="F1" s="29" t="s">
        <v>19</v>
      </c>
      <c r="G1" s="29" t="s">
        <v>18</v>
      </c>
      <c r="H1" s="29" t="s">
        <v>17</v>
      </c>
      <c r="I1" s="29" t="s">
        <v>16</v>
      </c>
      <c r="J1" s="29" t="s">
        <v>15</v>
      </c>
      <c r="K1" s="29" t="s">
        <v>23</v>
      </c>
      <c r="L1" s="29" t="s">
        <v>24</v>
      </c>
      <c r="M1" s="29" t="s">
        <v>25</v>
      </c>
      <c r="N1" s="29" t="s">
        <v>26</v>
      </c>
      <c r="O1" s="29" t="s">
        <v>27</v>
      </c>
      <c r="P1" s="29" t="s">
        <v>12</v>
      </c>
    </row>
    <row r="2" spans="1:21">
      <c r="A2" s="5">
        <v>620</v>
      </c>
      <c r="B2" s="6">
        <v>40572</v>
      </c>
      <c r="C2" s="5">
        <v>1</v>
      </c>
      <c r="D2" s="5">
        <v>0</v>
      </c>
      <c r="E2" s="5">
        <v>1</v>
      </c>
      <c r="F2" s="5">
        <v>1</v>
      </c>
      <c r="G2" s="5" t="b">
        <v>0</v>
      </c>
      <c r="H2" s="5">
        <v>6</v>
      </c>
      <c r="I2" s="5">
        <v>1</v>
      </c>
      <c r="J2" s="5">
        <v>0.22</v>
      </c>
      <c r="K2" s="5">
        <v>0.2273</v>
      </c>
      <c r="L2" s="5">
        <v>0.64</v>
      </c>
      <c r="M2" s="5">
        <v>0.19400000000000001</v>
      </c>
      <c r="N2" s="5">
        <v>0</v>
      </c>
      <c r="O2" s="5">
        <v>20</v>
      </c>
      <c r="P2" s="5">
        <v>20</v>
      </c>
      <c r="T2" s="50" t="s">
        <v>13</v>
      </c>
      <c r="U2" s="52"/>
    </row>
    <row r="3" spans="1:21">
      <c r="A3" s="5">
        <v>621</v>
      </c>
      <c r="B3" s="6">
        <v>40572</v>
      </c>
      <c r="C3" s="5">
        <v>1</v>
      </c>
      <c r="D3" s="5">
        <v>0</v>
      </c>
      <c r="E3" s="5">
        <v>1</v>
      </c>
      <c r="F3" s="5">
        <v>2</v>
      </c>
      <c r="G3" s="5" t="b">
        <v>0</v>
      </c>
      <c r="H3" s="5">
        <v>6</v>
      </c>
      <c r="I3" s="5">
        <v>1</v>
      </c>
      <c r="J3" s="5">
        <v>0.22</v>
      </c>
      <c r="K3" s="5">
        <v>0.2273</v>
      </c>
      <c r="L3" s="5">
        <v>0.64</v>
      </c>
      <c r="M3" s="5">
        <v>0.16420000000000001</v>
      </c>
      <c r="N3" s="5">
        <v>0</v>
      </c>
      <c r="O3" s="5">
        <v>15</v>
      </c>
      <c r="P3" s="5">
        <v>15</v>
      </c>
    </row>
    <row r="4" spans="1:21">
      <c r="A4" s="5">
        <v>622</v>
      </c>
      <c r="B4" s="6">
        <v>40572</v>
      </c>
      <c r="C4" s="5">
        <v>1</v>
      </c>
      <c r="D4" s="5">
        <v>0</v>
      </c>
      <c r="E4" s="5">
        <v>1</v>
      </c>
      <c r="F4" s="5">
        <v>3</v>
      </c>
      <c r="G4" s="5" t="b">
        <v>0</v>
      </c>
      <c r="H4" s="5">
        <v>6</v>
      </c>
      <c r="I4" s="5">
        <v>1</v>
      </c>
      <c r="J4" s="5">
        <v>0.2</v>
      </c>
      <c r="K4" s="5">
        <v>0.21210000000000001</v>
      </c>
      <c r="L4" s="5">
        <v>0.64</v>
      </c>
      <c r="M4" s="5">
        <v>0.1343</v>
      </c>
      <c r="N4" s="5">
        <v>3</v>
      </c>
      <c r="O4" s="5">
        <v>5</v>
      </c>
      <c r="P4" s="5">
        <v>8</v>
      </c>
    </row>
    <row r="5" spans="1:21">
      <c r="A5" s="5">
        <v>623</v>
      </c>
      <c r="B5" s="6">
        <v>40572</v>
      </c>
      <c r="C5" s="5">
        <v>1</v>
      </c>
      <c r="D5" s="5">
        <v>0</v>
      </c>
      <c r="E5" s="5">
        <v>1</v>
      </c>
      <c r="F5" s="5">
        <v>4</v>
      </c>
      <c r="G5" s="5" t="b">
        <v>0</v>
      </c>
      <c r="H5" s="5">
        <v>6</v>
      </c>
      <c r="I5" s="5">
        <v>1</v>
      </c>
      <c r="J5" s="5">
        <v>0.16</v>
      </c>
      <c r="K5" s="5">
        <v>0.18179999999999999</v>
      </c>
      <c r="L5" s="5">
        <v>0.69</v>
      </c>
      <c r="M5" s="5">
        <v>0.1045</v>
      </c>
      <c r="N5" s="5">
        <v>1</v>
      </c>
      <c r="O5" s="5">
        <v>2</v>
      </c>
      <c r="P5" s="5">
        <v>3</v>
      </c>
      <c r="T5" s="2" t="s">
        <v>4</v>
      </c>
      <c r="U5" s="2" t="s">
        <v>5</v>
      </c>
    </row>
    <row r="6" spans="1:21">
      <c r="A6" s="5">
        <v>624</v>
      </c>
      <c r="B6" s="6">
        <v>40572</v>
      </c>
      <c r="C6" s="5">
        <v>1</v>
      </c>
      <c r="D6" s="5">
        <v>0</v>
      </c>
      <c r="E6" s="5">
        <v>1</v>
      </c>
      <c r="F6" s="5">
        <v>6</v>
      </c>
      <c r="G6" s="5" t="b">
        <v>0</v>
      </c>
      <c r="H6" s="5">
        <v>6</v>
      </c>
      <c r="I6" s="5">
        <v>1</v>
      </c>
      <c r="J6" s="5">
        <v>0.16</v>
      </c>
      <c r="K6" s="5">
        <v>0.18179999999999999</v>
      </c>
      <c r="L6" s="5">
        <v>0.64</v>
      </c>
      <c r="M6" s="5">
        <v>0.1343</v>
      </c>
      <c r="N6" s="5">
        <v>0</v>
      </c>
      <c r="O6" s="5">
        <v>2</v>
      </c>
      <c r="P6" s="5">
        <v>2</v>
      </c>
      <c r="T6" s="3"/>
      <c r="U6" s="3"/>
    </row>
    <row r="7" spans="1:21">
      <c r="A7" s="5">
        <v>625</v>
      </c>
      <c r="B7" s="6">
        <v>40572</v>
      </c>
      <c r="C7" s="5">
        <v>1</v>
      </c>
      <c r="D7" s="5">
        <v>0</v>
      </c>
      <c r="E7" s="5">
        <v>1</v>
      </c>
      <c r="F7" s="5">
        <v>7</v>
      </c>
      <c r="G7" s="5" t="b">
        <v>0</v>
      </c>
      <c r="H7" s="5">
        <v>6</v>
      </c>
      <c r="I7" s="5">
        <v>1</v>
      </c>
      <c r="J7" s="5">
        <v>0.16</v>
      </c>
      <c r="K7" s="5">
        <v>0.18179999999999999</v>
      </c>
      <c r="L7" s="5">
        <v>0.59</v>
      </c>
      <c r="M7" s="5">
        <v>0.1045</v>
      </c>
      <c r="N7" s="5">
        <v>1</v>
      </c>
      <c r="O7" s="5">
        <v>4</v>
      </c>
      <c r="P7" s="5">
        <v>5</v>
      </c>
      <c r="T7" s="3" t="s">
        <v>1</v>
      </c>
      <c r="U7" s="3">
        <f>AVERAGE(dataset_3[ATemp])</f>
        <v>0.23042384615384601</v>
      </c>
    </row>
    <row r="8" spans="1:21">
      <c r="A8" s="5">
        <v>626</v>
      </c>
      <c r="B8" s="6">
        <v>40572</v>
      </c>
      <c r="C8" s="5">
        <v>1</v>
      </c>
      <c r="D8" s="5">
        <v>0</v>
      </c>
      <c r="E8" s="5">
        <v>1</v>
      </c>
      <c r="F8" s="5">
        <v>8</v>
      </c>
      <c r="G8" s="5" t="b">
        <v>0</v>
      </c>
      <c r="H8" s="5">
        <v>6</v>
      </c>
      <c r="I8" s="5">
        <v>1</v>
      </c>
      <c r="J8" s="5">
        <v>0.18</v>
      </c>
      <c r="K8" s="5">
        <v>0.19700000000000001</v>
      </c>
      <c r="L8" s="5">
        <v>0.55000000000000004</v>
      </c>
      <c r="M8" s="5">
        <v>0.16420000000000001</v>
      </c>
      <c r="N8" s="5">
        <v>3</v>
      </c>
      <c r="O8" s="5">
        <v>31</v>
      </c>
      <c r="P8" s="5">
        <v>34</v>
      </c>
      <c r="T8" s="3" t="s">
        <v>2</v>
      </c>
      <c r="U8" s="3">
        <f>MEDIAN(dataset_3[ATemp])</f>
        <v>0.2273</v>
      </c>
    </row>
    <row r="9" spans="1:21">
      <c r="A9" s="5">
        <v>627</v>
      </c>
      <c r="B9" s="6">
        <v>40572</v>
      </c>
      <c r="C9" s="5">
        <v>1</v>
      </c>
      <c r="D9" s="5">
        <v>0</v>
      </c>
      <c r="E9" s="5">
        <v>1</v>
      </c>
      <c r="F9" s="5">
        <v>9</v>
      </c>
      <c r="G9" s="5" t="b">
        <v>0</v>
      </c>
      <c r="H9" s="5">
        <v>6</v>
      </c>
      <c r="I9" s="5">
        <v>1</v>
      </c>
      <c r="J9" s="5">
        <v>0.18</v>
      </c>
      <c r="K9" s="5">
        <v>0.21210000000000001</v>
      </c>
      <c r="L9" s="5">
        <v>0.59</v>
      </c>
      <c r="M9" s="5">
        <v>8.9599999999999999E-2</v>
      </c>
      <c r="N9" s="5">
        <v>0</v>
      </c>
      <c r="O9" s="5">
        <v>34</v>
      </c>
      <c r="P9" s="5">
        <v>34</v>
      </c>
      <c r="T9" s="3" t="s">
        <v>3</v>
      </c>
      <c r="U9" s="3">
        <f>_xlfn.STDEV.S(dataset_1[Temp])/SQRT(COUNT(dataset_1[Temp]))</f>
        <v>3.2918964630001034E-3</v>
      </c>
    </row>
    <row r="10" spans="1:21">
      <c r="A10" s="5">
        <v>628</v>
      </c>
      <c r="B10" s="6">
        <v>40572</v>
      </c>
      <c r="C10" s="5">
        <v>1</v>
      </c>
      <c r="D10" s="5">
        <v>0</v>
      </c>
      <c r="E10" s="5">
        <v>1</v>
      </c>
      <c r="F10" s="5">
        <v>10</v>
      </c>
      <c r="G10" s="5" t="b">
        <v>0</v>
      </c>
      <c r="H10" s="5">
        <v>6</v>
      </c>
      <c r="I10" s="5">
        <v>2</v>
      </c>
      <c r="J10" s="5">
        <v>0.18</v>
      </c>
      <c r="K10" s="5">
        <v>0.21210000000000001</v>
      </c>
      <c r="L10" s="5">
        <v>0.64</v>
      </c>
      <c r="M10" s="5">
        <v>0.1045</v>
      </c>
      <c r="N10" s="5">
        <v>4</v>
      </c>
      <c r="O10" s="5">
        <v>51</v>
      </c>
      <c r="P10" s="5">
        <v>55</v>
      </c>
      <c r="T10" s="3" t="s">
        <v>6</v>
      </c>
      <c r="U10" s="3">
        <f>MODE(dataset_3[ATemp])</f>
        <v>0.2273</v>
      </c>
    </row>
    <row r="11" spans="1:21">
      <c r="A11" s="5">
        <v>629</v>
      </c>
      <c r="B11" s="6">
        <v>40572</v>
      </c>
      <c r="C11" s="5">
        <v>1</v>
      </c>
      <c r="D11" s="5">
        <v>0</v>
      </c>
      <c r="E11" s="5">
        <v>1</v>
      </c>
      <c r="F11" s="5">
        <v>11</v>
      </c>
      <c r="G11" s="5" t="b">
        <v>0</v>
      </c>
      <c r="H11" s="5">
        <v>6</v>
      </c>
      <c r="I11" s="5">
        <v>2</v>
      </c>
      <c r="J11" s="5">
        <v>0.18</v>
      </c>
      <c r="K11" s="5">
        <v>0.19700000000000001</v>
      </c>
      <c r="L11" s="5">
        <v>0.64</v>
      </c>
      <c r="M11" s="5">
        <v>0.1343</v>
      </c>
      <c r="N11" s="5">
        <v>4</v>
      </c>
      <c r="O11" s="5">
        <v>60</v>
      </c>
      <c r="P11" s="5">
        <v>64</v>
      </c>
      <c r="T11" s="4" t="s">
        <v>7</v>
      </c>
      <c r="U11" s="3">
        <f>_xlfn.STDEV.S(dataset_3[ATemp])</f>
        <v>6.9455388730678067E-2</v>
      </c>
    </row>
    <row r="12" spans="1:21">
      <c r="A12" s="5">
        <v>630</v>
      </c>
      <c r="B12" s="6">
        <v>40572</v>
      </c>
      <c r="C12" s="5">
        <v>1</v>
      </c>
      <c r="D12" s="5">
        <v>0</v>
      </c>
      <c r="E12" s="5">
        <v>1</v>
      </c>
      <c r="F12" s="5">
        <v>12</v>
      </c>
      <c r="G12" s="5" t="b">
        <v>0</v>
      </c>
      <c r="H12" s="5">
        <v>6</v>
      </c>
      <c r="I12" s="5">
        <v>2</v>
      </c>
      <c r="J12" s="5">
        <v>0.2</v>
      </c>
      <c r="K12" s="5">
        <v>0.19700000000000001</v>
      </c>
      <c r="L12" s="5">
        <v>0.59</v>
      </c>
      <c r="M12" s="5">
        <v>0.19400000000000001</v>
      </c>
      <c r="N12" s="5">
        <v>12</v>
      </c>
      <c r="O12" s="5">
        <v>66</v>
      </c>
      <c r="P12" s="5">
        <v>78</v>
      </c>
      <c r="T12" s="4" t="s">
        <v>8</v>
      </c>
      <c r="U12" s="3">
        <f>_xlfn.VAR.S(dataset_3[ATemp])</f>
        <v>4.8240510237296018E-3</v>
      </c>
    </row>
    <row r="13" spans="1:21">
      <c r="A13" s="5">
        <v>631</v>
      </c>
      <c r="B13" s="6">
        <v>40572</v>
      </c>
      <c r="C13" s="5">
        <v>1</v>
      </c>
      <c r="D13" s="5">
        <v>0</v>
      </c>
      <c r="E13" s="5">
        <v>1</v>
      </c>
      <c r="F13" s="5">
        <v>13</v>
      </c>
      <c r="G13" s="5" t="b">
        <v>0</v>
      </c>
      <c r="H13" s="5">
        <v>6</v>
      </c>
      <c r="I13" s="5">
        <v>2</v>
      </c>
      <c r="J13" s="5">
        <v>0.22</v>
      </c>
      <c r="K13" s="5">
        <v>0.2273</v>
      </c>
      <c r="L13" s="5">
        <v>0.55000000000000004</v>
      </c>
      <c r="M13" s="5">
        <v>0.16420000000000001</v>
      </c>
      <c r="N13" s="5">
        <v>9</v>
      </c>
      <c r="O13" s="5">
        <v>56</v>
      </c>
      <c r="P13" s="5">
        <v>65</v>
      </c>
      <c r="T13" s="3" t="s">
        <v>9</v>
      </c>
      <c r="U13" s="3">
        <f>MIN(dataset_3[ATemp])</f>
        <v>7.5800000000000006E-2</v>
      </c>
    </row>
    <row r="14" spans="1:21">
      <c r="A14" s="5">
        <v>632</v>
      </c>
      <c r="B14" s="6">
        <v>40572</v>
      </c>
      <c r="C14" s="5">
        <v>1</v>
      </c>
      <c r="D14" s="5">
        <v>0</v>
      </c>
      <c r="E14" s="5">
        <v>1</v>
      </c>
      <c r="F14" s="5">
        <v>14</v>
      </c>
      <c r="G14" s="5" t="b">
        <v>0</v>
      </c>
      <c r="H14" s="5">
        <v>6</v>
      </c>
      <c r="I14" s="5">
        <v>2</v>
      </c>
      <c r="J14" s="5">
        <v>0.22</v>
      </c>
      <c r="K14" s="5">
        <v>0.2273</v>
      </c>
      <c r="L14" s="5">
        <v>0.6</v>
      </c>
      <c r="M14" s="5">
        <v>0.1343</v>
      </c>
      <c r="N14" s="5">
        <v>10</v>
      </c>
      <c r="O14" s="5">
        <v>89</v>
      </c>
      <c r="P14" s="5">
        <v>99</v>
      </c>
      <c r="T14" s="4" t="s">
        <v>10</v>
      </c>
      <c r="U14" s="3">
        <f>MAX(dataset_3[ATemp])</f>
        <v>0.42420000000000002</v>
      </c>
    </row>
    <row r="15" spans="1:21">
      <c r="A15" s="5">
        <v>633</v>
      </c>
      <c r="B15" s="6">
        <v>40572</v>
      </c>
      <c r="C15" s="5">
        <v>1</v>
      </c>
      <c r="D15" s="5">
        <v>0</v>
      </c>
      <c r="E15" s="5">
        <v>1</v>
      </c>
      <c r="F15" s="5">
        <v>15</v>
      </c>
      <c r="G15" s="5" t="b">
        <v>0</v>
      </c>
      <c r="H15" s="5">
        <v>6</v>
      </c>
      <c r="I15" s="5">
        <v>1</v>
      </c>
      <c r="J15" s="5">
        <v>0.22</v>
      </c>
      <c r="K15" s="5">
        <v>0.21210000000000001</v>
      </c>
      <c r="L15" s="5">
        <v>0.69</v>
      </c>
      <c r="M15" s="5">
        <v>0.25369999999999998</v>
      </c>
      <c r="N15" s="5">
        <v>22</v>
      </c>
      <c r="O15" s="5">
        <v>98</v>
      </c>
      <c r="P15" s="5">
        <v>120</v>
      </c>
      <c r="T15" s="4" t="s">
        <v>11</v>
      </c>
      <c r="U15" s="3">
        <f>SUM(dataset_3[ATemp])</f>
        <v>89.865299999999948</v>
      </c>
    </row>
    <row r="16" spans="1:21">
      <c r="A16" s="5">
        <v>634</v>
      </c>
      <c r="B16" s="6">
        <v>40572</v>
      </c>
      <c r="C16" s="5">
        <v>1</v>
      </c>
      <c r="D16" s="5">
        <v>0</v>
      </c>
      <c r="E16" s="5">
        <v>1</v>
      </c>
      <c r="F16" s="5">
        <v>16</v>
      </c>
      <c r="G16" s="5" t="b">
        <v>0</v>
      </c>
      <c r="H16" s="5">
        <v>6</v>
      </c>
      <c r="I16" s="5">
        <v>1</v>
      </c>
      <c r="J16" s="5">
        <v>0.24</v>
      </c>
      <c r="K16" s="5">
        <v>0.2424</v>
      </c>
      <c r="L16" s="5">
        <v>0.6</v>
      </c>
      <c r="M16" s="5">
        <v>0.16420000000000001</v>
      </c>
      <c r="N16" s="5">
        <v>19</v>
      </c>
      <c r="O16" s="5">
        <v>88</v>
      </c>
      <c r="P16" s="5">
        <v>107</v>
      </c>
      <c r="T16" s="4" t="s">
        <v>12</v>
      </c>
      <c r="U16" s="3">
        <f>COUNT(dataset_3[ATemp])</f>
        <v>390</v>
      </c>
    </row>
    <row r="17" spans="1:21">
      <c r="A17" s="5">
        <v>635</v>
      </c>
      <c r="B17" s="6">
        <v>40572</v>
      </c>
      <c r="C17" s="5">
        <v>1</v>
      </c>
      <c r="D17" s="5">
        <v>0</v>
      </c>
      <c r="E17" s="5">
        <v>1</v>
      </c>
      <c r="F17" s="5">
        <v>17</v>
      </c>
      <c r="G17" s="5" t="b">
        <v>0</v>
      </c>
      <c r="H17" s="5">
        <v>6</v>
      </c>
      <c r="I17" s="5">
        <v>1</v>
      </c>
      <c r="J17" s="5">
        <v>0.24</v>
      </c>
      <c r="K17" s="5">
        <v>0.28789999999999999</v>
      </c>
      <c r="L17" s="5">
        <v>0.6</v>
      </c>
      <c r="M17" s="5">
        <v>0</v>
      </c>
      <c r="N17" s="5">
        <v>9</v>
      </c>
      <c r="O17" s="5">
        <v>82</v>
      </c>
      <c r="P17" s="5">
        <v>91</v>
      </c>
    </row>
    <row r="18" spans="1:21">
      <c r="A18" s="5">
        <v>636</v>
      </c>
      <c r="B18" s="6">
        <v>40572</v>
      </c>
      <c r="C18" s="5">
        <v>1</v>
      </c>
      <c r="D18" s="5">
        <v>0</v>
      </c>
      <c r="E18" s="5">
        <v>1</v>
      </c>
      <c r="F18" s="5">
        <v>18</v>
      </c>
      <c r="G18" s="5" t="b">
        <v>0</v>
      </c>
      <c r="H18" s="5">
        <v>6</v>
      </c>
      <c r="I18" s="5">
        <v>1</v>
      </c>
      <c r="J18" s="5">
        <v>0.22</v>
      </c>
      <c r="K18" s="5">
        <v>0.2273</v>
      </c>
      <c r="L18" s="5">
        <v>0.69</v>
      </c>
      <c r="M18" s="5">
        <v>0.1343</v>
      </c>
      <c r="N18" s="5">
        <v>9</v>
      </c>
      <c r="O18" s="5">
        <v>59</v>
      </c>
      <c r="P18" s="5">
        <v>68</v>
      </c>
    </row>
    <row r="19" spans="1:21">
      <c r="A19" s="5">
        <v>637</v>
      </c>
      <c r="B19" s="6">
        <v>40572</v>
      </c>
      <c r="C19" s="5">
        <v>1</v>
      </c>
      <c r="D19" s="5">
        <v>0</v>
      </c>
      <c r="E19" s="5">
        <v>1</v>
      </c>
      <c r="F19" s="5">
        <v>19</v>
      </c>
      <c r="G19" s="5" t="b">
        <v>0</v>
      </c>
      <c r="H19" s="5">
        <v>6</v>
      </c>
      <c r="I19" s="5">
        <v>2</v>
      </c>
      <c r="J19" s="5">
        <v>0.22</v>
      </c>
      <c r="K19" s="5">
        <v>0.21210000000000001</v>
      </c>
      <c r="L19" s="5">
        <v>0.69</v>
      </c>
      <c r="M19" s="5">
        <v>0.25369999999999998</v>
      </c>
      <c r="N19" s="5">
        <v>6</v>
      </c>
      <c r="O19" s="5">
        <v>52</v>
      </c>
      <c r="P19" s="5">
        <v>58</v>
      </c>
      <c r="T19" s="50" t="s">
        <v>14</v>
      </c>
      <c r="U19" s="51"/>
    </row>
    <row r="20" spans="1:21">
      <c r="A20" s="5">
        <v>638</v>
      </c>
      <c r="B20" s="6">
        <v>40572</v>
      </c>
      <c r="C20" s="5">
        <v>1</v>
      </c>
      <c r="D20" s="5">
        <v>0</v>
      </c>
      <c r="E20" s="5">
        <v>1</v>
      </c>
      <c r="F20" s="5">
        <v>20</v>
      </c>
      <c r="G20" s="5" t="b">
        <v>0</v>
      </c>
      <c r="H20" s="5">
        <v>6</v>
      </c>
      <c r="I20" s="5">
        <v>1</v>
      </c>
      <c r="J20" s="5">
        <v>0.18</v>
      </c>
      <c r="K20" s="5">
        <v>0.21210000000000001</v>
      </c>
      <c r="L20" s="5">
        <v>0.74</v>
      </c>
      <c r="M20" s="5">
        <v>8.9599999999999999E-2</v>
      </c>
      <c r="N20" s="5">
        <v>1</v>
      </c>
      <c r="O20" s="5">
        <v>42</v>
      </c>
      <c r="P20" s="5">
        <v>43</v>
      </c>
    </row>
    <row r="21" spans="1:21">
      <c r="A21" s="5">
        <v>639</v>
      </c>
      <c r="B21" s="6">
        <v>40572</v>
      </c>
      <c r="C21" s="5">
        <v>1</v>
      </c>
      <c r="D21" s="5">
        <v>0</v>
      </c>
      <c r="E21" s="5">
        <v>1</v>
      </c>
      <c r="F21" s="5">
        <v>21</v>
      </c>
      <c r="G21" s="5" t="b">
        <v>0</v>
      </c>
      <c r="H21" s="5">
        <v>6</v>
      </c>
      <c r="I21" s="5">
        <v>1</v>
      </c>
      <c r="J21" s="5">
        <v>0.18</v>
      </c>
      <c r="K21" s="5">
        <v>0.21210000000000001</v>
      </c>
      <c r="L21" s="5">
        <v>0.74</v>
      </c>
      <c r="M21" s="5">
        <v>8.9599999999999999E-2</v>
      </c>
      <c r="N21" s="5">
        <v>1</v>
      </c>
      <c r="O21" s="5">
        <v>35</v>
      </c>
      <c r="P21" s="5">
        <v>36</v>
      </c>
      <c r="T21" s="2" t="s">
        <v>4</v>
      </c>
      <c r="U21" s="2" t="s">
        <v>5</v>
      </c>
    </row>
    <row r="22" spans="1:21">
      <c r="A22" s="5">
        <v>640</v>
      </c>
      <c r="B22" s="6">
        <v>40572</v>
      </c>
      <c r="C22" s="5">
        <v>1</v>
      </c>
      <c r="D22" s="5">
        <v>0</v>
      </c>
      <c r="E22" s="5">
        <v>1</v>
      </c>
      <c r="F22" s="5">
        <v>22</v>
      </c>
      <c r="G22" s="5" t="b">
        <v>0</v>
      </c>
      <c r="H22" s="5">
        <v>6</v>
      </c>
      <c r="I22" s="5">
        <v>1</v>
      </c>
      <c r="J22" s="5">
        <v>0.16</v>
      </c>
      <c r="K22" s="5">
        <v>0.19700000000000001</v>
      </c>
      <c r="L22" s="5">
        <v>0.8</v>
      </c>
      <c r="M22" s="5">
        <v>8.9599999999999999E-2</v>
      </c>
      <c r="N22" s="5">
        <v>4</v>
      </c>
      <c r="O22" s="5">
        <v>28</v>
      </c>
      <c r="P22" s="5">
        <v>32</v>
      </c>
      <c r="T22" s="3"/>
      <c r="U22" s="3"/>
    </row>
    <row r="23" spans="1:21">
      <c r="A23" s="5">
        <v>641</v>
      </c>
      <c r="B23" s="6">
        <v>40572</v>
      </c>
      <c r="C23" s="5">
        <v>1</v>
      </c>
      <c r="D23" s="5">
        <v>0</v>
      </c>
      <c r="E23" s="5">
        <v>1</v>
      </c>
      <c r="F23" s="5">
        <v>23</v>
      </c>
      <c r="G23" s="5" t="b">
        <v>0</v>
      </c>
      <c r="H23" s="5">
        <v>6</v>
      </c>
      <c r="I23" s="5">
        <v>1</v>
      </c>
      <c r="J23" s="5">
        <v>0.16</v>
      </c>
      <c r="K23" s="5">
        <v>0.19700000000000001</v>
      </c>
      <c r="L23" s="5">
        <v>0.8</v>
      </c>
      <c r="M23" s="5">
        <v>8.9599999999999999E-2</v>
      </c>
      <c r="N23" s="5">
        <v>3</v>
      </c>
      <c r="O23" s="5">
        <v>30</v>
      </c>
      <c r="P23" s="5">
        <v>33</v>
      </c>
      <c r="T23" s="3" t="s">
        <v>1</v>
      </c>
      <c r="U23" s="3">
        <f>AVERAGE(dataset_3[Windspeed])</f>
        <v>0.1794158974358977</v>
      </c>
    </row>
    <row r="24" spans="1:21">
      <c r="A24" s="5">
        <v>642</v>
      </c>
      <c r="B24" s="6">
        <v>40573</v>
      </c>
      <c r="C24" s="5">
        <v>1</v>
      </c>
      <c r="D24" s="5">
        <v>0</v>
      </c>
      <c r="E24" s="5">
        <v>1</v>
      </c>
      <c r="F24" s="5">
        <v>0</v>
      </c>
      <c r="G24" s="5" t="b">
        <v>0</v>
      </c>
      <c r="H24" s="5">
        <v>0</v>
      </c>
      <c r="I24" s="5">
        <v>1</v>
      </c>
      <c r="J24" s="5">
        <v>0.16</v>
      </c>
      <c r="K24" s="5">
        <v>0.18179999999999999</v>
      </c>
      <c r="L24" s="5">
        <v>0.8</v>
      </c>
      <c r="M24" s="5">
        <v>0.1045</v>
      </c>
      <c r="N24" s="5">
        <v>0</v>
      </c>
      <c r="O24" s="5">
        <v>33</v>
      </c>
      <c r="P24" s="5">
        <v>33</v>
      </c>
      <c r="T24" s="3" t="s">
        <v>2</v>
      </c>
      <c r="U24" s="3">
        <f>MEDIAN(dataset_3[Windspeed])</f>
        <v>0.16420000000000001</v>
      </c>
    </row>
    <row r="25" spans="1:21">
      <c r="A25" s="5">
        <v>643</v>
      </c>
      <c r="B25" s="6">
        <v>40573</v>
      </c>
      <c r="C25" s="5">
        <v>1</v>
      </c>
      <c r="D25" s="5">
        <v>0</v>
      </c>
      <c r="E25" s="5">
        <v>1</v>
      </c>
      <c r="F25" s="5">
        <v>1</v>
      </c>
      <c r="G25" s="5" t="b">
        <v>0</v>
      </c>
      <c r="H25" s="5">
        <v>0</v>
      </c>
      <c r="I25" s="5">
        <v>1</v>
      </c>
      <c r="J25" s="5">
        <v>0.14000000000000001</v>
      </c>
      <c r="K25" s="5">
        <v>0.21210000000000001</v>
      </c>
      <c r="L25" s="5">
        <v>0.8</v>
      </c>
      <c r="M25" s="5">
        <v>0</v>
      </c>
      <c r="N25" s="5">
        <v>7</v>
      </c>
      <c r="O25" s="5">
        <v>22</v>
      </c>
      <c r="P25" s="5">
        <v>29</v>
      </c>
      <c r="T25" s="3" t="s">
        <v>3</v>
      </c>
      <c r="U25" s="3" t="e">
        <f>_xlfn.STDEV.S(M3/SQRT(COUNT(M2)))</f>
        <v>#DIV/0!</v>
      </c>
    </row>
    <row r="26" spans="1:21">
      <c r="A26" s="5">
        <v>644</v>
      </c>
      <c r="B26" s="6">
        <v>40573</v>
      </c>
      <c r="C26" s="5">
        <v>1</v>
      </c>
      <c r="D26" s="5">
        <v>0</v>
      </c>
      <c r="E26" s="5">
        <v>1</v>
      </c>
      <c r="F26" s="5">
        <v>2</v>
      </c>
      <c r="G26" s="5" t="b">
        <v>0</v>
      </c>
      <c r="H26" s="5">
        <v>0</v>
      </c>
      <c r="I26" s="5">
        <v>1</v>
      </c>
      <c r="J26" s="5">
        <v>0.16</v>
      </c>
      <c r="K26" s="5">
        <v>0.2273</v>
      </c>
      <c r="L26" s="5">
        <v>0.8</v>
      </c>
      <c r="M26" s="5">
        <v>0</v>
      </c>
      <c r="N26" s="5">
        <v>1</v>
      </c>
      <c r="O26" s="5">
        <v>10</v>
      </c>
      <c r="P26" s="5">
        <v>11</v>
      </c>
      <c r="T26" s="3" t="s">
        <v>6</v>
      </c>
      <c r="U26" s="3">
        <f>MODE(dataset_3[Windspeed])</f>
        <v>0</v>
      </c>
    </row>
    <row r="27" spans="1:21">
      <c r="A27" s="5">
        <v>645</v>
      </c>
      <c r="B27" s="6">
        <v>40573</v>
      </c>
      <c r="C27" s="5">
        <v>1</v>
      </c>
      <c r="D27" s="5">
        <v>0</v>
      </c>
      <c r="E27" s="5">
        <v>1</v>
      </c>
      <c r="F27" s="5">
        <v>3</v>
      </c>
      <c r="G27" s="5" t="b">
        <v>0</v>
      </c>
      <c r="H27" s="5">
        <v>0</v>
      </c>
      <c r="I27" s="5">
        <v>1</v>
      </c>
      <c r="J27" s="5">
        <v>0.14000000000000001</v>
      </c>
      <c r="K27" s="5">
        <v>0.21210000000000001</v>
      </c>
      <c r="L27" s="5">
        <v>0.93</v>
      </c>
      <c r="M27" s="5">
        <v>0</v>
      </c>
      <c r="N27" s="5">
        <v>1</v>
      </c>
      <c r="O27" s="5">
        <v>7</v>
      </c>
      <c r="P27" s="5">
        <v>8</v>
      </c>
      <c r="T27" s="4" t="s">
        <v>7</v>
      </c>
      <c r="U27" s="3" t="e">
        <f>_xlfn.STDEV.S(#REF!)</f>
        <v>#REF!</v>
      </c>
    </row>
    <row r="28" spans="1:21">
      <c r="A28" s="5">
        <v>646</v>
      </c>
      <c r="B28" s="6">
        <v>40573</v>
      </c>
      <c r="C28" s="5">
        <v>1</v>
      </c>
      <c r="D28" s="5">
        <v>0</v>
      </c>
      <c r="E28" s="5">
        <v>1</v>
      </c>
      <c r="F28" s="5">
        <v>4</v>
      </c>
      <c r="G28" s="5" t="b">
        <v>0</v>
      </c>
      <c r="H28" s="5">
        <v>0</v>
      </c>
      <c r="I28" s="5">
        <v>1</v>
      </c>
      <c r="J28" s="5">
        <v>0.14000000000000001</v>
      </c>
      <c r="K28" s="5">
        <v>0.21210000000000001</v>
      </c>
      <c r="L28" s="5">
        <v>0.93</v>
      </c>
      <c r="M28" s="5">
        <v>0</v>
      </c>
      <c r="N28" s="5">
        <v>0</v>
      </c>
      <c r="O28" s="5">
        <v>1</v>
      </c>
      <c r="P28" s="5">
        <v>1</v>
      </c>
      <c r="T28" s="4" t="s">
        <v>8</v>
      </c>
      <c r="U28" s="3">
        <f>_xlfn.VAR.S(dataset_3[Windspeed])</f>
        <v>1.919645681603048E-2</v>
      </c>
    </row>
    <row r="29" spans="1:21">
      <c r="A29" s="5">
        <v>647</v>
      </c>
      <c r="B29" s="6">
        <v>40573</v>
      </c>
      <c r="C29" s="5">
        <v>1</v>
      </c>
      <c r="D29" s="5">
        <v>0</v>
      </c>
      <c r="E29" s="5">
        <v>1</v>
      </c>
      <c r="F29" s="5">
        <v>5</v>
      </c>
      <c r="G29" s="5" t="b">
        <v>0</v>
      </c>
      <c r="H29" s="5">
        <v>0</v>
      </c>
      <c r="I29" s="5">
        <v>1</v>
      </c>
      <c r="J29" s="5">
        <v>0.14000000000000001</v>
      </c>
      <c r="K29" s="5">
        <v>0.21210000000000001</v>
      </c>
      <c r="L29" s="5">
        <v>0.86</v>
      </c>
      <c r="M29" s="5">
        <v>0</v>
      </c>
      <c r="N29" s="5">
        <v>0</v>
      </c>
      <c r="O29" s="5">
        <v>3</v>
      </c>
      <c r="P29" s="5">
        <v>3</v>
      </c>
      <c r="T29" s="3" t="s">
        <v>9</v>
      </c>
      <c r="U29" s="3">
        <f>MIN(dataset_3[Windspeed])</f>
        <v>0</v>
      </c>
    </row>
    <row r="30" spans="1:21">
      <c r="A30" s="5">
        <v>648</v>
      </c>
      <c r="B30" s="6">
        <v>40573</v>
      </c>
      <c r="C30" s="5">
        <v>1</v>
      </c>
      <c r="D30" s="5">
        <v>0</v>
      </c>
      <c r="E30" s="5">
        <v>1</v>
      </c>
      <c r="F30" s="5">
        <v>7</v>
      </c>
      <c r="G30" s="5" t="b">
        <v>0</v>
      </c>
      <c r="H30" s="5">
        <v>0</v>
      </c>
      <c r="I30" s="5">
        <v>1</v>
      </c>
      <c r="J30" s="5">
        <v>0.14000000000000001</v>
      </c>
      <c r="K30" s="5">
        <v>0.21210000000000001</v>
      </c>
      <c r="L30" s="5">
        <v>0.86</v>
      </c>
      <c r="M30" s="5">
        <v>0</v>
      </c>
      <c r="N30" s="5">
        <v>0</v>
      </c>
      <c r="O30" s="5">
        <v>3</v>
      </c>
      <c r="P30" s="5">
        <v>3</v>
      </c>
      <c r="T30" s="4" t="s">
        <v>10</v>
      </c>
      <c r="U30" s="3">
        <f>MAX(dataset_3[Windspeed])</f>
        <v>0.58209999999999995</v>
      </c>
    </row>
    <row r="31" spans="1:21">
      <c r="A31" s="5">
        <v>649</v>
      </c>
      <c r="B31" s="6">
        <v>40573</v>
      </c>
      <c r="C31" s="5">
        <v>1</v>
      </c>
      <c r="D31" s="5">
        <v>0</v>
      </c>
      <c r="E31" s="5">
        <v>1</v>
      </c>
      <c r="F31" s="5">
        <v>8</v>
      </c>
      <c r="G31" s="5" t="b">
        <v>0</v>
      </c>
      <c r="H31" s="5">
        <v>0</v>
      </c>
      <c r="I31" s="5">
        <v>2</v>
      </c>
      <c r="J31" s="5">
        <v>0.14000000000000001</v>
      </c>
      <c r="K31" s="5">
        <v>0.21210000000000001</v>
      </c>
      <c r="L31" s="5">
        <v>0.86</v>
      </c>
      <c r="M31" s="5">
        <v>0</v>
      </c>
      <c r="N31" s="5">
        <v>1</v>
      </c>
      <c r="O31" s="5">
        <v>11</v>
      </c>
      <c r="P31" s="5">
        <v>12</v>
      </c>
      <c r="T31" s="4" t="s">
        <v>11</v>
      </c>
      <c r="U31" s="3" t="e">
        <f>SUM(#REF!)</f>
        <v>#REF!</v>
      </c>
    </row>
    <row r="32" spans="1:21">
      <c r="A32" s="5">
        <v>650</v>
      </c>
      <c r="B32" s="6">
        <v>40573</v>
      </c>
      <c r="C32" s="5">
        <v>1</v>
      </c>
      <c r="D32" s="5">
        <v>0</v>
      </c>
      <c r="E32" s="5">
        <v>1</v>
      </c>
      <c r="F32" s="5">
        <v>9</v>
      </c>
      <c r="G32" s="5" t="b">
        <v>0</v>
      </c>
      <c r="H32" s="5">
        <v>0</v>
      </c>
      <c r="I32" s="5">
        <v>2</v>
      </c>
      <c r="J32" s="5">
        <v>0.16</v>
      </c>
      <c r="K32" s="5">
        <v>0.2273</v>
      </c>
      <c r="L32" s="5">
        <v>0.8</v>
      </c>
      <c r="M32" s="5">
        <v>0</v>
      </c>
      <c r="N32" s="5">
        <v>4</v>
      </c>
      <c r="O32" s="5">
        <v>34</v>
      </c>
      <c r="P32" s="5">
        <v>38</v>
      </c>
      <c r="T32" s="4" t="s">
        <v>12</v>
      </c>
      <c r="U32" s="3">
        <f>COUNT(dataset_3[Windspeed])</f>
        <v>390</v>
      </c>
    </row>
    <row r="33" spans="1:16">
      <c r="A33" s="5">
        <v>651</v>
      </c>
      <c r="B33" s="6">
        <v>40573</v>
      </c>
      <c r="C33" s="5">
        <v>1</v>
      </c>
      <c r="D33" s="5">
        <v>0</v>
      </c>
      <c r="E33" s="5">
        <v>1</v>
      </c>
      <c r="F33" s="5">
        <v>10</v>
      </c>
      <c r="G33" s="5" t="b">
        <v>0</v>
      </c>
      <c r="H33" s="5">
        <v>0</v>
      </c>
      <c r="I33" s="5">
        <v>2</v>
      </c>
      <c r="J33" s="5">
        <v>0.18</v>
      </c>
      <c r="K33" s="5">
        <v>0.2424</v>
      </c>
      <c r="L33" s="5">
        <v>0.8</v>
      </c>
      <c r="M33" s="5">
        <v>0</v>
      </c>
      <c r="N33" s="5">
        <v>7</v>
      </c>
      <c r="O33" s="5">
        <v>57</v>
      </c>
      <c r="P33" s="5">
        <v>64</v>
      </c>
    </row>
    <row r="34" spans="1:16">
      <c r="A34" s="5">
        <v>652</v>
      </c>
      <c r="B34" s="6">
        <v>40573</v>
      </c>
      <c r="C34" s="5">
        <v>1</v>
      </c>
      <c r="D34" s="5">
        <v>0</v>
      </c>
      <c r="E34" s="5">
        <v>1</v>
      </c>
      <c r="F34" s="5">
        <v>11</v>
      </c>
      <c r="G34" s="5" t="b">
        <v>0</v>
      </c>
      <c r="H34" s="5">
        <v>0</v>
      </c>
      <c r="I34" s="5">
        <v>1</v>
      </c>
      <c r="J34" s="5">
        <v>0.22</v>
      </c>
      <c r="K34" s="5">
        <v>0.2727</v>
      </c>
      <c r="L34" s="5">
        <v>0.75</v>
      </c>
      <c r="M34" s="5">
        <v>0</v>
      </c>
      <c r="N34" s="5">
        <v>9</v>
      </c>
      <c r="O34" s="5">
        <v>50</v>
      </c>
      <c r="P34" s="5">
        <v>59</v>
      </c>
    </row>
    <row r="35" spans="1:16">
      <c r="A35" s="5">
        <v>653</v>
      </c>
      <c r="B35" s="6">
        <v>40573</v>
      </c>
      <c r="C35" s="5">
        <v>1</v>
      </c>
      <c r="D35" s="5">
        <v>0</v>
      </c>
      <c r="E35" s="5">
        <v>1</v>
      </c>
      <c r="F35" s="5">
        <v>12</v>
      </c>
      <c r="G35" s="5" t="b">
        <v>0</v>
      </c>
      <c r="H35" s="5">
        <v>0</v>
      </c>
      <c r="I35" s="5">
        <v>1</v>
      </c>
      <c r="J35" s="5">
        <v>0.3</v>
      </c>
      <c r="K35" s="5">
        <v>0.31819999999999998</v>
      </c>
      <c r="L35" s="5">
        <v>0.52</v>
      </c>
      <c r="M35" s="5">
        <v>0.1045</v>
      </c>
      <c r="N35" s="5">
        <v>10</v>
      </c>
      <c r="O35" s="5">
        <v>87</v>
      </c>
      <c r="P35" s="5">
        <v>97</v>
      </c>
    </row>
    <row r="36" spans="1:16">
      <c r="A36" s="5">
        <v>654</v>
      </c>
      <c r="B36" s="6">
        <v>40573</v>
      </c>
      <c r="C36" s="5">
        <v>1</v>
      </c>
      <c r="D36" s="5">
        <v>0</v>
      </c>
      <c r="E36" s="5">
        <v>1</v>
      </c>
      <c r="F36" s="5">
        <v>13</v>
      </c>
      <c r="G36" s="5" t="b">
        <v>0</v>
      </c>
      <c r="H36" s="5">
        <v>0</v>
      </c>
      <c r="I36" s="5">
        <v>1</v>
      </c>
      <c r="J36" s="5">
        <v>0.28000000000000003</v>
      </c>
      <c r="K36" s="5">
        <v>0.28789999999999999</v>
      </c>
      <c r="L36" s="5">
        <v>0.61</v>
      </c>
      <c r="M36" s="5">
        <v>0.1045</v>
      </c>
      <c r="N36" s="5">
        <v>13</v>
      </c>
      <c r="O36" s="5">
        <v>71</v>
      </c>
      <c r="P36" s="5">
        <v>84</v>
      </c>
    </row>
    <row r="37" spans="1:16">
      <c r="A37" s="5">
        <v>655</v>
      </c>
      <c r="B37" s="6">
        <v>40573</v>
      </c>
      <c r="C37" s="5">
        <v>1</v>
      </c>
      <c r="D37" s="5">
        <v>0</v>
      </c>
      <c r="E37" s="5">
        <v>1</v>
      </c>
      <c r="F37" s="5">
        <v>14</v>
      </c>
      <c r="G37" s="5" t="b">
        <v>0</v>
      </c>
      <c r="H37" s="5">
        <v>0</v>
      </c>
      <c r="I37" s="5">
        <v>1</v>
      </c>
      <c r="J37" s="5">
        <v>0.28000000000000003</v>
      </c>
      <c r="K37" s="5">
        <v>0.30299999999999999</v>
      </c>
      <c r="L37" s="5">
        <v>0.61</v>
      </c>
      <c r="M37" s="5">
        <v>8.9599999999999999E-2</v>
      </c>
      <c r="N37" s="5">
        <v>18</v>
      </c>
      <c r="O37" s="5">
        <v>104</v>
      </c>
      <c r="P37" s="5">
        <v>122</v>
      </c>
    </row>
    <row r="38" spans="1:16">
      <c r="A38" s="5">
        <v>656</v>
      </c>
      <c r="B38" s="6">
        <v>40573</v>
      </c>
      <c r="C38" s="5">
        <v>1</v>
      </c>
      <c r="D38" s="5">
        <v>0</v>
      </c>
      <c r="E38" s="5">
        <v>1</v>
      </c>
      <c r="F38" s="5">
        <v>15</v>
      </c>
      <c r="G38" s="5" t="b">
        <v>0</v>
      </c>
      <c r="H38" s="5">
        <v>0</v>
      </c>
      <c r="I38" s="5">
        <v>1</v>
      </c>
      <c r="J38" s="5">
        <v>0.3</v>
      </c>
      <c r="K38" s="5">
        <v>0.33329999999999999</v>
      </c>
      <c r="L38" s="5">
        <v>0.56000000000000005</v>
      </c>
      <c r="M38" s="5">
        <v>0</v>
      </c>
      <c r="N38" s="5">
        <v>14</v>
      </c>
      <c r="O38" s="5">
        <v>95</v>
      </c>
      <c r="P38" s="5">
        <v>109</v>
      </c>
    </row>
    <row r="39" spans="1:16">
      <c r="A39" s="5">
        <v>657</v>
      </c>
      <c r="B39" s="6">
        <v>40573</v>
      </c>
      <c r="C39" s="5">
        <v>1</v>
      </c>
      <c r="D39" s="5">
        <v>0</v>
      </c>
      <c r="E39" s="5">
        <v>1</v>
      </c>
      <c r="F39" s="5">
        <v>16</v>
      </c>
      <c r="G39" s="5" t="b">
        <v>0</v>
      </c>
      <c r="H39" s="5">
        <v>0</v>
      </c>
      <c r="I39" s="5">
        <v>1</v>
      </c>
      <c r="J39" s="5">
        <v>0.3</v>
      </c>
      <c r="K39" s="5">
        <v>0.33329999999999999</v>
      </c>
      <c r="L39" s="5">
        <v>0.56000000000000005</v>
      </c>
      <c r="M39" s="5">
        <v>0</v>
      </c>
      <c r="N39" s="5">
        <v>19</v>
      </c>
      <c r="O39" s="5">
        <v>104</v>
      </c>
      <c r="P39" s="5">
        <v>123</v>
      </c>
    </row>
    <row r="40" spans="1:16">
      <c r="A40" s="5">
        <v>658</v>
      </c>
      <c r="B40" s="6">
        <v>40573</v>
      </c>
      <c r="C40" s="5">
        <v>1</v>
      </c>
      <c r="D40" s="5">
        <v>0</v>
      </c>
      <c r="E40" s="5">
        <v>1</v>
      </c>
      <c r="F40" s="5">
        <v>17</v>
      </c>
      <c r="G40" s="5" t="b">
        <v>0</v>
      </c>
      <c r="H40" s="5">
        <v>0</v>
      </c>
      <c r="I40" s="5">
        <v>1</v>
      </c>
      <c r="J40" s="5">
        <v>0.3</v>
      </c>
      <c r="K40" s="5">
        <v>0.28789999999999999</v>
      </c>
      <c r="L40" s="5">
        <v>0.56000000000000005</v>
      </c>
      <c r="M40" s="5">
        <v>0.19400000000000001</v>
      </c>
      <c r="N40" s="5">
        <v>6</v>
      </c>
      <c r="O40" s="5">
        <v>71</v>
      </c>
      <c r="P40" s="5">
        <v>77</v>
      </c>
    </row>
    <row r="41" spans="1:16">
      <c r="A41" s="5">
        <v>659</v>
      </c>
      <c r="B41" s="6">
        <v>40573</v>
      </c>
      <c r="C41" s="5">
        <v>1</v>
      </c>
      <c r="D41" s="5">
        <v>0</v>
      </c>
      <c r="E41" s="5">
        <v>1</v>
      </c>
      <c r="F41" s="5">
        <v>18</v>
      </c>
      <c r="G41" s="5" t="b">
        <v>0</v>
      </c>
      <c r="H41" s="5">
        <v>0</v>
      </c>
      <c r="I41" s="5">
        <v>1</v>
      </c>
      <c r="J41" s="5">
        <v>0.26</v>
      </c>
      <c r="K41" s="5">
        <v>0.2576</v>
      </c>
      <c r="L41" s="5">
        <v>0.65</v>
      </c>
      <c r="M41" s="5">
        <v>0.16420000000000001</v>
      </c>
      <c r="N41" s="5">
        <v>8</v>
      </c>
      <c r="O41" s="5">
        <v>57</v>
      </c>
      <c r="P41" s="5">
        <v>65</v>
      </c>
    </row>
    <row r="42" spans="1:16">
      <c r="A42" s="5">
        <v>660</v>
      </c>
      <c r="B42" s="6">
        <v>40573</v>
      </c>
      <c r="C42" s="5">
        <v>1</v>
      </c>
      <c r="D42" s="5">
        <v>0</v>
      </c>
      <c r="E42" s="5">
        <v>1</v>
      </c>
      <c r="F42" s="5">
        <v>19</v>
      </c>
      <c r="G42" s="5" t="b">
        <v>0</v>
      </c>
      <c r="H42" s="5">
        <v>0</v>
      </c>
      <c r="I42" s="5">
        <v>1</v>
      </c>
      <c r="J42" s="5">
        <v>0.26</v>
      </c>
      <c r="K42" s="5">
        <v>0.2576</v>
      </c>
      <c r="L42" s="5">
        <v>0.65</v>
      </c>
      <c r="M42" s="5">
        <v>0.19400000000000001</v>
      </c>
      <c r="N42" s="5">
        <v>9</v>
      </c>
      <c r="O42" s="5">
        <v>46</v>
      </c>
      <c r="P42" s="5">
        <v>55</v>
      </c>
    </row>
    <row r="43" spans="1:16">
      <c r="A43" s="5">
        <v>661</v>
      </c>
      <c r="B43" s="6">
        <v>40573</v>
      </c>
      <c r="C43" s="5">
        <v>1</v>
      </c>
      <c r="D43" s="5">
        <v>0</v>
      </c>
      <c r="E43" s="5">
        <v>1</v>
      </c>
      <c r="F43" s="5">
        <v>20</v>
      </c>
      <c r="G43" s="5" t="b">
        <v>0</v>
      </c>
      <c r="H43" s="5">
        <v>0</v>
      </c>
      <c r="I43" s="5">
        <v>2</v>
      </c>
      <c r="J43" s="5">
        <v>0.26</v>
      </c>
      <c r="K43" s="5">
        <v>0.2727</v>
      </c>
      <c r="L43" s="5">
        <v>0.65</v>
      </c>
      <c r="M43" s="5">
        <v>0.1045</v>
      </c>
      <c r="N43" s="5">
        <v>3</v>
      </c>
      <c r="O43" s="5">
        <v>30</v>
      </c>
      <c r="P43" s="5">
        <v>33</v>
      </c>
    </row>
    <row r="44" spans="1:16">
      <c r="A44" s="5">
        <v>662</v>
      </c>
      <c r="B44" s="6">
        <v>40573</v>
      </c>
      <c r="C44" s="5">
        <v>1</v>
      </c>
      <c r="D44" s="5">
        <v>0</v>
      </c>
      <c r="E44" s="5">
        <v>1</v>
      </c>
      <c r="F44" s="5">
        <v>21</v>
      </c>
      <c r="G44" s="5" t="b">
        <v>0</v>
      </c>
      <c r="H44" s="5">
        <v>0</v>
      </c>
      <c r="I44" s="5">
        <v>2</v>
      </c>
      <c r="J44" s="5">
        <v>0.24</v>
      </c>
      <c r="K44" s="5">
        <v>0.2424</v>
      </c>
      <c r="L44" s="5">
        <v>0.7</v>
      </c>
      <c r="M44" s="5">
        <v>0.16420000000000001</v>
      </c>
      <c r="N44" s="5">
        <v>3</v>
      </c>
      <c r="O44" s="5">
        <v>25</v>
      </c>
      <c r="P44" s="5">
        <v>28</v>
      </c>
    </row>
    <row r="45" spans="1:16">
      <c r="A45" s="5">
        <v>663</v>
      </c>
      <c r="B45" s="6">
        <v>40573</v>
      </c>
      <c r="C45" s="5">
        <v>1</v>
      </c>
      <c r="D45" s="5">
        <v>0</v>
      </c>
      <c r="E45" s="5">
        <v>1</v>
      </c>
      <c r="F45" s="5">
        <v>22</v>
      </c>
      <c r="G45" s="5" t="b">
        <v>0</v>
      </c>
      <c r="H45" s="5">
        <v>0</v>
      </c>
      <c r="I45" s="5">
        <v>2</v>
      </c>
      <c r="J45" s="5">
        <v>0.24</v>
      </c>
      <c r="K45" s="5">
        <v>0.2273</v>
      </c>
      <c r="L45" s="5">
        <v>0.7</v>
      </c>
      <c r="M45" s="5">
        <v>0.19400000000000001</v>
      </c>
      <c r="N45" s="5">
        <v>2</v>
      </c>
      <c r="O45" s="5">
        <v>19</v>
      </c>
      <c r="P45" s="5">
        <v>21</v>
      </c>
    </row>
    <row r="46" spans="1:16">
      <c r="A46" s="5">
        <v>664</v>
      </c>
      <c r="B46" s="6">
        <v>40573</v>
      </c>
      <c r="C46" s="5">
        <v>1</v>
      </c>
      <c r="D46" s="5">
        <v>0</v>
      </c>
      <c r="E46" s="5">
        <v>1</v>
      </c>
      <c r="F46" s="5">
        <v>23</v>
      </c>
      <c r="G46" s="5" t="b">
        <v>0</v>
      </c>
      <c r="H46" s="5">
        <v>0</v>
      </c>
      <c r="I46" s="5">
        <v>2</v>
      </c>
      <c r="J46" s="5">
        <v>0.24</v>
      </c>
      <c r="K46" s="5">
        <v>0.21210000000000001</v>
      </c>
      <c r="L46" s="5">
        <v>0.65</v>
      </c>
      <c r="M46" s="5">
        <v>0.28360000000000002</v>
      </c>
      <c r="N46" s="5">
        <v>5</v>
      </c>
      <c r="O46" s="5">
        <v>16</v>
      </c>
      <c r="P46" s="5">
        <v>21</v>
      </c>
    </row>
    <row r="47" spans="1:16">
      <c r="A47" s="5">
        <v>665</v>
      </c>
      <c r="B47" s="6">
        <v>40574</v>
      </c>
      <c r="C47" s="5">
        <v>1</v>
      </c>
      <c r="D47" s="5">
        <v>0</v>
      </c>
      <c r="E47" s="5">
        <v>1</v>
      </c>
      <c r="F47" s="5">
        <v>0</v>
      </c>
      <c r="G47" s="5" t="b">
        <v>0</v>
      </c>
      <c r="H47" s="5">
        <v>1</v>
      </c>
      <c r="I47" s="5">
        <v>2</v>
      </c>
      <c r="J47" s="5">
        <v>0.24</v>
      </c>
      <c r="K47" s="5">
        <v>0.2273</v>
      </c>
      <c r="L47" s="5">
        <v>0.65</v>
      </c>
      <c r="M47" s="5">
        <v>0.22389999999999999</v>
      </c>
      <c r="N47" s="5">
        <v>1</v>
      </c>
      <c r="O47" s="5">
        <v>6</v>
      </c>
      <c r="P47" s="5">
        <v>7</v>
      </c>
    </row>
    <row r="48" spans="1:16">
      <c r="A48" s="5">
        <v>666</v>
      </c>
      <c r="B48" s="6">
        <v>40574</v>
      </c>
      <c r="C48" s="5">
        <v>1</v>
      </c>
      <c r="D48" s="5">
        <v>0</v>
      </c>
      <c r="E48" s="5">
        <v>1</v>
      </c>
      <c r="F48" s="5">
        <v>1</v>
      </c>
      <c r="G48" s="5" t="b">
        <v>0</v>
      </c>
      <c r="H48" s="5">
        <v>1</v>
      </c>
      <c r="I48" s="5">
        <v>1</v>
      </c>
      <c r="J48" s="5">
        <v>0.22</v>
      </c>
      <c r="K48" s="5">
        <v>0.21210000000000001</v>
      </c>
      <c r="L48" s="5">
        <v>0.64</v>
      </c>
      <c r="M48" s="5">
        <v>0.25369999999999998</v>
      </c>
      <c r="N48" s="5">
        <v>2</v>
      </c>
      <c r="O48" s="5">
        <v>5</v>
      </c>
      <c r="P48" s="5">
        <v>7</v>
      </c>
    </row>
    <row r="49" spans="1:16">
      <c r="A49" s="5">
        <v>667</v>
      </c>
      <c r="B49" s="6">
        <v>40574</v>
      </c>
      <c r="C49" s="5">
        <v>1</v>
      </c>
      <c r="D49" s="5">
        <v>0</v>
      </c>
      <c r="E49" s="5">
        <v>1</v>
      </c>
      <c r="F49" s="5">
        <v>2</v>
      </c>
      <c r="G49" s="5" t="b">
        <v>0</v>
      </c>
      <c r="H49" s="5">
        <v>1</v>
      </c>
      <c r="I49" s="5">
        <v>1</v>
      </c>
      <c r="J49" s="5">
        <v>0.22</v>
      </c>
      <c r="K49" s="5">
        <v>0.2273</v>
      </c>
      <c r="L49" s="5">
        <v>0.64</v>
      </c>
      <c r="M49" s="5">
        <v>0.19400000000000001</v>
      </c>
      <c r="N49" s="5">
        <v>0</v>
      </c>
      <c r="O49" s="5">
        <v>1</v>
      </c>
      <c r="P49" s="5">
        <v>1</v>
      </c>
    </row>
    <row r="50" spans="1:16">
      <c r="A50" s="5">
        <v>668</v>
      </c>
      <c r="B50" s="6">
        <v>40574</v>
      </c>
      <c r="C50" s="5">
        <v>1</v>
      </c>
      <c r="D50" s="5">
        <v>0</v>
      </c>
      <c r="E50" s="5">
        <v>1</v>
      </c>
      <c r="F50" s="5">
        <v>3</v>
      </c>
      <c r="G50" s="5" t="b">
        <v>0</v>
      </c>
      <c r="H50" s="5">
        <v>1</v>
      </c>
      <c r="I50" s="5">
        <v>1</v>
      </c>
      <c r="J50" s="5">
        <v>0.22</v>
      </c>
      <c r="K50" s="5">
        <v>0.2273</v>
      </c>
      <c r="L50" s="5">
        <v>0.64</v>
      </c>
      <c r="M50" s="5">
        <v>0.19400000000000001</v>
      </c>
      <c r="N50" s="5">
        <v>0</v>
      </c>
      <c r="O50" s="5">
        <v>2</v>
      </c>
      <c r="P50" s="5">
        <v>2</v>
      </c>
    </row>
    <row r="51" spans="1:16">
      <c r="A51" s="5">
        <v>669</v>
      </c>
      <c r="B51" s="6">
        <v>40574</v>
      </c>
      <c r="C51" s="5">
        <v>1</v>
      </c>
      <c r="D51" s="5">
        <v>0</v>
      </c>
      <c r="E51" s="5">
        <v>1</v>
      </c>
      <c r="F51" s="5">
        <v>4</v>
      </c>
      <c r="G51" s="5" t="b">
        <v>0</v>
      </c>
      <c r="H51" s="5">
        <v>1</v>
      </c>
      <c r="I51" s="5">
        <v>1</v>
      </c>
      <c r="J51" s="5">
        <v>0.2</v>
      </c>
      <c r="K51" s="5">
        <v>0.19700000000000001</v>
      </c>
      <c r="L51" s="5">
        <v>0.59</v>
      </c>
      <c r="M51" s="5">
        <v>0.22389999999999999</v>
      </c>
      <c r="N51" s="5">
        <v>0</v>
      </c>
      <c r="O51" s="5">
        <v>2</v>
      </c>
      <c r="P51" s="5">
        <v>2</v>
      </c>
    </row>
    <row r="52" spans="1:16">
      <c r="A52" s="5">
        <v>670</v>
      </c>
      <c r="B52" s="6">
        <v>40574</v>
      </c>
      <c r="C52" s="5">
        <v>1</v>
      </c>
      <c r="D52" s="5">
        <v>0</v>
      </c>
      <c r="E52" s="5">
        <v>1</v>
      </c>
      <c r="F52" s="5">
        <v>5</v>
      </c>
      <c r="G52" s="5" t="b">
        <v>0</v>
      </c>
      <c r="H52" s="5">
        <v>1</v>
      </c>
      <c r="I52" s="5">
        <v>1</v>
      </c>
      <c r="J52" s="5">
        <v>0.18</v>
      </c>
      <c r="K52" s="5">
        <v>0.16669999999999999</v>
      </c>
      <c r="L52" s="5">
        <v>0.64</v>
      </c>
      <c r="M52" s="5">
        <v>0.28360000000000002</v>
      </c>
      <c r="N52" s="5">
        <v>0</v>
      </c>
      <c r="O52" s="5">
        <v>8</v>
      </c>
      <c r="P52" s="5">
        <v>8</v>
      </c>
    </row>
    <row r="53" spans="1:16">
      <c r="A53" s="5">
        <v>671</v>
      </c>
      <c r="B53" s="6">
        <v>40574</v>
      </c>
      <c r="C53" s="5">
        <v>1</v>
      </c>
      <c r="D53" s="5">
        <v>0</v>
      </c>
      <c r="E53" s="5">
        <v>1</v>
      </c>
      <c r="F53" s="5">
        <v>6</v>
      </c>
      <c r="G53" s="5" t="b">
        <v>0</v>
      </c>
      <c r="H53" s="5">
        <v>1</v>
      </c>
      <c r="I53" s="5">
        <v>1</v>
      </c>
      <c r="J53" s="5">
        <v>0.16</v>
      </c>
      <c r="K53" s="5">
        <v>0.13639999999999999</v>
      </c>
      <c r="L53" s="5">
        <v>0.69</v>
      </c>
      <c r="M53" s="5">
        <v>0.32840000000000003</v>
      </c>
      <c r="N53" s="5">
        <v>0</v>
      </c>
      <c r="O53" s="5">
        <v>37</v>
      </c>
      <c r="P53" s="5">
        <v>37</v>
      </c>
    </row>
    <row r="54" spans="1:16">
      <c r="A54" s="5">
        <v>672</v>
      </c>
      <c r="B54" s="6">
        <v>40574</v>
      </c>
      <c r="C54" s="5">
        <v>1</v>
      </c>
      <c r="D54" s="5">
        <v>0</v>
      </c>
      <c r="E54" s="5">
        <v>1</v>
      </c>
      <c r="F54" s="5">
        <v>7</v>
      </c>
      <c r="G54" s="5" t="b">
        <v>0</v>
      </c>
      <c r="H54" s="5">
        <v>1</v>
      </c>
      <c r="I54" s="5">
        <v>2</v>
      </c>
      <c r="J54" s="5">
        <v>0.16</v>
      </c>
      <c r="K54" s="5">
        <v>0.13639999999999999</v>
      </c>
      <c r="L54" s="5">
        <v>0.64</v>
      </c>
      <c r="M54" s="5">
        <v>0.28360000000000002</v>
      </c>
      <c r="N54" s="5">
        <v>1</v>
      </c>
      <c r="O54" s="5">
        <v>71</v>
      </c>
      <c r="P54" s="5">
        <v>72</v>
      </c>
    </row>
    <row r="55" spans="1:16">
      <c r="A55" s="5">
        <v>673</v>
      </c>
      <c r="B55" s="6">
        <v>40574</v>
      </c>
      <c r="C55" s="5">
        <v>1</v>
      </c>
      <c r="D55" s="5">
        <v>0</v>
      </c>
      <c r="E55" s="5">
        <v>1</v>
      </c>
      <c r="F55" s="5">
        <v>8</v>
      </c>
      <c r="G55" s="5" t="b">
        <v>0</v>
      </c>
      <c r="H55" s="5">
        <v>1</v>
      </c>
      <c r="I55" s="5">
        <v>2</v>
      </c>
      <c r="J55" s="5">
        <v>0.16</v>
      </c>
      <c r="K55" s="5">
        <v>0.13639999999999999</v>
      </c>
      <c r="L55" s="5">
        <v>0.59</v>
      </c>
      <c r="M55" s="5">
        <v>0.28360000000000002</v>
      </c>
      <c r="N55" s="5">
        <v>3</v>
      </c>
      <c r="O55" s="5">
        <v>182</v>
      </c>
      <c r="P55" s="5">
        <v>185</v>
      </c>
    </row>
    <row r="56" spans="1:16">
      <c r="A56" s="5">
        <v>674</v>
      </c>
      <c r="B56" s="6">
        <v>40574</v>
      </c>
      <c r="C56" s="5">
        <v>1</v>
      </c>
      <c r="D56" s="5">
        <v>0</v>
      </c>
      <c r="E56" s="5">
        <v>1</v>
      </c>
      <c r="F56" s="5">
        <v>9</v>
      </c>
      <c r="G56" s="5" t="b">
        <v>0</v>
      </c>
      <c r="H56" s="5">
        <v>1</v>
      </c>
      <c r="I56" s="5">
        <v>2</v>
      </c>
      <c r="J56" s="5">
        <v>0.16</v>
      </c>
      <c r="K56" s="5">
        <v>0.13639999999999999</v>
      </c>
      <c r="L56" s="5">
        <v>0.59</v>
      </c>
      <c r="M56" s="5">
        <v>0.29849999999999999</v>
      </c>
      <c r="N56" s="5">
        <v>0</v>
      </c>
      <c r="O56" s="5">
        <v>112</v>
      </c>
      <c r="P56" s="5">
        <v>112</v>
      </c>
    </row>
    <row r="57" spans="1:16">
      <c r="A57" s="5">
        <v>675</v>
      </c>
      <c r="B57" s="6">
        <v>40574</v>
      </c>
      <c r="C57" s="5">
        <v>1</v>
      </c>
      <c r="D57" s="5">
        <v>0</v>
      </c>
      <c r="E57" s="5">
        <v>1</v>
      </c>
      <c r="F57" s="5">
        <v>10</v>
      </c>
      <c r="G57" s="5" t="b">
        <v>0</v>
      </c>
      <c r="H57" s="5">
        <v>1</v>
      </c>
      <c r="I57" s="5">
        <v>2</v>
      </c>
      <c r="J57" s="5">
        <v>0.16</v>
      </c>
      <c r="K57" s="5">
        <v>0.1515</v>
      </c>
      <c r="L57" s="5">
        <v>0.59</v>
      </c>
      <c r="M57" s="5">
        <v>0.19400000000000001</v>
      </c>
      <c r="N57" s="5">
        <v>1</v>
      </c>
      <c r="O57" s="5">
        <v>68</v>
      </c>
      <c r="P57" s="5">
        <v>69</v>
      </c>
    </row>
    <row r="58" spans="1:16">
      <c r="A58" s="5">
        <v>676</v>
      </c>
      <c r="B58" s="6">
        <v>40574</v>
      </c>
      <c r="C58" s="5">
        <v>1</v>
      </c>
      <c r="D58" s="5">
        <v>0</v>
      </c>
      <c r="E58" s="5">
        <v>1</v>
      </c>
      <c r="F58" s="5">
        <v>11</v>
      </c>
      <c r="G58" s="5" t="b">
        <v>0</v>
      </c>
      <c r="H58" s="5">
        <v>1</v>
      </c>
      <c r="I58" s="5">
        <v>2</v>
      </c>
      <c r="J58" s="5">
        <v>0.16</v>
      </c>
      <c r="K58" s="5">
        <v>0.1515</v>
      </c>
      <c r="L58" s="5">
        <v>0.59</v>
      </c>
      <c r="M58" s="5">
        <v>0.19400000000000001</v>
      </c>
      <c r="N58" s="5">
        <v>2</v>
      </c>
      <c r="O58" s="5">
        <v>46</v>
      </c>
      <c r="P58" s="5">
        <v>48</v>
      </c>
    </row>
    <row r="59" spans="1:16">
      <c r="A59" s="5">
        <v>677</v>
      </c>
      <c r="B59" s="6">
        <v>40574</v>
      </c>
      <c r="C59" s="5">
        <v>1</v>
      </c>
      <c r="D59" s="5">
        <v>0</v>
      </c>
      <c r="E59" s="5">
        <v>1</v>
      </c>
      <c r="F59" s="5">
        <v>12</v>
      </c>
      <c r="G59" s="5" t="b">
        <v>0</v>
      </c>
      <c r="H59" s="5">
        <v>1</v>
      </c>
      <c r="I59" s="5">
        <v>2</v>
      </c>
      <c r="J59" s="5">
        <v>0.18</v>
      </c>
      <c r="K59" s="5">
        <v>0.21210000000000001</v>
      </c>
      <c r="L59" s="5">
        <v>0.55000000000000004</v>
      </c>
      <c r="M59" s="5">
        <v>0.1045</v>
      </c>
      <c r="N59" s="5">
        <v>6</v>
      </c>
      <c r="O59" s="5">
        <v>62</v>
      </c>
      <c r="P59" s="5">
        <v>68</v>
      </c>
    </row>
    <row r="60" spans="1:16">
      <c r="A60" s="5">
        <v>678</v>
      </c>
      <c r="B60" s="6">
        <v>40574</v>
      </c>
      <c r="C60" s="5">
        <v>1</v>
      </c>
      <c r="D60" s="5">
        <v>0</v>
      </c>
      <c r="E60" s="5">
        <v>1</v>
      </c>
      <c r="F60" s="5">
        <v>13</v>
      </c>
      <c r="G60" s="5" t="b">
        <v>0</v>
      </c>
      <c r="H60" s="5">
        <v>1</v>
      </c>
      <c r="I60" s="5">
        <v>2</v>
      </c>
      <c r="J60" s="5">
        <v>0.16</v>
      </c>
      <c r="K60" s="5">
        <v>0.2273</v>
      </c>
      <c r="L60" s="5">
        <v>0.59</v>
      </c>
      <c r="M60" s="5">
        <v>0</v>
      </c>
      <c r="N60" s="5">
        <v>2</v>
      </c>
      <c r="O60" s="5">
        <v>52</v>
      </c>
      <c r="P60" s="5">
        <v>54</v>
      </c>
    </row>
    <row r="61" spans="1:16">
      <c r="A61" s="5">
        <v>679</v>
      </c>
      <c r="B61" s="6">
        <v>40574</v>
      </c>
      <c r="C61" s="5">
        <v>1</v>
      </c>
      <c r="D61" s="5">
        <v>0</v>
      </c>
      <c r="E61" s="5">
        <v>1</v>
      </c>
      <c r="F61" s="5">
        <v>14</v>
      </c>
      <c r="G61" s="5" t="b">
        <v>0</v>
      </c>
      <c r="H61" s="5">
        <v>1</v>
      </c>
      <c r="I61" s="5">
        <v>2</v>
      </c>
      <c r="J61" s="5">
        <v>0.18</v>
      </c>
      <c r="K61" s="5">
        <v>0.19700000000000001</v>
      </c>
      <c r="L61" s="5">
        <v>0.55000000000000004</v>
      </c>
      <c r="M61" s="5">
        <v>0.1343</v>
      </c>
      <c r="N61" s="5">
        <v>1</v>
      </c>
      <c r="O61" s="5">
        <v>85</v>
      </c>
      <c r="P61" s="5">
        <v>86</v>
      </c>
    </row>
    <row r="62" spans="1:16">
      <c r="A62" s="5">
        <v>680</v>
      </c>
      <c r="B62" s="6">
        <v>40574</v>
      </c>
      <c r="C62" s="5">
        <v>1</v>
      </c>
      <c r="D62" s="5">
        <v>0</v>
      </c>
      <c r="E62" s="5">
        <v>1</v>
      </c>
      <c r="F62" s="5">
        <v>15</v>
      </c>
      <c r="G62" s="5" t="b">
        <v>0</v>
      </c>
      <c r="H62" s="5">
        <v>1</v>
      </c>
      <c r="I62" s="5">
        <v>2</v>
      </c>
      <c r="J62" s="5">
        <v>0.16</v>
      </c>
      <c r="K62" s="5">
        <v>0.18179999999999999</v>
      </c>
      <c r="L62" s="5">
        <v>0.59</v>
      </c>
      <c r="M62" s="5">
        <v>0.1343</v>
      </c>
      <c r="N62" s="5">
        <v>3</v>
      </c>
      <c r="O62" s="5">
        <v>41</v>
      </c>
      <c r="P62" s="5">
        <v>44</v>
      </c>
    </row>
    <row r="63" spans="1:16">
      <c r="A63" s="5">
        <v>681</v>
      </c>
      <c r="B63" s="6">
        <v>40574</v>
      </c>
      <c r="C63" s="5">
        <v>1</v>
      </c>
      <c r="D63" s="5">
        <v>0</v>
      </c>
      <c r="E63" s="5">
        <v>1</v>
      </c>
      <c r="F63" s="5">
        <v>16</v>
      </c>
      <c r="G63" s="5" t="b">
        <v>0</v>
      </c>
      <c r="H63" s="5">
        <v>1</v>
      </c>
      <c r="I63" s="5">
        <v>2</v>
      </c>
      <c r="J63" s="5">
        <v>0.16</v>
      </c>
      <c r="K63" s="5">
        <v>0.18179999999999999</v>
      </c>
      <c r="L63" s="5">
        <v>0.56000000000000005</v>
      </c>
      <c r="M63" s="5">
        <v>0.19400000000000001</v>
      </c>
      <c r="N63" s="5">
        <v>3</v>
      </c>
      <c r="O63" s="5">
        <v>83</v>
      </c>
      <c r="P63" s="5">
        <v>86</v>
      </c>
    </row>
    <row r="64" spans="1:16">
      <c r="A64" s="5">
        <v>682</v>
      </c>
      <c r="B64" s="6">
        <v>40574</v>
      </c>
      <c r="C64" s="5">
        <v>1</v>
      </c>
      <c r="D64" s="5">
        <v>0</v>
      </c>
      <c r="E64" s="5">
        <v>1</v>
      </c>
      <c r="F64" s="5">
        <v>17</v>
      </c>
      <c r="G64" s="5" t="b">
        <v>0</v>
      </c>
      <c r="H64" s="5">
        <v>1</v>
      </c>
      <c r="I64" s="5">
        <v>2</v>
      </c>
      <c r="J64" s="5">
        <v>0.16</v>
      </c>
      <c r="K64" s="5">
        <v>0.1515</v>
      </c>
      <c r="L64" s="5">
        <v>0.59</v>
      </c>
      <c r="M64" s="5">
        <v>0.19400000000000001</v>
      </c>
      <c r="N64" s="5">
        <v>6</v>
      </c>
      <c r="O64" s="5">
        <v>155</v>
      </c>
      <c r="P64" s="5">
        <v>161</v>
      </c>
    </row>
    <row r="65" spans="1:16">
      <c r="A65" s="5">
        <v>683</v>
      </c>
      <c r="B65" s="6">
        <v>40574</v>
      </c>
      <c r="C65" s="5">
        <v>1</v>
      </c>
      <c r="D65" s="5">
        <v>0</v>
      </c>
      <c r="E65" s="5">
        <v>1</v>
      </c>
      <c r="F65" s="5">
        <v>18</v>
      </c>
      <c r="G65" s="5" t="b">
        <v>0</v>
      </c>
      <c r="H65" s="5">
        <v>1</v>
      </c>
      <c r="I65" s="5">
        <v>2</v>
      </c>
      <c r="J65" s="5">
        <v>0.16</v>
      </c>
      <c r="K65" s="5">
        <v>0.1515</v>
      </c>
      <c r="L65" s="5">
        <v>0.55000000000000004</v>
      </c>
      <c r="M65" s="5">
        <v>0.22389999999999999</v>
      </c>
      <c r="N65" s="5">
        <v>3</v>
      </c>
      <c r="O65" s="5">
        <v>153</v>
      </c>
      <c r="P65" s="5">
        <v>156</v>
      </c>
    </row>
    <row r="66" spans="1:16">
      <c r="A66" s="5">
        <v>684</v>
      </c>
      <c r="B66" s="6">
        <v>40574</v>
      </c>
      <c r="C66" s="5">
        <v>1</v>
      </c>
      <c r="D66" s="5">
        <v>0</v>
      </c>
      <c r="E66" s="5">
        <v>1</v>
      </c>
      <c r="F66" s="5">
        <v>19</v>
      </c>
      <c r="G66" s="5" t="b">
        <v>0</v>
      </c>
      <c r="H66" s="5">
        <v>1</v>
      </c>
      <c r="I66" s="5">
        <v>1</v>
      </c>
      <c r="J66" s="5">
        <v>0.3</v>
      </c>
      <c r="K66" s="5">
        <v>0.31819999999999998</v>
      </c>
      <c r="L66" s="5">
        <v>0.61</v>
      </c>
      <c r="M66" s="5">
        <v>0.1045</v>
      </c>
      <c r="N66" s="5">
        <v>3</v>
      </c>
      <c r="O66" s="5">
        <v>108</v>
      </c>
      <c r="P66" s="5">
        <v>111</v>
      </c>
    </row>
    <row r="67" spans="1:16">
      <c r="A67" s="5">
        <v>685</v>
      </c>
      <c r="B67" s="6">
        <v>40574</v>
      </c>
      <c r="C67" s="5">
        <v>1</v>
      </c>
      <c r="D67" s="5">
        <v>0</v>
      </c>
      <c r="E67" s="5">
        <v>1</v>
      </c>
      <c r="F67" s="5">
        <v>20</v>
      </c>
      <c r="G67" s="5" t="b">
        <v>0</v>
      </c>
      <c r="H67" s="5">
        <v>1</v>
      </c>
      <c r="I67" s="5">
        <v>3</v>
      </c>
      <c r="J67" s="5">
        <v>0.16</v>
      </c>
      <c r="K67" s="5">
        <v>0.16669999999999999</v>
      </c>
      <c r="L67" s="5">
        <v>0.59</v>
      </c>
      <c r="M67" s="5">
        <v>0.16420000000000001</v>
      </c>
      <c r="N67" s="5">
        <v>0</v>
      </c>
      <c r="O67" s="5">
        <v>78</v>
      </c>
      <c r="P67" s="5">
        <v>78</v>
      </c>
    </row>
    <row r="68" spans="1:16">
      <c r="A68" s="5">
        <v>686</v>
      </c>
      <c r="B68" s="6">
        <v>40574</v>
      </c>
      <c r="C68" s="5">
        <v>1</v>
      </c>
      <c r="D68" s="5">
        <v>0</v>
      </c>
      <c r="E68" s="5">
        <v>1</v>
      </c>
      <c r="F68" s="5">
        <v>21</v>
      </c>
      <c r="G68" s="5" t="b">
        <v>0</v>
      </c>
      <c r="H68" s="5">
        <v>1</v>
      </c>
      <c r="I68" s="5">
        <v>3</v>
      </c>
      <c r="J68" s="5">
        <v>0.16</v>
      </c>
      <c r="K68" s="5">
        <v>0.19700000000000001</v>
      </c>
      <c r="L68" s="5">
        <v>0.59</v>
      </c>
      <c r="M68" s="5">
        <v>8.9599999999999999E-2</v>
      </c>
      <c r="N68" s="5">
        <v>3</v>
      </c>
      <c r="O68" s="5">
        <v>53</v>
      </c>
      <c r="P68" s="5">
        <v>56</v>
      </c>
    </row>
    <row r="69" spans="1:16">
      <c r="A69" s="5">
        <v>687</v>
      </c>
      <c r="B69" s="6">
        <v>40574</v>
      </c>
      <c r="C69" s="5">
        <v>1</v>
      </c>
      <c r="D69" s="5">
        <v>0</v>
      </c>
      <c r="E69" s="5">
        <v>1</v>
      </c>
      <c r="F69" s="5">
        <v>22</v>
      </c>
      <c r="G69" s="5" t="b">
        <v>0</v>
      </c>
      <c r="H69" s="5">
        <v>1</v>
      </c>
      <c r="I69" s="5">
        <v>2</v>
      </c>
      <c r="J69" s="5">
        <v>0.16</v>
      </c>
      <c r="K69" s="5">
        <v>0.18179999999999999</v>
      </c>
      <c r="L69" s="5">
        <v>0.59</v>
      </c>
      <c r="M69" s="5">
        <v>0.1045</v>
      </c>
      <c r="N69" s="5">
        <v>0</v>
      </c>
      <c r="O69" s="5">
        <v>34</v>
      </c>
      <c r="P69" s="5">
        <v>34</v>
      </c>
    </row>
    <row r="70" spans="1:16">
      <c r="A70" s="5">
        <v>688</v>
      </c>
      <c r="B70" s="6">
        <v>40574</v>
      </c>
      <c r="C70" s="5">
        <v>1</v>
      </c>
      <c r="D70" s="5">
        <v>0</v>
      </c>
      <c r="E70" s="5">
        <v>1</v>
      </c>
      <c r="F70" s="5">
        <v>23</v>
      </c>
      <c r="G70" s="5" t="b">
        <v>0</v>
      </c>
      <c r="H70" s="5">
        <v>1</v>
      </c>
      <c r="I70" s="5">
        <v>2</v>
      </c>
      <c r="J70" s="5">
        <v>0.16</v>
      </c>
      <c r="K70" s="5">
        <v>0.19700000000000001</v>
      </c>
      <c r="L70" s="5">
        <v>0.64</v>
      </c>
      <c r="M70" s="5">
        <v>8.9599999999999999E-2</v>
      </c>
      <c r="N70" s="5">
        <v>2</v>
      </c>
      <c r="O70" s="5">
        <v>15</v>
      </c>
      <c r="P70" s="5">
        <v>17</v>
      </c>
    </row>
    <row r="71" spans="1:16">
      <c r="A71" s="5">
        <v>689</v>
      </c>
      <c r="B71" s="6">
        <v>40575</v>
      </c>
      <c r="C71" s="5">
        <v>1</v>
      </c>
      <c r="D71" s="5">
        <v>0</v>
      </c>
      <c r="E71" s="5">
        <v>2</v>
      </c>
      <c r="F71" s="5">
        <v>0</v>
      </c>
      <c r="G71" s="5" t="b">
        <v>0</v>
      </c>
      <c r="H71" s="5">
        <v>2</v>
      </c>
      <c r="I71" s="5">
        <v>2</v>
      </c>
      <c r="J71" s="5">
        <v>0.16</v>
      </c>
      <c r="K71" s="5">
        <v>0.18179999999999999</v>
      </c>
      <c r="L71" s="5">
        <v>0.64</v>
      </c>
      <c r="M71" s="5">
        <v>0.1045</v>
      </c>
      <c r="N71" s="5">
        <v>2</v>
      </c>
      <c r="O71" s="5">
        <v>6</v>
      </c>
      <c r="P71" s="5">
        <v>8</v>
      </c>
    </row>
    <row r="72" spans="1:16">
      <c r="A72" s="5">
        <v>690</v>
      </c>
      <c r="B72" s="6">
        <v>40575</v>
      </c>
      <c r="C72" s="5">
        <v>1</v>
      </c>
      <c r="D72" s="5">
        <v>0</v>
      </c>
      <c r="E72" s="5">
        <v>2</v>
      </c>
      <c r="F72" s="5">
        <v>1</v>
      </c>
      <c r="G72" s="5" t="b">
        <v>0</v>
      </c>
      <c r="H72" s="5">
        <v>2</v>
      </c>
      <c r="I72" s="5">
        <v>2</v>
      </c>
      <c r="J72" s="5">
        <v>0.16</v>
      </c>
      <c r="K72" s="5">
        <v>0.18179999999999999</v>
      </c>
      <c r="L72" s="5">
        <v>0.69</v>
      </c>
      <c r="M72" s="5">
        <v>0.1045</v>
      </c>
      <c r="N72" s="5">
        <v>0</v>
      </c>
      <c r="O72" s="5">
        <v>3</v>
      </c>
      <c r="P72" s="5">
        <v>3</v>
      </c>
    </row>
    <row r="73" spans="1:16">
      <c r="A73" s="5">
        <v>691</v>
      </c>
      <c r="B73" s="6">
        <v>40575</v>
      </c>
      <c r="C73" s="5">
        <v>1</v>
      </c>
      <c r="D73" s="5">
        <v>0</v>
      </c>
      <c r="E73" s="5">
        <v>2</v>
      </c>
      <c r="F73" s="5">
        <v>2</v>
      </c>
      <c r="G73" s="5" t="b">
        <v>0</v>
      </c>
      <c r="H73" s="5">
        <v>2</v>
      </c>
      <c r="I73" s="5">
        <v>2</v>
      </c>
      <c r="J73" s="5">
        <v>0.16</v>
      </c>
      <c r="K73" s="5">
        <v>0.2273</v>
      </c>
      <c r="L73" s="5">
        <v>0.69</v>
      </c>
      <c r="M73" s="5">
        <v>0</v>
      </c>
      <c r="N73" s="5">
        <v>0</v>
      </c>
      <c r="O73" s="5">
        <v>2</v>
      </c>
      <c r="P73" s="5">
        <v>2</v>
      </c>
    </row>
    <row r="74" spans="1:16">
      <c r="A74" s="5">
        <v>692</v>
      </c>
      <c r="B74" s="6">
        <v>40575</v>
      </c>
      <c r="C74" s="5">
        <v>1</v>
      </c>
      <c r="D74" s="5">
        <v>0</v>
      </c>
      <c r="E74" s="5">
        <v>2</v>
      </c>
      <c r="F74" s="5">
        <v>3</v>
      </c>
      <c r="G74" s="5" t="b">
        <v>0</v>
      </c>
      <c r="H74" s="5">
        <v>2</v>
      </c>
      <c r="I74" s="5">
        <v>2</v>
      </c>
      <c r="J74" s="5">
        <v>0.16</v>
      </c>
      <c r="K74" s="5">
        <v>0.2273</v>
      </c>
      <c r="L74" s="5">
        <v>0.69</v>
      </c>
      <c r="M74" s="5">
        <v>0</v>
      </c>
      <c r="N74" s="5">
        <v>0</v>
      </c>
      <c r="O74" s="5">
        <v>2</v>
      </c>
      <c r="P74" s="5">
        <v>2</v>
      </c>
    </row>
    <row r="75" spans="1:16">
      <c r="A75" s="5">
        <v>693</v>
      </c>
      <c r="B75" s="6">
        <v>40575</v>
      </c>
      <c r="C75" s="5">
        <v>1</v>
      </c>
      <c r="D75" s="5">
        <v>0</v>
      </c>
      <c r="E75" s="5">
        <v>2</v>
      </c>
      <c r="F75" s="5">
        <v>5</v>
      </c>
      <c r="G75" s="5" t="b">
        <v>0</v>
      </c>
      <c r="H75" s="5">
        <v>2</v>
      </c>
      <c r="I75" s="5">
        <v>3</v>
      </c>
      <c r="J75" s="5">
        <v>0.14000000000000001</v>
      </c>
      <c r="K75" s="5">
        <v>0.21210000000000001</v>
      </c>
      <c r="L75" s="5">
        <v>0.93</v>
      </c>
      <c r="M75" s="5">
        <v>0</v>
      </c>
      <c r="N75" s="5">
        <v>0</v>
      </c>
      <c r="O75" s="5">
        <v>3</v>
      </c>
      <c r="P75" s="5">
        <v>3</v>
      </c>
    </row>
    <row r="76" spans="1:16">
      <c r="A76" s="5">
        <v>694</v>
      </c>
      <c r="B76" s="6">
        <v>40575</v>
      </c>
      <c r="C76" s="5">
        <v>1</v>
      </c>
      <c r="D76" s="5">
        <v>0</v>
      </c>
      <c r="E76" s="5">
        <v>2</v>
      </c>
      <c r="F76" s="5">
        <v>6</v>
      </c>
      <c r="G76" s="5" t="b">
        <v>0</v>
      </c>
      <c r="H76" s="5">
        <v>2</v>
      </c>
      <c r="I76" s="5">
        <v>3</v>
      </c>
      <c r="J76" s="5">
        <v>0.14000000000000001</v>
      </c>
      <c r="K76" s="5">
        <v>0.21210000000000001</v>
      </c>
      <c r="L76" s="5">
        <v>0.93</v>
      </c>
      <c r="M76" s="5">
        <v>0</v>
      </c>
      <c r="N76" s="5">
        <v>0</v>
      </c>
      <c r="O76" s="5">
        <v>22</v>
      </c>
      <c r="P76" s="5">
        <v>22</v>
      </c>
    </row>
    <row r="77" spans="1:16">
      <c r="A77" s="5">
        <v>695</v>
      </c>
      <c r="B77" s="6">
        <v>40575</v>
      </c>
      <c r="C77" s="5">
        <v>1</v>
      </c>
      <c r="D77" s="5">
        <v>0</v>
      </c>
      <c r="E77" s="5">
        <v>2</v>
      </c>
      <c r="F77" s="5">
        <v>7</v>
      </c>
      <c r="G77" s="5" t="b">
        <v>0</v>
      </c>
      <c r="H77" s="5">
        <v>2</v>
      </c>
      <c r="I77" s="5">
        <v>3</v>
      </c>
      <c r="J77" s="5">
        <v>0.16</v>
      </c>
      <c r="K77" s="5">
        <v>0.2273</v>
      </c>
      <c r="L77" s="5">
        <v>0.93</v>
      </c>
      <c r="M77" s="5">
        <v>0</v>
      </c>
      <c r="N77" s="5">
        <v>0</v>
      </c>
      <c r="O77" s="5">
        <v>52</v>
      </c>
      <c r="P77" s="5">
        <v>52</v>
      </c>
    </row>
    <row r="78" spans="1:16">
      <c r="A78" s="5">
        <v>696</v>
      </c>
      <c r="B78" s="6">
        <v>40575</v>
      </c>
      <c r="C78" s="5">
        <v>1</v>
      </c>
      <c r="D78" s="5">
        <v>0</v>
      </c>
      <c r="E78" s="5">
        <v>2</v>
      </c>
      <c r="F78" s="5">
        <v>8</v>
      </c>
      <c r="G78" s="5" t="b">
        <v>0</v>
      </c>
      <c r="H78" s="5">
        <v>2</v>
      </c>
      <c r="I78" s="5">
        <v>3</v>
      </c>
      <c r="J78" s="5">
        <v>0.16</v>
      </c>
      <c r="K78" s="5">
        <v>0.2273</v>
      </c>
      <c r="L78" s="5">
        <v>0.93</v>
      </c>
      <c r="M78" s="5">
        <v>0</v>
      </c>
      <c r="N78" s="5">
        <v>3</v>
      </c>
      <c r="O78" s="5">
        <v>132</v>
      </c>
      <c r="P78" s="5">
        <v>135</v>
      </c>
    </row>
    <row r="79" spans="1:16">
      <c r="A79" s="5">
        <v>697</v>
      </c>
      <c r="B79" s="6">
        <v>40575</v>
      </c>
      <c r="C79" s="5">
        <v>1</v>
      </c>
      <c r="D79" s="5">
        <v>0</v>
      </c>
      <c r="E79" s="5">
        <v>2</v>
      </c>
      <c r="F79" s="5">
        <v>9</v>
      </c>
      <c r="G79" s="5" t="b">
        <v>0</v>
      </c>
      <c r="H79" s="5">
        <v>2</v>
      </c>
      <c r="I79" s="5">
        <v>2</v>
      </c>
      <c r="J79" s="5">
        <v>0.16</v>
      </c>
      <c r="K79" s="5">
        <v>0.2273</v>
      </c>
      <c r="L79" s="5">
        <v>0.93</v>
      </c>
      <c r="M79" s="5">
        <v>0</v>
      </c>
      <c r="N79" s="5">
        <v>2</v>
      </c>
      <c r="O79" s="5">
        <v>114</v>
      </c>
      <c r="P79" s="5">
        <v>116</v>
      </c>
    </row>
    <row r="80" spans="1:16">
      <c r="A80" s="5">
        <v>698</v>
      </c>
      <c r="B80" s="6">
        <v>40575</v>
      </c>
      <c r="C80" s="5">
        <v>1</v>
      </c>
      <c r="D80" s="5">
        <v>0</v>
      </c>
      <c r="E80" s="5">
        <v>2</v>
      </c>
      <c r="F80" s="5">
        <v>10</v>
      </c>
      <c r="G80" s="5" t="b">
        <v>0</v>
      </c>
      <c r="H80" s="5">
        <v>2</v>
      </c>
      <c r="I80" s="5">
        <v>2</v>
      </c>
      <c r="J80" s="5">
        <v>0.16</v>
      </c>
      <c r="K80" s="5">
        <v>0.2273</v>
      </c>
      <c r="L80" s="5">
        <v>0.93</v>
      </c>
      <c r="M80" s="5">
        <v>0</v>
      </c>
      <c r="N80" s="5">
        <v>0</v>
      </c>
      <c r="O80" s="5">
        <v>47</v>
      </c>
      <c r="P80" s="5">
        <v>47</v>
      </c>
    </row>
    <row r="81" spans="1:16">
      <c r="A81" s="5">
        <v>699</v>
      </c>
      <c r="B81" s="6">
        <v>40575</v>
      </c>
      <c r="C81" s="5">
        <v>1</v>
      </c>
      <c r="D81" s="5">
        <v>0</v>
      </c>
      <c r="E81" s="5">
        <v>2</v>
      </c>
      <c r="F81" s="5">
        <v>11</v>
      </c>
      <c r="G81" s="5" t="b">
        <v>0</v>
      </c>
      <c r="H81" s="5">
        <v>2</v>
      </c>
      <c r="I81" s="5">
        <v>2</v>
      </c>
      <c r="J81" s="5">
        <v>0.18</v>
      </c>
      <c r="K81" s="5">
        <v>0.2424</v>
      </c>
      <c r="L81" s="5">
        <v>0.86</v>
      </c>
      <c r="M81" s="5">
        <v>0</v>
      </c>
      <c r="N81" s="5">
        <v>2</v>
      </c>
      <c r="O81" s="5">
        <v>49</v>
      </c>
      <c r="P81" s="5">
        <v>51</v>
      </c>
    </row>
    <row r="82" spans="1:16">
      <c r="A82" s="5">
        <v>700</v>
      </c>
      <c r="B82" s="6">
        <v>40575</v>
      </c>
      <c r="C82" s="5">
        <v>1</v>
      </c>
      <c r="D82" s="5">
        <v>0</v>
      </c>
      <c r="E82" s="5">
        <v>2</v>
      </c>
      <c r="F82" s="5">
        <v>12</v>
      </c>
      <c r="G82" s="5" t="b">
        <v>0</v>
      </c>
      <c r="H82" s="5">
        <v>2</v>
      </c>
      <c r="I82" s="5">
        <v>2</v>
      </c>
      <c r="J82" s="5">
        <v>0.2</v>
      </c>
      <c r="K82" s="5">
        <v>0.2576</v>
      </c>
      <c r="L82" s="5">
        <v>0.86</v>
      </c>
      <c r="M82" s="5">
        <v>0</v>
      </c>
      <c r="N82" s="5">
        <v>2</v>
      </c>
      <c r="O82" s="5">
        <v>53</v>
      </c>
      <c r="P82" s="5">
        <v>55</v>
      </c>
    </row>
    <row r="83" spans="1:16">
      <c r="A83" s="5">
        <v>701</v>
      </c>
      <c r="B83" s="6">
        <v>40575</v>
      </c>
      <c r="C83" s="5">
        <v>1</v>
      </c>
      <c r="D83" s="5">
        <v>0</v>
      </c>
      <c r="E83" s="5">
        <v>2</v>
      </c>
      <c r="F83" s="5">
        <v>13</v>
      </c>
      <c r="G83" s="5" t="b">
        <v>0</v>
      </c>
      <c r="H83" s="5">
        <v>2</v>
      </c>
      <c r="I83" s="5">
        <v>2</v>
      </c>
      <c r="J83" s="5">
        <v>0.2</v>
      </c>
      <c r="K83" s="5">
        <v>0.2576</v>
      </c>
      <c r="L83" s="5">
        <v>0.86</v>
      </c>
      <c r="M83" s="5">
        <v>0</v>
      </c>
      <c r="N83" s="5">
        <v>3</v>
      </c>
      <c r="O83" s="5">
        <v>49</v>
      </c>
      <c r="P83" s="5">
        <v>52</v>
      </c>
    </row>
    <row r="84" spans="1:16">
      <c r="A84" s="5">
        <v>702</v>
      </c>
      <c r="B84" s="6">
        <v>40575</v>
      </c>
      <c r="C84" s="5">
        <v>1</v>
      </c>
      <c r="D84" s="5">
        <v>0</v>
      </c>
      <c r="E84" s="5">
        <v>2</v>
      </c>
      <c r="F84" s="5">
        <v>14</v>
      </c>
      <c r="G84" s="5" t="b">
        <v>0</v>
      </c>
      <c r="H84" s="5">
        <v>2</v>
      </c>
      <c r="I84" s="5">
        <v>2</v>
      </c>
      <c r="J84" s="5">
        <v>0.22</v>
      </c>
      <c r="K84" s="5">
        <v>0.2576</v>
      </c>
      <c r="L84" s="5">
        <v>0.8</v>
      </c>
      <c r="M84" s="5">
        <v>8.9599999999999999E-2</v>
      </c>
      <c r="N84" s="5">
        <v>5</v>
      </c>
      <c r="O84" s="5">
        <v>49</v>
      </c>
      <c r="P84" s="5">
        <v>54</v>
      </c>
    </row>
    <row r="85" spans="1:16">
      <c r="A85" s="5">
        <v>703</v>
      </c>
      <c r="B85" s="6">
        <v>40575</v>
      </c>
      <c r="C85" s="5">
        <v>1</v>
      </c>
      <c r="D85" s="5">
        <v>0</v>
      </c>
      <c r="E85" s="5">
        <v>2</v>
      </c>
      <c r="F85" s="5">
        <v>15</v>
      </c>
      <c r="G85" s="5" t="b">
        <v>0</v>
      </c>
      <c r="H85" s="5">
        <v>2</v>
      </c>
      <c r="I85" s="5">
        <v>2</v>
      </c>
      <c r="J85" s="5">
        <v>0.24</v>
      </c>
      <c r="K85" s="5">
        <v>0.28789999999999999</v>
      </c>
      <c r="L85" s="5">
        <v>0.75</v>
      </c>
      <c r="M85" s="5">
        <v>0</v>
      </c>
      <c r="N85" s="5">
        <v>7</v>
      </c>
      <c r="O85" s="5">
        <v>45</v>
      </c>
      <c r="P85" s="5">
        <v>52</v>
      </c>
    </row>
    <row r="86" spans="1:16">
      <c r="A86" s="5">
        <v>704</v>
      </c>
      <c r="B86" s="6">
        <v>40575</v>
      </c>
      <c r="C86" s="5">
        <v>1</v>
      </c>
      <c r="D86" s="5">
        <v>0</v>
      </c>
      <c r="E86" s="5">
        <v>2</v>
      </c>
      <c r="F86" s="5">
        <v>16</v>
      </c>
      <c r="G86" s="5" t="b">
        <v>0</v>
      </c>
      <c r="H86" s="5">
        <v>2</v>
      </c>
      <c r="I86" s="5">
        <v>2</v>
      </c>
      <c r="J86" s="5">
        <v>0.24</v>
      </c>
      <c r="K86" s="5">
        <v>0.2424</v>
      </c>
      <c r="L86" s="5">
        <v>0.75</v>
      </c>
      <c r="M86" s="5">
        <v>0.1343</v>
      </c>
      <c r="N86" s="5">
        <v>3</v>
      </c>
      <c r="O86" s="5">
        <v>61</v>
      </c>
      <c r="P86" s="5">
        <v>64</v>
      </c>
    </row>
    <row r="87" spans="1:16">
      <c r="A87" s="5">
        <v>705</v>
      </c>
      <c r="B87" s="6">
        <v>40575</v>
      </c>
      <c r="C87" s="5">
        <v>1</v>
      </c>
      <c r="D87" s="5">
        <v>0</v>
      </c>
      <c r="E87" s="5">
        <v>2</v>
      </c>
      <c r="F87" s="5">
        <v>17</v>
      </c>
      <c r="G87" s="5" t="b">
        <v>0</v>
      </c>
      <c r="H87" s="5">
        <v>2</v>
      </c>
      <c r="I87" s="5">
        <v>2</v>
      </c>
      <c r="J87" s="5">
        <v>0.24</v>
      </c>
      <c r="K87" s="5">
        <v>0.28789999999999999</v>
      </c>
      <c r="L87" s="5">
        <v>0.75</v>
      </c>
      <c r="M87" s="5">
        <v>0</v>
      </c>
      <c r="N87" s="5">
        <v>4</v>
      </c>
      <c r="O87" s="5">
        <v>172</v>
      </c>
      <c r="P87" s="5">
        <v>176</v>
      </c>
    </row>
    <row r="88" spans="1:16">
      <c r="A88" s="5">
        <v>706</v>
      </c>
      <c r="B88" s="6">
        <v>40575</v>
      </c>
      <c r="C88" s="5">
        <v>1</v>
      </c>
      <c r="D88" s="5">
        <v>0</v>
      </c>
      <c r="E88" s="5">
        <v>2</v>
      </c>
      <c r="F88" s="5">
        <v>18</v>
      </c>
      <c r="G88" s="5" t="b">
        <v>0</v>
      </c>
      <c r="H88" s="5">
        <v>2</v>
      </c>
      <c r="I88" s="5">
        <v>2</v>
      </c>
      <c r="J88" s="5">
        <v>0.24</v>
      </c>
      <c r="K88" s="5">
        <v>0.2576</v>
      </c>
      <c r="L88" s="5">
        <v>0.81</v>
      </c>
      <c r="M88" s="5">
        <v>0.1045</v>
      </c>
      <c r="N88" s="5">
        <v>3</v>
      </c>
      <c r="O88" s="5">
        <v>165</v>
      </c>
      <c r="P88" s="5">
        <v>168</v>
      </c>
    </row>
    <row r="89" spans="1:16">
      <c r="A89" s="5">
        <v>707</v>
      </c>
      <c r="B89" s="6">
        <v>40575</v>
      </c>
      <c r="C89" s="5">
        <v>1</v>
      </c>
      <c r="D89" s="5">
        <v>0</v>
      </c>
      <c r="E89" s="5">
        <v>2</v>
      </c>
      <c r="F89" s="5">
        <v>19</v>
      </c>
      <c r="G89" s="5" t="b">
        <v>0</v>
      </c>
      <c r="H89" s="5">
        <v>2</v>
      </c>
      <c r="I89" s="5">
        <v>2</v>
      </c>
      <c r="J89" s="5">
        <v>0.24</v>
      </c>
      <c r="K89" s="5">
        <v>0.2424</v>
      </c>
      <c r="L89" s="5">
        <v>0.81</v>
      </c>
      <c r="M89" s="5">
        <v>0.1343</v>
      </c>
      <c r="N89" s="5">
        <v>3</v>
      </c>
      <c r="O89" s="5">
        <v>105</v>
      </c>
      <c r="P89" s="5">
        <v>108</v>
      </c>
    </row>
    <row r="90" spans="1:16">
      <c r="A90" s="5">
        <v>708</v>
      </c>
      <c r="B90" s="6">
        <v>40575</v>
      </c>
      <c r="C90" s="5">
        <v>1</v>
      </c>
      <c r="D90" s="5">
        <v>0</v>
      </c>
      <c r="E90" s="5">
        <v>2</v>
      </c>
      <c r="F90" s="5">
        <v>20</v>
      </c>
      <c r="G90" s="5" t="b">
        <v>0</v>
      </c>
      <c r="H90" s="5">
        <v>2</v>
      </c>
      <c r="I90" s="5">
        <v>2</v>
      </c>
      <c r="J90" s="5">
        <v>0.22</v>
      </c>
      <c r="K90" s="5">
        <v>0.2273</v>
      </c>
      <c r="L90" s="5">
        <v>0.87</v>
      </c>
      <c r="M90" s="5">
        <v>0.1343</v>
      </c>
      <c r="N90" s="5">
        <v>5</v>
      </c>
      <c r="O90" s="5">
        <v>69</v>
      </c>
      <c r="P90" s="5">
        <v>74</v>
      </c>
    </row>
    <row r="91" spans="1:16">
      <c r="A91" s="5">
        <v>709</v>
      </c>
      <c r="B91" s="6">
        <v>40575</v>
      </c>
      <c r="C91" s="5">
        <v>1</v>
      </c>
      <c r="D91" s="5">
        <v>0</v>
      </c>
      <c r="E91" s="5">
        <v>2</v>
      </c>
      <c r="F91" s="5">
        <v>21</v>
      </c>
      <c r="G91" s="5" t="b">
        <v>0</v>
      </c>
      <c r="H91" s="5">
        <v>2</v>
      </c>
      <c r="I91" s="5">
        <v>2</v>
      </c>
      <c r="J91" s="5">
        <v>0.22</v>
      </c>
      <c r="K91" s="5">
        <v>0.2273</v>
      </c>
      <c r="L91" s="5">
        <v>0.87</v>
      </c>
      <c r="M91" s="5">
        <v>0.1343</v>
      </c>
      <c r="N91" s="5">
        <v>0</v>
      </c>
      <c r="O91" s="5">
        <v>64</v>
      </c>
      <c r="P91" s="5">
        <v>64</v>
      </c>
    </row>
    <row r="92" spans="1:16">
      <c r="A92" s="5">
        <v>710</v>
      </c>
      <c r="B92" s="6">
        <v>40575</v>
      </c>
      <c r="C92" s="5">
        <v>1</v>
      </c>
      <c r="D92" s="5">
        <v>0</v>
      </c>
      <c r="E92" s="5">
        <v>2</v>
      </c>
      <c r="F92" s="5">
        <v>22</v>
      </c>
      <c r="G92" s="5" t="b">
        <v>0</v>
      </c>
      <c r="H92" s="5">
        <v>2</v>
      </c>
      <c r="I92" s="5">
        <v>2</v>
      </c>
      <c r="J92" s="5">
        <v>0.22</v>
      </c>
      <c r="K92" s="5">
        <v>0.2576</v>
      </c>
      <c r="L92" s="5">
        <v>0.87</v>
      </c>
      <c r="M92" s="5">
        <v>8.9599999999999999E-2</v>
      </c>
      <c r="N92" s="5">
        <v>2</v>
      </c>
      <c r="O92" s="5">
        <v>34</v>
      </c>
      <c r="P92" s="5">
        <v>36</v>
      </c>
    </row>
    <row r="93" spans="1:16">
      <c r="A93" s="5">
        <v>711</v>
      </c>
      <c r="B93" s="6">
        <v>40575</v>
      </c>
      <c r="C93" s="5">
        <v>1</v>
      </c>
      <c r="D93" s="5">
        <v>0</v>
      </c>
      <c r="E93" s="5">
        <v>2</v>
      </c>
      <c r="F93" s="5">
        <v>23</v>
      </c>
      <c r="G93" s="5" t="b">
        <v>0</v>
      </c>
      <c r="H93" s="5">
        <v>2</v>
      </c>
      <c r="I93" s="5">
        <v>3</v>
      </c>
      <c r="J93" s="5">
        <v>0.2</v>
      </c>
      <c r="K93" s="5">
        <v>0.19700000000000001</v>
      </c>
      <c r="L93" s="5">
        <v>0.93</v>
      </c>
      <c r="M93" s="5">
        <v>0.19400000000000001</v>
      </c>
      <c r="N93" s="5">
        <v>1</v>
      </c>
      <c r="O93" s="5">
        <v>15</v>
      </c>
      <c r="P93" s="5">
        <v>16</v>
      </c>
    </row>
    <row r="94" spans="1:16">
      <c r="A94" s="5">
        <v>712</v>
      </c>
      <c r="B94" s="6">
        <v>40576</v>
      </c>
      <c r="C94" s="5">
        <v>1</v>
      </c>
      <c r="D94" s="5">
        <v>0</v>
      </c>
      <c r="E94" s="5">
        <v>2</v>
      </c>
      <c r="F94" s="5">
        <v>0</v>
      </c>
      <c r="G94" s="5" t="b">
        <v>0</v>
      </c>
      <c r="H94" s="5">
        <v>3</v>
      </c>
      <c r="I94" s="5">
        <v>3</v>
      </c>
      <c r="J94" s="5">
        <v>0.22</v>
      </c>
      <c r="K94" s="5">
        <v>0.2424</v>
      </c>
      <c r="L94" s="5">
        <v>0.93</v>
      </c>
      <c r="M94" s="5">
        <v>0.1045</v>
      </c>
      <c r="N94" s="5">
        <v>0</v>
      </c>
      <c r="O94" s="5">
        <v>2</v>
      </c>
      <c r="P94" s="5">
        <v>2</v>
      </c>
    </row>
    <row r="95" spans="1:16">
      <c r="A95" s="5">
        <v>713</v>
      </c>
      <c r="B95" s="6">
        <v>40576</v>
      </c>
      <c r="C95" s="5">
        <v>1</v>
      </c>
      <c r="D95" s="5">
        <v>0</v>
      </c>
      <c r="E95" s="5">
        <v>2</v>
      </c>
      <c r="F95" s="5">
        <v>1</v>
      </c>
      <c r="G95" s="5" t="b">
        <v>0</v>
      </c>
      <c r="H95" s="5">
        <v>3</v>
      </c>
      <c r="I95" s="5">
        <v>3</v>
      </c>
      <c r="J95" s="5">
        <v>0.22</v>
      </c>
      <c r="K95" s="5">
        <v>0.2273</v>
      </c>
      <c r="L95" s="5">
        <v>0.93</v>
      </c>
      <c r="M95" s="5">
        <v>0.19400000000000001</v>
      </c>
      <c r="N95" s="5">
        <v>0</v>
      </c>
      <c r="O95" s="5">
        <v>3</v>
      </c>
      <c r="P95" s="5">
        <v>3</v>
      </c>
    </row>
    <row r="96" spans="1:16">
      <c r="A96" s="5">
        <v>714</v>
      </c>
      <c r="B96" s="6">
        <v>40576</v>
      </c>
      <c r="C96" s="5">
        <v>1</v>
      </c>
      <c r="D96" s="5">
        <v>0</v>
      </c>
      <c r="E96" s="5">
        <v>2</v>
      </c>
      <c r="F96" s="5">
        <v>2</v>
      </c>
      <c r="G96" s="5" t="b">
        <v>0</v>
      </c>
      <c r="H96" s="5">
        <v>3</v>
      </c>
      <c r="I96" s="5">
        <v>3</v>
      </c>
      <c r="J96" s="5">
        <v>0.22</v>
      </c>
      <c r="K96" s="5">
        <v>0.2273</v>
      </c>
      <c r="L96" s="5">
        <v>0.93</v>
      </c>
      <c r="M96" s="5">
        <v>0.1343</v>
      </c>
      <c r="N96" s="5">
        <v>4</v>
      </c>
      <c r="O96" s="5">
        <v>0</v>
      </c>
      <c r="P96" s="5">
        <v>4</v>
      </c>
    </row>
    <row r="97" spans="1:16">
      <c r="A97" s="5">
        <v>715</v>
      </c>
      <c r="B97" s="6">
        <v>40576</v>
      </c>
      <c r="C97" s="5">
        <v>1</v>
      </c>
      <c r="D97" s="5">
        <v>0</v>
      </c>
      <c r="E97" s="5">
        <v>2</v>
      </c>
      <c r="F97" s="5">
        <v>3</v>
      </c>
      <c r="G97" s="5" t="b">
        <v>0</v>
      </c>
      <c r="H97" s="5">
        <v>3</v>
      </c>
      <c r="I97" s="5">
        <v>3</v>
      </c>
      <c r="J97" s="5">
        <v>0.22</v>
      </c>
      <c r="K97" s="5">
        <v>0.2273</v>
      </c>
      <c r="L97" s="5">
        <v>0.93</v>
      </c>
      <c r="M97" s="5">
        <v>0.1343</v>
      </c>
      <c r="N97" s="5">
        <v>0</v>
      </c>
      <c r="O97" s="5">
        <v>1</v>
      </c>
      <c r="P97" s="5">
        <v>1</v>
      </c>
    </row>
    <row r="98" spans="1:16">
      <c r="A98" s="5">
        <v>716</v>
      </c>
      <c r="B98" s="6">
        <v>40576</v>
      </c>
      <c r="C98" s="5">
        <v>1</v>
      </c>
      <c r="D98" s="5">
        <v>0</v>
      </c>
      <c r="E98" s="5">
        <v>2</v>
      </c>
      <c r="F98" s="5">
        <v>4</v>
      </c>
      <c r="G98" s="5" t="b">
        <v>0</v>
      </c>
      <c r="H98" s="5">
        <v>3</v>
      </c>
      <c r="I98" s="5">
        <v>3</v>
      </c>
      <c r="J98" s="5">
        <v>0.22</v>
      </c>
      <c r="K98" s="5">
        <v>0.21210000000000001</v>
      </c>
      <c r="L98" s="5">
        <v>0.93</v>
      </c>
      <c r="M98" s="5">
        <v>0.28360000000000002</v>
      </c>
      <c r="N98" s="5">
        <v>0</v>
      </c>
      <c r="O98" s="5">
        <v>1</v>
      </c>
      <c r="P98" s="5">
        <v>1</v>
      </c>
    </row>
    <row r="99" spans="1:16">
      <c r="A99" s="5">
        <v>717</v>
      </c>
      <c r="B99" s="6">
        <v>40576</v>
      </c>
      <c r="C99" s="5">
        <v>1</v>
      </c>
      <c r="D99" s="5">
        <v>0</v>
      </c>
      <c r="E99" s="5">
        <v>2</v>
      </c>
      <c r="F99" s="5">
        <v>5</v>
      </c>
      <c r="G99" s="5" t="b">
        <v>0</v>
      </c>
      <c r="H99" s="5">
        <v>3</v>
      </c>
      <c r="I99" s="5">
        <v>3</v>
      </c>
      <c r="J99" s="5">
        <v>0.22</v>
      </c>
      <c r="K99" s="5">
        <v>0.2424</v>
      </c>
      <c r="L99" s="5">
        <v>0.93</v>
      </c>
      <c r="M99" s="5">
        <v>0.1045</v>
      </c>
      <c r="N99" s="5">
        <v>0</v>
      </c>
      <c r="O99" s="5">
        <v>3</v>
      </c>
      <c r="P99" s="5">
        <v>3</v>
      </c>
    </row>
    <row r="100" spans="1:16">
      <c r="A100" s="5">
        <v>718</v>
      </c>
      <c r="B100" s="6">
        <v>40576</v>
      </c>
      <c r="C100" s="5">
        <v>1</v>
      </c>
      <c r="D100" s="5">
        <v>0</v>
      </c>
      <c r="E100" s="5">
        <v>2</v>
      </c>
      <c r="F100" s="5">
        <v>6</v>
      </c>
      <c r="G100" s="5" t="b">
        <v>0</v>
      </c>
      <c r="H100" s="5">
        <v>3</v>
      </c>
      <c r="I100" s="5">
        <v>3</v>
      </c>
      <c r="J100" s="5">
        <v>0.22</v>
      </c>
      <c r="K100" s="5">
        <v>0.2424</v>
      </c>
      <c r="L100" s="5">
        <v>0.93</v>
      </c>
      <c r="M100" s="5">
        <v>0.1045</v>
      </c>
      <c r="N100" s="5">
        <v>1</v>
      </c>
      <c r="O100" s="5">
        <v>17</v>
      </c>
      <c r="P100" s="5">
        <v>18</v>
      </c>
    </row>
    <row r="101" spans="1:16">
      <c r="A101" s="5">
        <v>719</v>
      </c>
      <c r="B101" s="6">
        <v>40576</v>
      </c>
      <c r="C101" s="5">
        <v>1</v>
      </c>
      <c r="D101" s="5">
        <v>0</v>
      </c>
      <c r="E101" s="5">
        <v>2</v>
      </c>
      <c r="F101" s="5">
        <v>7</v>
      </c>
      <c r="G101" s="5" t="b">
        <v>0</v>
      </c>
      <c r="H101" s="5">
        <v>3</v>
      </c>
      <c r="I101" s="5">
        <v>3</v>
      </c>
      <c r="J101" s="5">
        <v>0.22</v>
      </c>
      <c r="K101" s="5">
        <v>0.21210000000000001</v>
      </c>
      <c r="L101" s="5">
        <v>0.93</v>
      </c>
      <c r="M101" s="5">
        <v>0.22389999999999999</v>
      </c>
      <c r="N101" s="5">
        <v>1</v>
      </c>
      <c r="O101" s="5">
        <v>48</v>
      </c>
      <c r="P101" s="5">
        <v>49</v>
      </c>
    </row>
    <row r="102" spans="1:16">
      <c r="A102" s="5">
        <v>720</v>
      </c>
      <c r="B102" s="6">
        <v>40576</v>
      </c>
      <c r="C102" s="5">
        <v>1</v>
      </c>
      <c r="D102" s="5">
        <v>0</v>
      </c>
      <c r="E102" s="5">
        <v>2</v>
      </c>
      <c r="F102" s="5">
        <v>8</v>
      </c>
      <c r="G102" s="5" t="b">
        <v>0</v>
      </c>
      <c r="H102" s="5">
        <v>3</v>
      </c>
      <c r="I102" s="5">
        <v>3</v>
      </c>
      <c r="J102" s="5">
        <v>0.22</v>
      </c>
      <c r="K102" s="5">
        <v>0.21210000000000001</v>
      </c>
      <c r="L102" s="5">
        <v>0.93</v>
      </c>
      <c r="M102" s="5">
        <v>0.22389999999999999</v>
      </c>
      <c r="N102" s="5">
        <v>1</v>
      </c>
      <c r="O102" s="5">
        <v>154</v>
      </c>
      <c r="P102" s="5">
        <v>155</v>
      </c>
    </row>
    <row r="103" spans="1:16">
      <c r="A103" s="5">
        <v>721</v>
      </c>
      <c r="B103" s="6">
        <v>40576</v>
      </c>
      <c r="C103" s="5">
        <v>1</v>
      </c>
      <c r="D103" s="5">
        <v>0</v>
      </c>
      <c r="E103" s="5">
        <v>2</v>
      </c>
      <c r="F103" s="5">
        <v>9</v>
      </c>
      <c r="G103" s="5" t="b">
        <v>0</v>
      </c>
      <c r="H103" s="5">
        <v>3</v>
      </c>
      <c r="I103" s="5">
        <v>2</v>
      </c>
      <c r="J103" s="5">
        <v>0.24</v>
      </c>
      <c r="K103" s="5">
        <v>0.2576</v>
      </c>
      <c r="L103" s="5">
        <v>0.93</v>
      </c>
      <c r="M103" s="5">
        <v>8.9599999999999999E-2</v>
      </c>
      <c r="N103" s="5">
        <v>4</v>
      </c>
      <c r="O103" s="5">
        <v>119</v>
      </c>
      <c r="P103" s="5">
        <v>123</v>
      </c>
    </row>
    <row r="104" spans="1:16">
      <c r="A104" s="5">
        <v>722</v>
      </c>
      <c r="B104" s="6">
        <v>40576</v>
      </c>
      <c r="C104" s="5">
        <v>1</v>
      </c>
      <c r="D104" s="5">
        <v>0</v>
      </c>
      <c r="E104" s="5">
        <v>2</v>
      </c>
      <c r="F104" s="5">
        <v>10</v>
      </c>
      <c r="G104" s="5" t="b">
        <v>0</v>
      </c>
      <c r="H104" s="5">
        <v>3</v>
      </c>
      <c r="I104" s="5">
        <v>2</v>
      </c>
      <c r="J104" s="5">
        <v>0.22</v>
      </c>
      <c r="K104" s="5">
        <v>0.2727</v>
      </c>
      <c r="L104" s="5">
        <v>1</v>
      </c>
      <c r="M104" s="5">
        <v>0</v>
      </c>
      <c r="N104" s="5">
        <v>2</v>
      </c>
      <c r="O104" s="5">
        <v>59</v>
      </c>
      <c r="P104" s="5">
        <v>61</v>
      </c>
    </row>
    <row r="105" spans="1:16">
      <c r="A105" s="5">
        <v>723</v>
      </c>
      <c r="B105" s="6">
        <v>40576</v>
      </c>
      <c r="C105" s="5">
        <v>1</v>
      </c>
      <c r="D105" s="5">
        <v>0</v>
      </c>
      <c r="E105" s="5">
        <v>2</v>
      </c>
      <c r="F105" s="5">
        <v>11</v>
      </c>
      <c r="G105" s="5" t="b">
        <v>0</v>
      </c>
      <c r="H105" s="5">
        <v>3</v>
      </c>
      <c r="I105" s="5">
        <v>2</v>
      </c>
      <c r="J105" s="5">
        <v>0.24</v>
      </c>
      <c r="K105" s="5">
        <v>0.2273</v>
      </c>
      <c r="L105" s="5">
        <v>0.93</v>
      </c>
      <c r="M105" s="5">
        <v>0.19400000000000001</v>
      </c>
      <c r="N105" s="5">
        <v>5</v>
      </c>
      <c r="O105" s="5">
        <v>47</v>
      </c>
      <c r="P105" s="5">
        <v>52</v>
      </c>
    </row>
    <row r="106" spans="1:16">
      <c r="A106" s="5">
        <v>724</v>
      </c>
      <c r="B106" s="6">
        <v>40576</v>
      </c>
      <c r="C106" s="5">
        <v>1</v>
      </c>
      <c r="D106" s="5">
        <v>0</v>
      </c>
      <c r="E106" s="5">
        <v>2</v>
      </c>
      <c r="F106" s="5">
        <v>12</v>
      </c>
      <c r="G106" s="5" t="b">
        <v>0</v>
      </c>
      <c r="H106" s="5">
        <v>3</v>
      </c>
      <c r="I106" s="5">
        <v>2</v>
      </c>
      <c r="J106" s="5">
        <v>0.24</v>
      </c>
      <c r="K106" s="5">
        <v>0.2273</v>
      </c>
      <c r="L106" s="5">
        <v>0.93</v>
      </c>
      <c r="M106" s="5">
        <v>0.22389999999999999</v>
      </c>
      <c r="N106" s="5">
        <v>3</v>
      </c>
      <c r="O106" s="5">
        <v>61</v>
      </c>
      <c r="P106" s="5">
        <v>64</v>
      </c>
    </row>
    <row r="107" spans="1:16">
      <c r="A107" s="5">
        <v>725</v>
      </c>
      <c r="B107" s="6">
        <v>40576</v>
      </c>
      <c r="C107" s="5">
        <v>1</v>
      </c>
      <c r="D107" s="5">
        <v>0</v>
      </c>
      <c r="E107" s="5">
        <v>2</v>
      </c>
      <c r="F107" s="5">
        <v>13</v>
      </c>
      <c r="G107" s="5" t="b">
        <v>0</v>
      </c>
      <c r="H107" s="5">
        <v>3</v>
      </c>
      <c r="I107" s="5">
        <v>1</v>
      </c>
      <c r="J107" s="5">
        <v>0.34</v>
      </c>
      <c r="K107" s="5">
        <v>0.33329999999999999</v>
      </c>
      <c r="L107" s="5">
        <v>0.93</v>
      </c>
      <c r="M107" s="5">
        <v>0.16420000000000001</v>
      </c>
      <c r="N107" s="5">
        <v>1</v>
      </c>
      <c r="O107" s="5">
        <v>74</v>
      </c>
      <c r="P107" s="5">
        <v>75</v>
      </c>
    </row>
    <row r="108" spans="1:16">
      <c r="A108" s="5">
        <v>726</v>
      </c>
      <c r="B108" s="6">
        <v>40576</v>
      </c>
      <c r="C108" s="5">
        <v>1</v>
      </c>
      <c r="D108" s="5">
        <v>0</v>
      </c>
      <c r="E108" s="5">
        <v>2</v>
      </c>
      <c r="F108" s="5">
        <v>14</v>
      </c>
      <c r="G108" s="5" t="b">
        <v>0</v>
      </c>
      <c r="H108" s="5">
        <v>3</v>
      </c>
      <c r="I108" s="5">
        <v>1</v>
      </c>
      <c r="J108" s="5">
        <v>0.38</v>
      </c>
      <c r="K108" s="5">
        <v>0.39389999999999997</v>
      </c>
      <c r="L108" s="5">
        <v>0.82</v>
      </c>
      <c r="M108" s="5">
        <v>0.3881</v>
      </c>
      <c r="N108" s="5">
        <v>2</v>
      </c>
      <c r="O108" s="5">
        <v>61</v>
      </c>
      <c r="P108" s="5">
        <v>63</v>
      </c>
    </row>
    <row r="109" spans="1:16">
      <c r="A109" s="5">
        <v>727</v>
      </c>
      <c r="B109" s="6">
        <v>40576</v>
      </c>
      <c r="C109" s="5">
        <v>1</v>
      </c>
      <c r="D109" s="5">
        <v>0</v>
      </c>
      <c r="E109" s="5">
        <v>2</v>
      </c>
      <c r="F109" s="5">
        <v>15</v>
      </c>
      <c r="G109" s="5" t="b">
        <v>0</v>
      </c>
      <c r="H109" s="5">
        <v>3</v>
      </c>
      <c r="I109" s="5">
        <v>1</v>
      </c>
      <c r="J109" s="5">
        <v>0.38</v>
      </c>
      <c r="K109" s="5">
        <v>0.39389999999999997</v>
      </c>
      <c r="L109" s="5">
        <v>0.76</v>
      </c>
      <c r="M109" s="5">
        <v>0.32840000000000003</v>
      </c>
      <c r="N109" s="5">
        <v>10</v>
      </c>
      <c r="O109" s="5">
        <v>66</v>
      </c>
      <c r="P109" s="5">
        <v>76</v>
      </c>
    </row>
    <row r="110" spans="1:16">
      <c r="A110" s="5">
        <v>728</v>
      </c>
      <c r="B110" s="6">
        <v>40576</v>
      </c>
      <c r="C110" s="5">
        <v>1</v>
      </c>
      <c r="D110" s="5">
        <v>0</v>
      </c>
      <c r="E110" s="5">
        <v>2</v>
      </c>
      <c r="F110" s="5">
        <v>16</v>
      </c>
      <c r="G110" s="5" t="b">
        <v>0</v>
      </c>
      <c r="H110" s="5">
        <v>3</v>
      </c>
      <c r="I110" s="5">
        <v>1</v>
      </c>
      <c r="J110" s="5">
        <v>0.36</v>
      </c>
      <c r="K110" s="5">
        <v>0.33329999999999999</v>
      </c>
      <c r="L110" s="5">
        <v>0.71</v>
      </c>
      <c r="M110" s="5">
        <v>0.29849999999999999</v>
      </c>
      <c r="N110" s="5">
        <v>8</v>
      </c>
      <c r="O110" s="5">
        <v>95</v>
      </c>
      <c r="P110" s="5">
        <v>103</v>
      </c>
    </row>
    <row r="111" spans="1:16">
      <c r="A111" s="5">
        <v>729</v>
      </c>
      <c r="B111" s="6">
        <v>40576</v>
      </c>
      <c r="C111" s="5">
        <v>1</v>
      </c>
      <c r="D111" s="5">
        <v>0</v>
      </c>
      <c r="E111" s="5">
        <v>2</v>
      </c>
      <c r="F111" s="5">
        <v>17</v>
      </c>
      <c r="G111" s="5" t="b">
        <v>0</v>
      </c>
      <c r="H111" s="5">
        <v>3</v>
      </c>
      <c r="I111" s="5">
        <v>1</v>
      </c>
      <c r="J111" s="5">
        <v>0.36</v>
      </c>
      <c r="K111" s="5">
        <v>0.31819999999999998</v>
      </c>
      <c r="L111" s="5">
        <v>0.53</v>
      </c>
      <c r="M111" s="5">
        <v>0.52239999999999998</v>
      </c>
      <c r="N111" s="5">
        <v>7</v>
      </c>
      <c r="O111" s="5">
        <v>183</v>
      </c>
      <c r="P111" s="5">
        <v>190</v>
      </c>
    </row>
    <row r="112" spans="1:16">
      <c r="A112" s="5">
        <v>730</v>
      </c>
      <c r="B112" s="6">
        <v>40576</v>
      </c>
      <c r="C112" s="5">
        <v>1</v>
      </c>
      <c r="D112" s="5">
        <v>0</v>
      </c>
      <c r="E112" s="5">
        <v>2</v>
      </c>
      <c r="F112" s="5">
        <v>18</v>
      </c>
      <c r="G112" s="5" t="b">
        <v>0</v>
      </c>
      <c r="H112" s="5">
        <v>3</v>
      </c>
      <c r="I112" s="5">
        <v>1</v>
      </c>
      <c r="J112" s="5">
        <v>0.34</v>
      </c>
      <c r="K112" s="5">
        <v>0.28789999999999999</v>
      </c>
      <c r="L112" s="5">
        <v>0.42</v>
      </c>
      <c r="M112" s="5">
        <v>0.55220000000000002</v>
      </c>
      <c r="N112" s="5">
        <v>7</v>
      </c>
      <c r="O112" s="5">
        <v>175</v>
      </c>
      <c r="P112" s="5">
        <v>182</v>
      </c>
    </row>
    <row r="113" spans="1:16">
      <c r="A113" s="5">
        <v>731</v>
      </c>
      <c r="B113" s="6">
        <v>40576</v>
      </c>
      <c r="C113" s="5">
        <v>1</v>
      </c>
      <c r="D113" s="5">
        <v>0</v>
      </c>
      <c r="E113" s="5">
        <v>2</v>
      </c>
      <c r="F113" s="5">
        <v>19</v>
      </c>
      <c r="G113" s="5" t="b">
        <v>0</v>
      </c>
      <c r="H113" s="5">
        <v>3</v>
      </c>
      <c r="I113" s="5">
        <v>1</v>
      </c>
      <c r="J113" s="5">
        <v>0.28000000000000003</v>
      </c>
      <c r="K113" s="5">
        <v>0.2424</v>
      </c>
      <c r="L113" s="5">
        <v>0.45</v>
      </c>
      <c r="M113" s="5">
        <v>0.49249999999999999</v>
      </c>
      <c r="N113" s="5">
        <v>3</v>
      </c>
      <c r="O113" s="5">
        <v>88</v>
      </c>
      <c r="P113" s="5">
        <v>91</v>
      </c>
    </row>
    <row r="114" spans="1:16">
      <c r="A114" s="5">
        <v>732</v>
      </c>
      <c r="B114" s="6">
        <v>40576</v>
      </c>
      <c r="C114" s="5">
        <v>1</v>
      </c>
      <c r="D114" s="5">
        <v>0</v>
      </c>
      <c r="E114" s="5">
        <v>2</v>
      </c>
      <c r="F114" s="5">
        <v>20</v>
      </c>
      <c r="G114" s="5" t="b">
        <v>0</v>
      </c>
      <c r="H114" s="5">
        <v>3</v>
      </c>
      <c r="I114" s="5">
        <v>1</v>
      </c>
      <c r="J114" s="5">
        <v>0.24</v>
      </c>
      <c r="K114" s="5">
        <v>0.19700000000000001</v>
      </c>
      <c r="L114" s="5">
        <v>0.48</v>
      </c>
      <c r="M114" s="5">
        <v>0.55220000000000002</v>
      </c>
      <c r="N114" s="5">
        <v>4</v>
      </c>
      <c r="O114" s="5">
        <v>71</v>
      </c>
      <c r="P114" s="5">
        <v>75</v>
      </c>
    </row>
    <row r="115" spans="1:16">
      <c r="A115" s="5">
        <v>733</v>
      </c>
      <c r="B115" s="6">
        <v>40576</v>
      </c>
      <c r="C115" s="5">
        <v>1</v>
      </c>
      <c r="D115" s="5">
        <v>0</v>
      </c>
      <c r="E115" s="5">
        <v>2</v>
      </c>
      <c r="F115" s="5">
        <v>21</v>
      </c>
      <c r="G115" s="5" t="b">
        <v>0</v>
      </c>
      <c r="H115" s="5">
        <v>3</v>
      </c>
      <c r="I115" s="5">
        <v>1</v>
      </c>
      <c r="J115" s="5">
        <v>0.22</v>
      </c>
      <c r="K115" s="5">
        <v>0.19700000000000001</v>
      </c>
      <c r="L115" s="5">
        <v>0.47</v>
      </c>
      <c r="M115" s="5">
        <v>0.32840000000000003</v>
      </c>
      <c r="N115" s="5">
        <v>1</v>
      </c>
      <c r="O115" s="5">
        <v>62</v>
      </c>
      <c r="P115" s="5">
        <v>63</v>
      </c>
    </row>
    <row r="116" spans="1:16">
      <c r="A116" s="5">
        <v>734</v>
      </c>
      <c r="B116" s="6">
        <v>40576</v>
      </c>
      <c r="C116" s="5">
        <v>1</v>
      </c>
      <c r="D116" s="5">
        <v>0</v>
      </c>
      <c r="E116" s="5">
        <v>2</v>
      </c>
      <c r="F116" s="5">
        <v>22</v>
      </c>
      <c r="G116" s="5" t="b">
        <v>0</v>
      </c>
      <c r="H116" s="5">
        <v>3</v>
      </c>
      <c r="I116" s="5">
        <v>1</v>
      </c>
      <c r="J116" s="5">
        <v>0.22</v>
      </c>
      <c r="K116" s="5">
        <v>0.21210000000000001</v>
      </c>
      <c r="L116" s="5">
        <v>0.44</v>
      </c>
      <c r="M116" s="5">
        <v>0.25369999999999998</v>
      </c>
      <c r="N116" s="5">
        <v>5</v>
      </c>
      <c r="O116" s="5">
        <v>35</v>
      </c>
      <c r="P116" s="5">
        <v>40</v>
      </c>
    </row>
    <row r="117" spans="1:16">
      <c r="A117" s="5">
        <v>735</v>
      </c>
      <c r="B117" s="6">
        <v>40576</v>
      </c>
      <c r="C117" s="5">
        <v>1</v>
      </c>
      <c r="D117" s="5">
        <v>0</v>
      </c>
      <c r="E117" s="5">
        <v>2</v>
      </c>
      <c r="F117" s="5">
        <v>23</v>
      </c>
      <c r="G117" s="5" t="b">
        <v>0</v>
      </c>
      <c r="H117" s="5">
        <v>3</v>
      </c>
      <c r="I117" s="5">
        <v>1</v>
      </c>
      <c r="J117" s="5">
        <v>0.2</v>
      </c>
      <c r="K117" s="5">
        <v>0.16669999999999999</v>
      </c>
      <c r="L117" s="5">
        <v>0.44</v>
      </c>
      <c r="M117" s="5">
        <v>0.44779999999999998</v>
      </c>
      <c r="N117" s="5">
        <v>3</v>
      </c>
      <c r="O117" s="5">
        <v>29</v>
      </c>
      <c r="P117" s="5">
        <v>32</v>
      </c>
    </row>
    <row r="118" spans="1:16">
      <c r="A118" s="5">
        <v>736</v>
      </c>
      <c r="B118" s="6">
        <v>40577</v>
      </c>
      <c r="C118" s="5">
        <v>1</v>
      </c>
      <c r="D118" s="5">
        <v>0</v>
      </c>
      <c r="E118" s="5">
        <v>2</v>
      </c>
      <c r="F118" s="5">
        <v>0</v>
      </c>
      <c r="G118" s="5" t="b">
        <v>0</v>
      </c>
      <c r="H118" s="5">
        <v>4</v>
      </c>
      <c r="I118" s="5">
        <v>1</v>
      </c>
      <c r="J118" s="5">
        <v>0.2</v>
      </c>
      <c r="K118" s="5">
        <v>0.16669999999999999</v>
      </c>
      <c r="L118" s="5">
        <v>0.4</v>
      </c>
      <c r="M118" s="5">
        <v>0.44779999999999998</v>
      </c>
      <c r="N118" s="5">
        <v>1</v>
      </c>
      <c r="O118" s="5">
        <v>11</v>
      </c>
      <c r="P118" s="5">
        <v>12</v>
      </c>
    </row>
    <row r="119" spans="1:16">
      <c r="A119" s="5">
        <v>737</v>
      </c>
      <c r="B119" s="6">
        <v>40577</v>
      </c>
      <c r="C119" s="5">
        <v>1</v>
      </c>
      <c r="D119" s="5">
        <v>0</v>
      </c>
      <c r="E119" s="5">
        <v>2</v>
      </c>
      <c r="F119" s="5">
        <v>1</v>
      </c>
      <c r="G119" s="5" t="b">
        <v>0</v>
      </c>
      <c r="H119" s="5">
        <v>4</v>
      </c>
      <c r="I119" s="5">
        <v>1</v>
      </c>
      <c r="J119" s="5">
        <v>0.2</v>
      </c>
      <c r="K119" s="5">
        <v>0.1515</v>
      </c>
      <c r="L119" s="5">
        <v>0.44</v>
      </c>
      <c r="M119" s="5">
        <v>0.52239999999999998</v>
      </c>
      <c r="N119" s="5">
        <v>0</v>
      </c>
      <c r="O119" s="5">
        <v>5</v>
      </c>
      <c r="P119" s="5">
        <v>5</v>
      </c>
    </row>
    <row r="120" spans="1:16">
      <c r="A120" s="5">
        <v>738</v>
      </c>
      <c r="B120" s="6">
        <v>40577</v>
      </c>
      <c r="C120" s="5">
        <v>1</v>
      </c>
      <c r="D120" s="5">
        <v>0</v>
      </c>
      <c r="E120" s="5">
        <v>2</v>
      </c>
      <c r="F120" s="5">
        <v>2</v>
      </c>
      <c r="G120" s="5" t="b">
        <v>0</v>
      </c>
      <c r="H120" s="5">
        <v>4</v>
      </c>
      <c r="I120" s="5">
        <v>1</v>
      </c>
      <c r="J120" s="5">
        <v>0.18</v>
      </c>
      <c r="K120" s="5">
        <v>0.16669999999999999</v>
      </c>
      <c r="L120" s="5">
        <v>0.43</v>
      </c>
      <c r="M120" s="5">
        <v>0.25369999999999998</v>
      </c>
      <c r="N120" s="5">
        <v>0</v>
      </c>
      <c r="O120" s="5">
        <v>2</v>
      </c>
      <c r="P120" s="5">
        <v>2</v>
      </c>
    </row>
    <row r="121" spans="1:16">
      <c r="A121" s="5">
        <v>739</v>
      </c>
      <c r="B121" s="6">
        <v>40577</v>
      </c>
      <c r="C121" s="5">
        <v>1</v>
      </c>
      <c r="D121" s="5">
        <v>0</v>
      </c>
      <c r="E121" s="5">
        <v>2</v>
      </c>
      <c r="F121" s="5">
        <v>3</v>
      </c>
      <c r="G121" s="5" t="b">
        <v>0</v>
      </c>
      <c r="H121" s="5">
        <v>4</v>
      </c>
      <c r="I121" s="5">
        <v>1</v>
      </c>
      <c r="J121" s="5">
        <v>0.18</v>
      </c>
      <c r="K121" s="5">
        <v>0.16669999999999999</v>
      </c>
      <c r="L121" s="5">
        <v>0.43</v>
      </c>
      <c r="M121" s="5">
        <v>0.25369999999999998</v>
      </c>
      <c r="N121" s="5">
        <v>0</v>
      </c>
      <c r="O121" s="5">
        <v>1</v>
      </c>
      <c r="P121" s="5">
        <v>1</v>
      </c>
    </row>
    <row r="122" spans="1:16">
      <c r="A122" s="5">
        <v>740</v>
      </c>
      <c r="B122" s="6">
        <v>40577</v>
      </c>
      <c r="C122" s="5">
        <v>1</v>
      </c>
      <c r="D122" s="5">
        <v>0</v>
      </c>
      <c r="E122" s="5">
        <v>2</v>
      </c>
      <c r="F122" s="5">
        <v>5</v>
      </c>
      <c r="G122" s="5" t="b">
        <v>0</v>
      </c>
      <c r="H122" s="5">
        <v>4</v>
      </c>
      <c r="I122" s="5">
        <v>1</v>
      </c>
      <c r="J122" s="5">
        <v>0.16</v>
      </c>
      <c r="K122" s="5">
        <v>0.13639999999999999</v>
      </c>
      <c r="L122" s="5">
        <v>0.5</v>
      </c>
      <c r="M122" s="5">
        <v>0.29849999999999999</v>
      </c>
      <c r="N122" s="5">
        <v>0</v>
      </c>
      <c r="O122" s="5">
        <v>2</v>
      </c>
      <c r="P122" s="5">
        <v>2</v>
      </c>
    </row>
    <row r="123" spans="1:16">
      <c r="A123" s="5">
        <v>741</v>
      </c>
      <c r="B123" s="6">
        <v>40577</v>
      </c>
      <c r="C123" s="5">
        <v>1</v>
      </c>
      <c r="D123" s="5">
        <v>0</v>
      </c>
      <c r="E123" s="5">
        <v>2</v>
      </c>
      <c r="F123" s="5">
        <v>6</v>
      </c>
      <c r="G123" s="5" t="b">
        <v>0</v>
      </c>
      <c r="H123" s="5">
        <v>4</v>
      </c>
      <c r="I123" s="5">
        <v>1</v>
      </c>
      <c r="J123" s="5">
        <v>0.16</v>
      </c>
      <c r="K123" s="5">
        <v>0.13639999999999999</v>
      </c>
      <c r="L123" s="5">
        <v>0.43</v>
      </c>
      <c r="M123" s="5">
        <v>0.35820000000000002</v>
      </c>
      <c r="N123" s="5">
        <v>0</v>
      </c>
      <c r="O123" s="5">
        <v>39</v>
      </c>
      <c r="P123" s="5">
        <v>39</v>
      </c>
    </row>
    <row r="124" spans="1:16">
      <c r="A124" s="5">
        <v>742</v>
      </c>
      <c r="B124" s="6">
        <v>40577</v>
      </c>
      <c r="C124" s="5">
        <v>1</v>
      </c>
      <c r="D124" s="5">
        <v>0</v>
      </c>
      <c r="E124" s="5">
        <v>2</v>
      </c>
      <c r="F124" s="5">
        <v>7</v>
      </c>
      <c r="G124" s="5" t="b">
        <v>0</v>
      </c>
      <c r="H124" s="5">
        <v>4</v>
      </c>
      <c r="I124" s="5">
        <v>1</v>
      </c>
      <c r="J124" s="5">
        <v>0.14000000000000001</v>
      </c>
      <c r="K124" s="5">
        <v>0.1212</v>
      </c>
      <c r="L124" s="5">
        <v>0.5</v>
      </c>
      <c r="M124" s="5">
        <v>0.32840000000000003</v>
      </c>
      <c r="N124" s="5">
        <v>1</v>
      </c>
      <c r="O124" s="5">
        <v>86</v>
      </c>
      <c r="P124" s="5">
        <v>87</v>
      </c>
    </row>
    <row r="125" spans="1:16">
      <c r="A125" s="5">
        <v>743</v>
      </c>
      <c r="B125" s="6">
        <v>40577</v>
      </c>
      <c r="C125" s="5">
        <v>1</v>
      </c>
      <c r="D125" s="5">
        <v>0</v>
      </c>
      <c r="E125" s="5">
        <v>2</v>
      </c>
      <c r="F125" s="5">
        <v>8</v>
      </c>
      <c r="G125" s="5" t="b">
        <v>0</v>
      </c>
      <c r="H125" s="5">
        <v>4</v>
      </c>
      <c r="I125" s="5">
        <v>1</v>
      </c>
      <c r="J125" s="5">
        <v>0.14000000000000001</v>
      </c>
      <c r="K125" s="5">
        <v>0.1212</v>
      </c>
      <c r="L125" s="5">
        <v>0.5</v>
      </c>
      <c r="M125" s="5">
        <v>0.35820000000000002</v>
      </c>
      <c r="N125" s="5">
        <v>4</v>
      </c>
      <c r="O125" s="5">
        <v>184</v>
      </c>
      <c r="P125" s="5">
        <v>188</v>
      </c>
    </row>
    <row r="126" spans="1:16">
      <c r="A126" s="5">
        <v>744</v>
      </c>
      <c r="B126" s="6">
        <v>40577</v>
      </c>
      <c r="C126" s="5">
        <v>1</v>
      </c>
      <c r="D126" s="5">
        <v>0</v>
      </c>
      <c r="E126" s="5">
        <v>2</v>
      </c>
      <c r="F126" s="5">
        <v>9</v>
      </c>
      <c r="G126" s="5" t="b">
        <v>0</v>
      </c>
      <c r="H126" s="5">
        <v>4</v>
      </c>
      <c r="I126" s="5">
        <v>1</v>
      </c>
      <c r="J126" s="5">
        <v>0.16</v>
      </c>
      <c r="K126" s="5">
        <v>0.13639999999999999</v>
      </c>
      <c r="L126" s="5">
        <v>0.47</v>
      </c>
      <c r="M126" s="5">
        <v>0.29849999999999999</v>
      </c>
      <c r="N126" s="5">
        <v>6</v>
      </c>
      <c r="O126" s="5">
        <v>127</v>
      </c>
      <c r="P126" s="5">
        <v>133</v>
      </c>
    </row>
    <row r="127" spans="1:16">
      <c r="A127" s="5">
        <v>745</v>
      </c>
      <c r="B127" s="6">
        <v>40577</v>
      </c>
      <c r="C127" s="5">
        <v>1</v>
      </c>
      <c r="D127" s="5">
        <v>0</v>
      </c>
      <c r="E127" s="5">
        <v>2</v>
      </c>
      <c r="F127" s="5">
        <v>10</v>
      </c>
      <c r="G127" s="5" t="b">
        <v>0</v>
      </c>
      <c r="H127" s="5">
        <v>4</v>
      </c>
      <c r="I127" s="5">
        <v>1</v>
      </c>
      <c r="J127" s="5">
        <v>0.18</v>
      </c>
      <c r="K127" s="5">
        <v>0.1515</v>
      </c>
      <c r="L127" s="5">
        <v>0.43</v>
      </c>
      <c r="M127" s="5">
        <v>0.32840000000000003</v>
      </c>
      <c r="N127" s="5">
        <v>2</v>
      </c>
      <c r="O127" s="5">
        <v>50</v>
      </c>
      <c r="P127" s="5">
        <v>52</v>
      </c>
    </row>
    <row r="128" spans="1:16">
      <c r="A128" s="5">
        <v>746</v>
      </c>
      <c r="B128" s="6">
        <v>40577</v>
      </c>
      <c r="C128" s="5">
        <v>1</v>
      </c>
      <c r="D128" s="5">
        <v>0</v>
      </c>
      <c r="E128" s="5">
        <v>2</v>
      </c>
      <c r="F128" s="5">
        <v>11</v>
      </c>
      <c r="G128" s="5" t="b">
        <v>0</v>
      </c>
      <c r="H128" s="5">
        <v>4</v>
      </c>
      <c r="I128" s="5">
        <v>1</v>
      </c>
      <c r="J128" s="5">
        <v>0.18</v>
      </c>
      <c r="K128" s="5">
        <v>0.13639999999999999</v>
      </c>
      <c r="L128" s="5">
        <v>0.43</v>
      </c>
      <c r="M128" s="5">
        <v>0.44779999999999998</v>
      </c>
      <c r="N128" s="5">
        <v>9</v>
      </c>
      <c r="O128" s="5">
        <v>55</v>
      </c>
      <c r="P128" s="5">
        <v>64</v>
      </c>
    </row>
    <row r="129" spans="1:16">
      <c r="A129" s="5">
        <v>747</v>
      </c>
      <c r="B129" s="6">
        <v>40577</v>
      </c>
      <c r="C129" s="5">
        <v>1</v>
      </c>
      <c r="D129" s="5">
        <v>0</v>
      </c>
      <c r="E129" s="5">
        <v>2</v>
      </c>
      <c r="F129" s="5">
        <v>12</v>
      </c>
      <c r="G129" s="5" t="b">
        <v>0</v>
      </c>
      <c r="H129" s="5">
        <v>4</v>
      </c>
      <c r="I129" s="5">
        <v>1</v>
      </c>
      <c r="J129" s="5">
        <v>0.2</v>
      </c>
      <c r="K129" s="5">
        <v>0.18179999999999999</v>
      </c>
      <c r="L129" s="5">
        <v>0.4</v>
      </c>
      <c r="M129" s="5">
        <v>0.35820000000000002</v>
      </c>
      <c r="N129" s="5">
        <v>2</v>
      </c>
      <c r="O129" s="5">
        <v>67</v>
      </c>
      <c r="P129" s="5">
        <v>69</v>
      </c>
    </row>
    <row r="130" spans="1:16">
      <c r="A130" s="5">
        <v>748</v>
      </c>
      <c r="B130" s="6">
        <v>40577</v>
      </c>
      <c r="C130" s="5">
        <v>1</v>
      </c>
      <c r="D130" s="5">
        <v>0</v>
      </c>
      <c r="E130" s="5">
        <v>2</v>
      </c>
      <c r="F130" s="5">
        <v>13</v>
      </c>
      <c r="G130" s="5" t="b">
        <v>0</v>
      </c>
      <c r="H130" s="5">
        <v>4</v>
      </c>
      <c r="I130" s="5">
        <v>1</v>
      </c>
      <c r="J130" s="5">
        <v>0.2</v>
      </c>
      <c r="K130" s="5">
        <v>0.16669999999999999</v>
      </c>
      <c r="L130" s="5">
        <v>0.4</v>
      </c>
      <c r="M130" s="5">
        <v>0.41789999999999999</v>
      </c>
      <c r="N130" s="5">
        <v>4</v>
      </c>
      <c r="O130" s="5">
        <v>47</v>
      </c>
      <c r="P130" s="5">
        <v>51</v>
      </c>
    </row>
    <row r="131" spans="1:16">
      <c r="A131" s="5">
        <v>749</v>
      </c>
      <c r="B131" s="6">
        <v>40577</v>
      </c>
      <c r="C131" s="5">
        <v>1</v>
      </c>
      <c r="D131" s="5">
        <v>0</v>
      </c>
      <c r="E131" s="5">
        <v>2</v>
      </c>
      <c r="F131" s="5">
        <v>14</v>
      </c>
      <c r="G131" s="5" t="b">
        <v>0</v>
      </c>
      <c r="H131" s="5">
        <v>4</v>
      </c>
      <c r="I131" s="5">
        <v>1</v>
      </c>
      <c r="J131" s="5">
        <v>0.22</v>
      </c>
      <c r="K131" s="5">
        <v>0.19700000000000001</v>
      </c>
      <c r="L131" s="5">
        <v>0.37</v>
      </c>
      <c r="M131" s="5">
        <v>0.3881</v>
      </c>
      <c r="N131" s="5">
        <v>4</v>
      </c>
      <c r="O131" s="5">
        <v>43</v>
      </c>
      <c r="P131" s="5">
        <v>47</v>
      </c>
    </row>
    <row r="132" spans="1:16">
      <c r="A132" s="5">
        <v>750</v>
      </c>
      <c r="B132" s="6">
        <v>40577</v>
      </c>
      <c r="C132" s="5">
        <v>1</v>
      </c>
      <c r="D132" s="5">
        <v>0</v>
      </c>
      <c r="E132" s="5">
        <v>2</v>
      </c>
      <c r="F132" s="5">
        <v>15</v>
      </c>
      <c r="G132" s="5" t="b">
        <v>0</v>
      </c>
      <c r="H132" s="5">
        <v>4</v>
      </c>
      <c r="I132" s="5">
        <v>1</v>
      </c>
      <c r="J132" s="5">
        <v>0.22</v>
      </c>
      <c r="K132" s="5">
        <v>0.19700000000000001</v>
      </c>
      <c r="L132" s="5">
        <v>0.37</v>
      </c>
      <c r="M132" s="5">
        <v>0.32840000000000003</v>
      </c>
      <c r="N132" s="5">
        <v>4</v>
      </c>
      <c r="O132" s="5">
        <v>56</v>
      </c>
      <c r="P132" s="5">
        <v>60</v>
      </c>
    </row>
    <row r="133" spans="1:16">
      <c r="A133" s="5">
        <v>751</v>
      </c>
      <c r="B133" s="6">
        <v>40577</v>
      </c>
      <c r="C133" s="5">
        <v>1</v>
      </c>
      <c r="D133" s="5">
        <v>0</v>
      </c>
      <c r="E133" s="5">
        <v>2</v>
      </c>
      <c r="F133" s="5">
        <v>16</v>
      </c>
      <c r="G133" s="5" t="b">
        <v>0</v>
      </c>
      <c r="H133" s="5">
        <v>4</v>
      </c>
      <c r="I133" s="5">
        <v>1</v>
      </c>
      <c r="J133" s="5">
        <v>0.22</v>
      </c>
      <c r="K133" s="5">
        <v>0.21210000000000001</v>
      </c>
      <c r="L133" s="5">
        <v>0.37</v>
      </c>
      <c r="M133" s="5">
        <v>0.25369999999999998</v>
      </c>
      <c r="N133" s="5">
        <v>5</v>
      </c>
      <c r="O133" s="5">
        <v>73</v>
      </c>
      <c r="P133" s="5">
        <v>78</v>
      </c>
    </row>
    <row r="134" spans="1:16">
      <c r="A134" s="5">
        <v>752</v>
      </c>
      <c r="B134" s="6">
        <v>40577</v>
      </c>
      <c r="C134" s="5">
        <v>1</v>
      </c>
      <c r="D134" s="5">
        <v>0</v>
      </c>
      <c r="E134" s="5">
        <v>2</v>
      </c>
      <c r="F134" s="5">
        <v>17</v>
      </c>
      <c r="G134" s="5" t="b">
        <v>0</v>
      </c>
      <c r="H134" s="5">
        <v>4</v>
      </c>
      <c r="I134" s="5">
        <v>1</v>
      </c>
      <c r="J134" s="5">
        <v>0.2</v>
      </c>
      <c r="K134" s="5">
        <v>0.19700000000000001</v>
      </c>
      <c r="L134" s="5">
        <v>0.4</v>
      </c>
      <c r="M134" s="5">
        <v>0.19400000000000001</v>
      </c>
      <c r="N134" s="5">
        <v>5</v>
      </c>
      <c r="O134" s="5">
        <v>170</v>
      </c>
      <c r="P134" s="5">
        <v>175</v>
      </c>
    </row>
    <row r="135" spans="1:16">
      <c r="A135" s="5">
        <v>753</v>
      </c>
      <c r="B135" s="6">
        <v>40577</v>
      </c>
      <c r="C135" s="5">
        <v>1</v>
      </c>
      <c r="D135" s="5">
        <v>0</v>
      </c>
      <c r="E135" s="5">
        <v>2</v>
      </c>
      <c r="F135" s="5">
        <v>18</v>
      </c>
      <c r="G135" s="5" t="b">
        <v>0</v>
      </c>
      <c r="H135" s="5">
        <v>4</v>
      </c>
      <c r="I135" s="5">
        <v>1</v>
      </c>
      <c r="J135" s="5">
        <v>0.2</v>
      </c>
      <c r="K135" s="5">
        <v>0.21210000000000001</v>
      </c>
      <c r="L135" s="5">
        <v>0.4</v>
      </c>
      <c r="M135" s="5">
        <v>0.16420000000000001</v>
      </c>
      <c r="N135" s="5">
        <v>2</v>
      </c>
      <c r="O135" s="5">
        <v>145</v>
      </c>
      <c r="P135" s="5">
        <v>147</v>
      </c>
    </row>
    <row r="136" spans="1:16">
      <c r="A136" s="5">
        <v>754</v>
      </c>
      <c r="B136" s="6">
        <v>40577</v>
      </c>
      <c r="C136" s="5">
        <v>1</v>
      </c>
      <c r="D136" s="5">
        <v>0</v>
      </c>
      <c r="E136" s="5">
        <v>2</v>
      </c>
      <c r="F136" s="5">
        <v>19</v>
      </c>
      <c r="G136" s="5" t="b">
        <v>0</v>
      </c>
      <c r="H136" s="5">
        <v>4</v>
      </c>
      <c r="I136" s="5">
        <v>1</v>
      </c>
      <c r="J136" s="5">
        <v>0.2</v>
      </c>
      <c r="K136" s="5">
        <v>0.2576</v>
      </c>
      <c r="L136" s="5">
        <v>0.4</v>
      </c>
      <c r="M136" s="5">
        <v>0</v>
      </c>
      <c r="N136" s="5">
        <v>4</v>
      </c>
      <c r="O136" s="5">
        <v>92</v>
      </c>
      <c r="P136" s="5">
        <v>96</v>
      </c>
    </row>
    <row r="137" spans="1:16">
      <c r="A137" s="5">
        <v>755</v>
      </c>
      <c r="B137" s="6">
        <v>40577</v>
      </c>
      <c r="C137" s="5">
        <v>1</v>
      </c>
      <c r="D137" s="5">
        <v>0</v>
      </c>
      <c r="E137" s="5">
        <v>2</v>
      </c>
      <c r="F137" s="5">
        <v>20</v>
      </c>
      <c r="G137" s="5" t="b">
        <v>0</v>
      </c>
      <c r="H137" s="5">
        <v>4</v>
      </c>
      <c r="I137" s="5">
        <v>1</v>
      </c>
      <c r="J137" s="5">
        <v>0.2</v>
      </c>
      <c r="K137" s="5">
        <v>0.2273</v>
      </c>
      <c r="L137" s="5">
        <v>0.47</v>
      </c>
      <c r="M137" s="5">
        <v>8.9599999999999999E-2</v>
      </c>
      <c r="N137" s="5">
        <v>1</v>
      </c>
      <c r="O137" s="5">
        <v>108</v>
      </c>
      <c r="P137" s="5">
        <v>109</v>
      </c>
    </row>
    <row r="138" spans="1:16">
      <c r="A138" s="5">
        <v>756</v>
      </c>
      <c r="B138" s="6">
        <v>40577</v>
      </c>
      <c r="C138" s="5">
        <v>1</v>
      </c>
      <c r="D138" s="5">
        <v>0</v>
      </c>
      <c r="E138" s="5">
        <v>2</v>
      </c>
      <c r="F138" s="5">
        <v>21</v>
      </c>
      <c r="G138" s="5" t="b">
        <v>0</v>
      </c>
      <c r="H138" s="5">
        <v>4</v>
      </c>
      <c r="I138" s="5">
        <v>1</v>
      </c>
      <c r="J138" s="5">
        <v>0.18</v>
      </c>
      <c r="K138" s="5">
        <v>0.21210000000000001</v>
      </c>
      <c r="L138" s="5">
        <v>0.55000000000000004</v>
      </c>
      <c r="M138" s="5">
        <v>0.1045</v>
      </c>
      <c r="N138" s="5">
        <v>1</v>
      </c>
      <c r="O138" s="5">
        <v>53</v>
      </c>
      <c r="P138" s="5">
        <v>54</v>
      </c>
    </row>
    <row r="139" spans="1:16">
      <c r="A139" s="5">
        <v>757</v>
      </c>
      <c r="B139" s="6">
        <v>40577</v>
      </c>
      <c r="C139" s="5">
        <v>1</v>
      </c>
      <c r="D139" s="5">
        <v>0</v>
      </c>
      <c r="E139" s="5">
        <v>2</v>
      </c>
      <c r="F139" s="5">
        <v>22</v>
      </c>
      <c r="G139" s="5" t="b">
        <v>0</v>
      </c>
      <c r="H139" s="5">
        <v>4</v>
      </c>
      <c r="I139" s="5">
        <v>1</v>
      </c>
      <c r="J139" s="5">
        <v>0.18</v>
      </c>
      <c r="K139" s="5">
        <v>0.21210000000000001</v>
      </c>
      <c r="L139" s="5">
        <v>0.51</v>
      </c>
      <c r="M139" s="5">
        <v>8.9599999999999999E-2</v>
      </c>
      <c r="N139" s="5">
        <v>2</v>
      </c>
      <c r="O139" s="5">
        <v>39</v>
      </c>
      <c r="P139" s="5">
        <v>41</v>
      </c>
    </row>
    <row r="140" spans="1:16">
      <c r="A140" s="5">
        <v>758</v>
      </c>
      <c r="B140" s="6">
        <v>40577</v>
      </c>
      <c r="C140" s="5">
        <v>1</v>
      </c>
      <c r="D140" s="5">
        <v>0</v>
      </c>
      <c r="E140" s="5">
        <v>2</v>
      </c>
      <c r="F140" s="5">
        <v>23</v>
      </c>
      <c r="G140" s="5" t="b">
        <v>0</v>
      </c>
      <c r="H140" s="5">
        <v>4</v>
      </c>
      <c r="I140" s="5">
        <v>1</v>
      </c>
      <c r="J140" s="5">
        <v>0.2</v>
      </c>
      <c r="K140" s="5">
        <v>0.2273</v>
      </c>
      <c r="L140" s="5">
        <v>0.47</v>
      </c>
      <c r="M140" s="5">
        <v>0.1045</v>
      </c>
      <c r="N140" s="5">
        <v>4</v>
      </c>
      <c r="O140" s="5">
        <v>34</v>
      </c>
      <c r="P140" s="5">
        <v>38</v>
      </c>
    </row>
    <row r="141" spans="1:16">
      <c r="A141" s="5">
        <v>759</v>
      </c>
      <c r="B141" s="6">
        <v>40578</v>
      </c>
      <c r="C141" s="5">
        <v>1</v>
      </c>
      <c r="D141" s="5">
        <v>0</v>
      </c>
      <c r="E141" s="5">
        <v>2</v>
      </c>
      <c r="F141" s="5">
        <v>0</v>
      </c>
      <c r="G141" s="5" t="b">
        <v>0</v>
      </c>
      <c r="H141" s="5">
        <v>5</v>
      </c>
      <c r="I141" s="5">
        <v>2</v>
      </c>
      <c r="J141" s="5">
        <v>0.2</v>
      </c>
      <c r="K141" s="5">
        <v>0.2576</v>
      </c>
      <c r="L141" s="5">
        <v>0.44</v>
      </c>
      <c r="M141" s="5">
        <v>0</v>
      </c>
      <c r="N141" s="5">
        <v>3</v>
      </c>
      <c r="O141" s="5">
        <v>10</v>
      </c>
      <c r="P141" s="5">
        <v>13</v>
      </c>
    </row>
    <row r="142" spans="1:16">
      <c r="A142" s="5">
        <v>760</v>
      </c>
      <c r="B142" s="6">
        <v>40578</v>
      </c>
      <c r="C142" s="5">
        <v>1</v>
      </c>
      <c r="D142" s="5">
        <v>0</v>
      </c>
      <c r="E142" s="5">
        <v>2</v>
      </c>
      <c r="F142" s="5">
        <v>1</v>
      </c>
      <c r="G142" s="5" t="b">
        <v>0</v>
      </c>
      <c r="H142" s="5">
        <v>5</v>
      </c>
      <c r="I142" s="5">
        <v>2</v>
      </c>
      <c r="J142" s="5">
        <v>0.16</v>
      </c>
      <c r="K142" s="5">
        <v>0.2273</v>
      </c>
      <c r="L142" s="5">
        <v>0.59</v>
      </c>
      <c r="M142" s="5">
        <v>0</v>
      </c>
      <c r="N142" s="5">
        <v>0</v>
      </c>
      <c r="O142" s="5">
        <v>7</v>
      </c>
      <c r="P142" s="5">
        <v>7</v>
      </c>
    </row>
    <row r="143" spans="1:16">
      <c r="A143" s="5">
        <v>761</v>
      </c>
      <c r="B143" s="6">
        <v>40578</v>
      </c>
      <c r="C143" s="5">
        <v>1</v>
      </c>
      <c r="D143" s="5">
        <v>0</v>
      </c>
      <c r="E143" s="5">
        <v>2</v>
      </c>
      <c r="F143" s="5">
        <v>2</v>
      </c>
      <c r="G143" s="5" t="b">
        <v>0</v>
      </c>
      <c r="H143" s="5">
        <v>5</v>
      </c>
      <c r="I143" s="5">
        <v>2</v>
      </c>
      <c r="J143" s="5">
        <v>0.14000000000000001</v>
      </c>
      <c r="K143" s="5">
        <v>0.16669999999999999</v>
      </c>
      <c r="L143" s="5">
        <v>0.63</v>
      </c>
      <c r="M143" s="5">
        <v>0.1045</v>
      </c>
      <c r="N143" s="5">
        <v>0</v>
      </c>
      <c r="O143" s="5">
        <v>1</v>
      </c>
      <c r="P143" s="5">
        <v>1</v>
      </c>
    </row>
    <row r="144" spans="1:16">
      <c r="A144" s="5">
        <v>762</v>
      </c>
      <c r="B144" s="6">
        <v>40578</v>
      </c>
      <c r="C144" s="5">
        <v>1</v>
      </c>
      <c r="D144" s="5">
        <v>0</v>
      </c>
      <c r="E144" s="5">
        <v>2</v>
      </c>
      <c r="F144" s="5">
        <v>3</v>
      </c>
      <c r="G144" s="5" t="b">
        <v>0</v>
      </c>
      <c r="H144" s="5">
        <v>5</v>
      </c>
      <c r="I144" s="5">
        <v>2</v>
      </c>
      <c r="J144" s="5">
        <v>0.14000000000000001</v>
      </c>
      <c r="K144" s="5">
        <v>0.16669999999999999</v>
      </c>
      <c r="L144" s="5">
        <v>0.63</v>
      </c>
      <c r="M144" s="5">
        <v>0.1045</v>
      </c>
      <c r="N144" s="5">
        <v>0</v>
      </c>
      <c r="O144" s="5">
        <v>1</v>
      </c>
      <c r="P144" s="5">
        <v>1</v>
      </c>
    </row>
    <row r="145" spans="1:16">
      <c r="A145" s="5">
        <v>763</v>
      </c>
      <c r="B145" s="6">
        <v>40578</v>
      </c>
      <c r="C145" s="5">
        <v>1</v>
      </c>
      <c r="D145" s="5">
        <v>0</v>
      </c>
      <c r="E145" s="5">
        <v>2</v>
      </c>
      <c r="F145" s="5">
        <v>5</v>
      </c>
      <c r="G145" s="5" t="b">
        <v>0</v>
      </c>
      <c r="H145" s="5">
        <v>5</v>
      </c>
      <c r="I145" s="5">
        <v>2</v>
      </c>
      <c r="J145" s="5">
        <v>0.14000000000000001</v>
      </c>
      <c r="K145" s="5">
        <v>0.1515</v>
      </c>
      <c r="L145" s="5">
        <v>0.63</v>
      </c>
      <c r="M145" s="5">
        <v>0.1343</v>
      </c>
      <c r="N145" s="5">
        <v>0</v>
      </c>
      <c r="O145" s="5">
        <v>7</v>
      </c>
      <c r="P145" s="5">
        <v>7</v>
      </c>
    </row>
    <row r="146" spans="1:16">
      <c r="A146" s="5">
        <v>764</v>
      </c>
      <c r="B146" s="6">
        <v>40578</v>
      </c>
      <c r="C146" s="5">
        <v>1</v>
      </c>
      <c r="D146" s="5">
        <v>0</v>
      </c>
      <c r="E146" s="5">
        <v>2</v>
      </c>
      <c r="F146" s="5">
        <v>6</v>
      </c>
      <c r="G146" s="5" t="b">
        <v>0</v>
      </c>
      <c r="H146" s="5">
        <v>5</v>
      </c>
      <c r="I146" s="5">
        <v>2</v>
      </c>
      <c r="J146" s="5">
        <v>0.16</v>
      </c>
      <c r="K146" s="5">
        <v>0.2273</v>
      </c>
      <c r="L146" s="5">
        <v>0.55000000000000004</v>
      </c>
      <c r="M146" s="5">
        <v>0</v>
      </c>
      <c r="N146" s="5">
        <v>2</v>
      </c>
      <c r="O146" s="5">
        <v>26</v>
      </c>
      <c r="P146" s="5">
        <v>28</v>
      </c>
    </row>
    <row r="147" spans="1:16">
      <c r="A147" s="5">
        <v>765</v>
      </c>
      <c r="B147" s="6">
        <v>40578</v>
      </c>
      <c r="C147" s="5">
        <v>1</v>
      </c>
      <c r="D147" s="5">
        <v>0</v>
      </c>
      <c r="E147" s="5">
        <v>2</v>
      </c>
      <c r="F147" s="5">
        <v>7</v>
      </c>
      <c r="G147" s="5" t="b">
        <v>0</v>
      </c>
      <c r="H147" s="5">
        <v>5</v>
      </c>
      <c r="I147" s="5">
        <v>1</v>
      </c>
      <c r="J147" s="5">
        <v>0.14000000000000001</v>
      </c>
      <c r="K147" s="5">
        <v>0.21210000000000001</v>
      </c>
      <c r="L147" s="5">
        <v>0.59</v>
      </c>
      <c r="M147" s="5">
        <v>0</v>
      </c>
      <c r="N147" s="5">
        <v>0</v>
      </c>
      <c r="O147" s="5">
        <v>87</v>
      </c>
      <c r="P147" s="5">
        <v>87</v>
      </c>
    </row>
    <row r="148" spans="1:16">
      <c r="A148" s="5">
        <v>766</v>
      </c>
      <c r="B148" s="6">
        <v>40578</v>
      </c>
      <c r="C148" s="5">
        <v>1</v>
      </c>
      <c r="D148" s="5">
        <v>0</v>
      </c>
      <c r="E148" s="5">
        <v>2</v>
      </c>
      <c r="F148" s="5">
        <v>8</v>
      </c>
      <c r="G148" s="5" t="b">
        <v>0</v>
      </c>
      <c r="H148" s="5">
        <v>5</v>
      </c>
      <c r="I148" s="5">
        <v>1</v>
      </c>
      <c r="J148" s="5">
        <v>0.14000000000000001</v>
      </c>
      <c r="K148" s="5">
        <v>0.1515</v>
      </c>
      <c r="L148" s="5">
        <v>0.74</v>
      </c>
      <c r="M148" s="5">
        <v>0.1343</v>
      </c>
      <c r="N148" s="5">
        <v>3</v>
      </c>
      <c r="O148" s="5">
        <v>217</v>
      </c>
      <c r="P148" s="5">
        <v>220</v>
      </c>
    </row>
    <row r="149" spans="1:16">
      <c r="A149" s="5">
        <v>767</v>
      </c>
      <c r="B149" s="6">
        <v>40578</v>
      </c>
      <c r="C149" s="5">
        <v>1</v>
      </c>
      <c r="D149" s="5">
        <v>0</v>
      </c>
      <c r="E149" s="5">
        <v>2</v>
      </c>
      <c r="F149" s="5">
        <v>9</v>
      </c>
      <c r="G149" s="5" t="b">
        <v>0</v>
      </c>
      <c r="H149" s="5">
        <v>5</v>
      </c>
      <c r="I149" s="5">
        <v>2</v>
      </c>
      <c r="J149" s="5">
        <v>0.16</v>
      </c>
      <c r="K149" s="5">
        <v>0.18179999999999999</v>
      </c>
      <c r="L149" s="5">
        <v>0.8</v>
      </c>
      <c r="M149" s="5">
        <v>0.1343</v>
      </c>
      <c r="N149" s="5">
        <v>3</v>
      </c>
      <c r="O149" s="5">
        <v>124</v>
      </c>
      <c r="P149" s="5">
        <v>127</v>
      </c>
    </row>
    <row r="150" spans="1:16">
      <c r="A150" s="5">
        <v>768</v>
      </c>
      <c r="B150" s="6">
        <v>40578</v>
      </c>
      <c r="C150" s="5">
        <v>1</v>
      </c>
      <c r="D150" s="5">
        <v>0</v>
      </c>
      <c r="E150" s="5">
        <v>2</v>
      </c>
      <c r="F150" s="5">
        <v>10</v>
      </c>
      <c r="G150" s="5" t="b">
        <v>0</v>
      </c>
      <c r="H150" s="5">
        <v>5</v>
      </c>
      <c r="I150" s="5">
        <v>2</v>
      </c>
      <c r="J150" s="5">
        <v>0.2</v>
      </c>
      <c r="K150" s="5">
        <v>0.21210000000000001</v>
      </c>
      <c r="L150" s="5">
        <v>0.51</v>
      </c>
      <c r="M150" s="5">
        <v>0.1343</v>
      </c>
      <c r="N150" s="5">
        <v>5</v>
      </c>
      <c r="O150" s="5">
        <v>46</v>
      </c>
      <c r="P150" s="5">
        <v>51</v>
      </c>
    </row>
    <row r="151" spans="1:16">
      <c r="A151" s="5">
        <v>769</v>
      </c>
      <c r="B151" s="6">
        <v>40578</v>
      </c>
      <c r="C151" s="5">
        <v>1</v>
      </c>
      <c r="D151" s="5">
        <v>0</v>
      </c>
      <c r="E151" s="5">
        <v>2</v>
      </c>
      <c r="F151" s="5">
        <v>11</v>
      </c>
      <c r="G151" s="5" t="b">
        <v>0</v>
      </c>
      <c r="H151" s="5">
        <v>5</v>
      </c>
      <c r="I151" s="5">
        <v>1</v>
      </c>
      <c r="J151" s="5">
        <v>0.22</v>
      </c>
      <c r="K151" s="5">
        <v>0.2273</v>
      </c>
      <c r="L151" s="5">
        <v>0.51</v>
      </c>
      <c r="M151" s="5">
        <v>0.16420000000000001</v>
      </c>
      <c r="N151" s="5">
        <v>3</v>
      </c>
      <c r="O151" s="5">
        <v>61</v>
      </c>
      <c r="P151" s="5">
        <v>64</v>
      </c>
    </row>
    <row r="152" spans="1:16">
      <c r="A152" s="5">
        <v>770</v>
      </c>
      <c r="B152" s="6">
        <v>40578</v>
      </c>
      <c r="C152" s="5">
        <v>1</v>
      </c>
      <c r="D152" s="5">
        <v>0</v>
      </c>
      <c r="E152" s="5">
        <v>2</v>
      </c>
      <c r="F152" s="5">
        <v>12</v>
      </c>
      <c r="G152" s="5" t="b">
        <v>0</v>
      </c>
      <c r="H152" s="5">
        <v>5</v>
      </c>
      <c r="I152" s="5">
        <v>2</v>
      </c>
      <c r="J152" s="5">
        <v>0.24</v>
      </c>
      <c r="K152" s="5">
        <v>0.2424</v>
      </c>
      <c r="L152" s="5">
        <v>0.48</v>
      </c>
      <c r="M152" s="5">
        <v>0.16420000000000001</v>
      </c>
      <c r="N152" s="5">
        <v>8</v>
      </c>
      <c r="O152" s="5">
        <v>78</v>
      </c>
      <c r="P152" s="5">
        <v>86</v>
      </c>
    </row>
    <row r="153" spans="1:16">
      <c r="A153" s="5">
        <v>771</v>
      </c>
      <c r="B153" s="6">
        <v>40578</v>
      </c>
      <c r="C153" s="5">
        <v>1</v>
      </c>
      <c r="D153" s="5">
        <v>0</v>
      </c>
      <c r="E153" s="5">
        <v>2</v>
      </c>
      <c r="F153" s="5">
        <v>13</v>
      </c>
      <c r="G153" s="5" t="b">
        <v>0</v>
      </c>
      <c r="H153" s="5">
        <v>5</v>
      </c>
      <c r="I153" s="5">
        <v>2</v>
      </c>
      <c r="J153" s="5">
        <v>0.26</v>
      </c>
      <c r="K153" s="5">
        <v>0.2576</v>
      </c>
      <c r="L153" s="5">
        <v>0.5</v>
      </c>
      <c r="M153" s="5">
        <v>0.22389999999999999</v>
      </c>
      <c r="N153" s="5">
        <v>9</v>
      </c>
      <c r="O153" s="5">
        <v>73</v>
      </c>
      <c r="P153" s="5">
        <v>82</v>
      </c>
    </row>
    <row r="154" spans="1:16">
      <c r="A154" s="5">
        <v>772</v>
      </c>
      <c r="B154" s="6">
        <v>40578</v>
      </c>
      <c r="C154" s="5">
        <v>1</v>
      </c>
      <c r="D154" s="5">
        <v>0</v>
      </c>
      <c r="E154" s="5">
        <v>2</v>
      </c>
      <c r="F154" s="5">
        <v>14</v>
      </c>
      <c r="G154" s="5" t="b">
        <v>0</v>
      </c>
      <c r="H154" s="5">
        <v>5</v>
      </c>
      <c r="I154" s="5">
        <v>2</v>
      </c>
      <c r="J154" s="5">
        <v>0.28000000000000003</v>
      </c>
      <c r="K154" s="5">
        <v>0.2727</v>
      </c>
      <c r="L154" s="5">
        <v>0.45</v>
      </c>
      <c r="M154" s="5">
        <v>0.16420000000000001</v>
      </c>
      <c r="N154" s="5">
        <v>15</v>
      </c>
      <c r="O154" s="5">
        <v>76</v>
      </c>
      <c r="P154" s="5">
        <v>91</v>
      </c>
    </row>
    <row r="155" spans="1:16">
      <c r="A155" s="5">
        <v>773</v>
      </c>
      <c r="B155" s="6">
        <v>40578</v>
      </c>
      <c r="C155" s="5">
        <v>1</v>
      </c>
      <c r="D155" s="5">
        <v>0</v>
      </c>
      <c r="E155" s="5">
        <v>2</v>
      </c>
      <c r="F155" s="5">
        <v>15</v>
      </c>
      <c r="G155" s="5" t="b">
        <v>0</v>
      </c>
      <c r="H155" s="5">
        <v>5</v>
      </c>
      <c r="I155" s="5">
        <v>2</v>
      </c>
      <c r="J155" s="5">
        <v>0.28000000000000003</v>
      </c>
      <c r="K155" s="5">
        <v>0.2727</v>
      </c>
      <c r="L155" s="5">
        <v>0.48</v>
      </c>
      <c r="M155" s="5">
        <v>0.25369999999999998</v>
      </c>
      <c r="N155" s="5">
        <v>9</v>
      </c>
      <c r="O155" s="5">
        <v>81</v>
      </c>
      <c r="P155" s="5">
        <v>90</v>
      </c>
    </row>
    <row r="156" spans="1:16">
      <c r="A156" s="5">
        <v>774</v>
      </c>
      <c r="B156" s="6">
        <v>40578</v>
      </c>
      <c r="C156" s="5">
        <v>1</v>
      </c>
      <c r="D156" s="5">
        <v>0</v>
      </c>
      <c r="E156" s="5">
        <v>2</v>
      </c>
      <c r="F156" s="5">
        <v>16</v>
      </c>
      <c r="G156" s="5" t="b">
        <v>0</v>
      </c>
      <c r="H156" s="5">
        <v>5</v>
      </c>
      <c r="I156" s="5">
        <v>2</v>
      </c>
      <c r="J156" s="5">
        <v>0.3</v>
      </c>
      <c r="K156" s="5">
        <v>0.28789999999999999</v>
      </c>
      <c r="L156" s="5">
        <v>0.42</v>
      </c>
      <c r="M156" s="5">
        <v>0.22389999999999999</v>
      </c>
      <c r="N156" s="5">
        <v>8</v>
      </c>
      <c r="O156" s="5">
        <v>91</v>
      </c>
      <c r="P156" s="5">
        <v>99</v>
      </c>
    </row>
    <row r="157" spans="1:16">
      <c r="A157" s="5">
        <v>775</v>
      </c>
      <c r="B157" s="6">
        <v>40578</v>
      </c>
      <c r="C157" s="5">
        <v>1</v>
      </c>
      <c r="D157" s="5">
        <v>0</v>
      </c>
      <c r="E157" s="5">
        <v>2</v>
      </c>
      <c r="F157" s="5">
        <v>17</v>
      </c>
      <c r="G157" s="5" t="b">
        <v>0</v>
      </c>
      <c r="H157" s="5">
        <v>5</v>
      </c>
      <c r="I157" s="5">
        <v>2</v>
      </c>
      <c r="J157" s="5">
        <v>0.26</v>
      </c>
      <c r="K157" s="5">
        <v>0.2727</v>
      </c>
      <c r="L157" s="5">
        <v>0.56000000000000005</v>
      </c>
      <c r="M157" s="5">
        <v>0.1343</v>
      </c>
      <c r="N157" s="5">
        <v>10</v>
      </c>
      <c r="O157" s="5">
        <v>195</v>
      </c>
      <c r="P157" s="5">
        <v>205</v>
      </c>
    </row>
    <row r="158" spans="1:16">
      <c r="A158" s="5">
        <v>776</v>
      </c>
      <c r="B158" s="6">
        <v>40578</v>
      </c>
      <c r="C158" s="5">
        <v>1</v>
      </c>
      <c r="D158" s="5">
        <v>0</v>
      </c>
      <c r="E158" s="5">
        <v>2</v>
      </c>
      <c r="F158" s="5">
        <v>18</v>
      </c>
      <c r="G158" s="5" t="b">
        <v>0</v>
      </c>
      <c r="H158" s="5">
        <v>5</v>
      </c>
      <c r="I158" s="5">
        <v>2</v>
      </c>
      <c r="J158" s="5">
        <v>0.24</v>
      </c>
      <c r="K158" s="5">
        <v>0.2576</v>
      </c>
      <c r="L158" s="5">
        <v>0.6</v>
      </c>
      <c r="M158" s="5">
        <v>0.1045</v>
      </c>
      <c r="N158" s="5">
        <v>3</v>
      </c>
      <c r="O158" s="5">
        <v>152</v>
      </c>
      <c r="P158" s="5">
        <v>155</v>
      </c>
    </row>
    <row r="159" spans="1:16">
      <c r="A159" s="5">
        <v>777</v>
      </c>
      <c r="B159" s="6">
        <v>40578</v>
      </c>
      <c r="C159" s="5">
        <v>1</v>
      </c>
      <c r="D159" s="5">
        <v>0</v>
      </c>
      <c r="E159" s="5">
        <v>2</v>
      </c>
      <c r="F159" s="5">
        <v>19</v>
      </c>
      <c r="G159" s="5" t="b">
        <v>0</v>
      </c>
      <c r="H159" s="5">
        <v>5</v>
      </c>
      <c r="I159" s="5">
        <v>2</v>
      </c>
      <c r="J159" s="5">
        <v>0.24</v>
      </c>
      <c r="K159" s="5">
        <v>0.2424</v>
      </c>
      <c r="L159" s="5">
        <v>0.65</v>
      </c>
      <c r="M159" s="5">
        <v>0.1343</v>
      </c>
      <c r="N159" s="5">
        <v>1</v>
      </c>
      <c r="O159" s="5">
        <v>102</v>
      </c>
      <c r="P159" s="5">
        <v>103</v>
      </c>
    </row>
    <row r="160" spans="1:16">
      <c r="A160" s="5">
        <v>778</v>
      </c>
      <c r="B160" s="6">
        <v>40578</v>
      </c>
      <c r="C160" s="5">
        <v>1</v>
      </c>
      <c r="D160" s="5">
        <v>0</v>
      </c>
      <c r="E160" s="5">
        <v>2</v>
      </c>
      <c r="F160" s="5">
        <v>20</v>
      </c>
      <c r="G160" s="5" t="b">
        <v>0</v>
      </c>
      <c r="H160" s="5">
        <v>5</v>
      </c>
      <c r="I160" s="5">
        <v>2</v>
      </c>
      <c r="J160" s="5">
        <v>0.24</v>
      </c>
      <c r="K160" s="5">
        <v>0.2424</v>
      </c>
      <c r="L160" s="5">
        <v>0.65</v>
      </c>
      <c r="M160" s="5">
        <v>0.16420000000000001</v>
      </c>
      <c r="N160" s="5">
        <v>2</v>
      </c>
      <c r="O160" s="5">
        <v>69</v>
      </c>
      <c r="P160" s="5">
        <v>71</v>
      </c>
    </row>
    <row r="161" spans="1:16">
      <c r="A161" s="5">
        <v>779</v>
      </c>
      <c r="B161" s="6">
        <v>40578</v>
      </c>
      <c r="C161" s="5">
        <v>1</v>
      </c>
      <c r="D161" s="5">
        <v>0</v>
      </c>
      <c r="E161" s="5">
        <v>2</v>
      </c>
      <c r="F161" s="5">
        <v>21</v>
      </c>
      <c r="G161" s="5" t="b">
        <v>0</v>
      </c>
      <c r="H161" s="5">
        <v>5</v>
      </c>
      <c r="I161" s="5">
        <v>2</v>
      </c>
      <c r="J161" s="5">
        <v>0.24</v>
      </c>
      <c r="K161" s="5">
        <v>0.2424</v>
      </c>
      <c r="L161" s="5">
        <v>0.7</v>
      </c>
      <c r="M161" s="5">
        <v>0.16420000000000001</v>
      </c>
      <c r="N161" s="5">
        <v>2</v>
      </c>
      <c r="O161" s="5">
        <v>41</v>
      </c>
      <c r="P161" s="5">
        <v>43</v>
      </c>
    </row>
    <row r="162" spans="1:16">
      <c r="A162" s="5">
        <v>780</v>
      </c>
      <c r="B162" s="6">
        <v>40578</v>
      </c>
      <c r="C162" s="5">
        <v>1</v>
      </c>
      <c r="D162" s="5">
        <v>0</v>
      </c>
      <c r="E162" s="5">
        <v>2</v>
      </c>
      <c r="F162" s="5">
        <v>22</v>
      </c>
      <c r="G162" s="5" t="b">
        <v>0</v>
      </c>
      <c r="H162" s="5">
        <v>5</v>
      </c>
      <c r="I162" s="5">
        <v>2</v>
      </c>
      <c r="J162" s="5">
        <v>0.24</v>
      </c>
      <c r="K162" s="5">
        <v>0.2424</v>
      </c>
      <c r="L162" s="5">
        <v>0.65</v>
      </c>
      <c r="M162" s="5">
        <v>0.16420000000000001</v>
      </c>
      <c r="N162" s="5">
        <v>1</v>
      </c>
      <c r="O162" s="5">
        <v>45</v>
      </c>
      <c r="P162" s="5">
        <v>46</v>
      </c>
    </row>
    <row r="163" spans="1:16">
      <c r="A163" s="5">
        <v>781</v>
      </c>
      <c r="B163" s="6">
        <v>40578</v>
      </c>
      <c r="C163" s="5">
        <v>1</v>
      </c>
      <c r="D163" s="5">
        <v>0</v>
      </c>
      <c r="E163" s="5">
        <v>2</v>
      </c>
      <c r="F163" s="5">
        <v>23</v>
      </c>
      <c r="G163" s="5" t="b">
        <v>0</v>
      </c>
      <c r="H163" s="5">
        <v>5</v>
      </c>
      <c r="I163" s="5">
        <v>2</v>
      </c>
      <c r="J163" s="5">
        <v>0.24</v>
      </c>
      <c r="K163" s="5">
        <v>0.2424</v>
      </c>
      <c r="L163" s="5">
        <v>0.7</v>
      </c>
      <c r="M163" s="5">
        <v>0.1343</v>
      </c>
      <c r="N163" s="5">
        <v>1</v>
      </c>
      <c r="O163" s="5">
        <v>30</v>
      </c>
      <c r="P163" s="5">
        <v>31</v>
      </c>
    </row>
    <row r="164" spans="1:16">
      <c r="A164" s="5">
        <v>782</v>
      </c>
      <c r="B164" s="6">
        <v>40579</v>
      </c>
      <c r="C164" s="5">
        <v>1</v>
      </c>
      <c r="D164" s="5">
        <v>0</v>
      </c>
      <c r="E164" s="5">
        <v>2</v>
      </c>
      <c r="F164" s="5">
        <v>0</v>
      </c>
      <c r="G164" s="5" t="b">
        <v>0</v>
      </c>
      <c r="H164" s="5">
        <v>6</v>
      </c>
      <c r="I164" s="5">
        <v>2</v>
      </c>
      <c r="J164" s="5">
        <v>0.24</v>
      </c>
      <c r="K164" s="5">
        <v>0.2424</v>
      </c>
      <c r="L164" s="5">
        <v>0.7</v>
      </c>
      <c r="M164" s="5">
        <v>0.16420000000000001</v>
      </c>
      <c r="N164" s="5">
        <v>3</v>
      </c>
      <c r="O164" s="5">
        <v>36</v>
      </c>
      <c r="P164" s="5">
        <v>39</v>
      </c>
    </row>
    <row r="165" spans="1:16">
      <c r="A165" s="5">
        <v>783</v>
      </c>
      <c r="B165" s="6">
        <v>40579</v>
      </c>
      <c r="C165" s="5">
        <v>1</v>
      </c>
      <c r="D165" s="5">
        <v>0</v>
      </c>
      <c r="E165" s="5">
        <v>2</v>
      </c>
      <c r="F165" s="5">
        <v>1</v>
      </c>
      <c r="G165" s="5" t="b">
        <v>0</v>
      </c>
      <c r="H165" s="5">
        <v>6</v>
      </c>
      <c r="I165" s="5">
        <v>2</v>
      </c>
      <c r="J165" s="5">
        <v>0.24</v>
      </c>
      <c r="K165" s="5">
        <v>0.2424</v>
      </c>
      <c r="L165" s="5">
        <v>0.65</v>
      </c>
      <c r="M165" s="5">
        <v>0.16420000000000001</v>
      </c>
      <c r="N165" s="5">
        <v>1</v>
      </c>
      <c r="O165" s="5">
        <v>17</v>
      </c>
      <c r="P165" s="5">
        <v>18</v>
      </c>
    </row>
    <row r="166" spans="1:16">
      <c r="A166" s="5">
        <v>784</v>
      </c>
      <c r="B166" s="6">
        <v>40579</v>
      </c>
      <c r="C166" s="5">
        <v>1</v>
      </c>
      <c r="D166" s="5">
        <v>0</v>
      </c>
      <c r="E166" s="5">
        <v>2</v>
      </c>
      <c r="F166" s="5">
        <v>2</v>
      </c>
      <c r="G166" s="5" t="b">
        <v>0</v>
      </c>
      <c r="H166" s="5">
        <v>6</v>
      </c>
      <c r="I166" s="5">
        <v>2</v>
      </c>
      <c r="J166" s="5">
        <v>0.24</v>
      </c>
      <c r="K166" s="5">
        <v>0.2424</v>
      </c>
      <c r="L166" s="5">
        <v>0.75</v>
      </c>
      <c r="M166" s="5">
        <v>0.16420000000000001</v>
      </c>
      <c r="N166" s="5">
        <v>5</v>
      </c>
      <c r="O166" s="5">
        <v>12</v>
      </c>
      <c r="P166" s="5">
        <v>17</v>
      </c>
    </row>
    <row r="167" spans="1:16">
      <c r="A167" s="5">
        <v>785</v>
      </c>
      <c r="B167" s="6">
        <v>40579</v>
      </c>
      <c r="C167" s="5">
        <v>1</v>
      </c>
      <c r="D167" s="5">
        <v>0</v>
      </c>
      <c r="E167" s="5">
        <v>2</v>
      </c>
      <c r="F167" s="5">
        <v>3</v>
      </c>
      <c r="G167" s="5" t="b">
        <v>0</v>
      </c>
      <c r="H167" s="5">
        <v>6</v>
      </c>
      <c r="I167" s="5">
        <v>2</v>
      </c>
      <c r="J167" s="5">
        <v>0.24</v>
      </c>
      <c r="K167" s="5">
        <v>0.2424</v>
      </c>
      <c r="L167" s="5">
        <v>0.75</v>
      </c>
      <c r="M167" s="5">
        <v>0.16420000000000001</v>
      </c>
      <c r="N167" s="5">
        <v>1</v>
      </c>
      <c r="O167" s="5">
        <v>10</v>
      </c>
      <c r="P167" s="5">
        <v>11</v>
      </c>
    </row>
    <row r="168" spans="1:16">
      <c r="A168" s="5">
        <v>786</v>
      </c>
      <c r="B168" s="6">
        <v>40579</v>
      </c>
      <c r="C168" s="5">
        <v>1</v>
      </c>
      <c r="D168" s="5">
        <v>0</v>
      </c>
      <c r="E168" s="5">
        <v>2</v>
      </c>
      <c r="F168" s="5">
        <v>4</v>
      </c>
      <c r="G168" s="5" t="b">
        <v>0</v>
      </c>
      <c r="H168" s="5">
        <v>6</v>
      </c>
      <c r="I168" s="5">
        <v>3</v>
      </c>
      <c r="J168" s="5">
        <v>0.22</v>
      </c>
      <c r="K168" s="5">
        <v>0.2273</v>
      </c>
      <c r="L168" s="5">
        <v>0.93</v>
      </c>
      <c r="M168" s="5">
        <v>0.1343</v>
      </c>
      <c r="N168" s="5">
        <v>0</v>
      </c>
      <c r="O168" s="5">
        <v>8</v>
      </c>
      <c r="P168" s="5">
        <v>8</v>
      </c>
    </row>
    <row r="169" spans="1:16">
      <c r="A169" s="5">
        <v>787</v>
      </c>
      <c r="B169" s="6">
        <v>40579</v>
      </c>
      <c r="C169" s="5">
        <v>1</v>
      </c>
      <c r="D169" s="5">
        <v>0</v>
      </c>
      <c r="E169" s="5">
        <v>2</v>
      </c>
      <c r="F169" s="5">
        <v>5</v>
      </c>
      <c r="G169" s="5" t="b">
        <v>0</v>
      </c>
      <c r="H169" s="5">
        <v>6</v>
      </c>
      <c r="I169" s="5">
        <v>3</v>
      </c>
      <c r="J169" s="5">
        <v>0.2</v>
      </c>
      <c r="K169" s="5">
        <v>0.2273</v>
      </c>
      <c r="L169" s="5">
        <v>1</v>
      </c>
      <c r="M169" s="5">
        <v>8.9599999999999999E-2</v>
      </c>
      <c r="N169" s="5">
        <v>0</v>
      </c>
      <c r="O169" s="5">
        <v>9</v>
      </c>
      <c r="P169" s="5">
        <v>9</v>
      </c>
    </row>
    <row r="170" spans="1:16">
      <c r="A170" s="5">
        <v>788</v>
      </c>
      <c r="B170" s="6">
        <v>40579</v>
      </c>
      <c r="C170" s="5">
        <v>1</v>
      </c>
      <c r="D170" s="5">
        <v>0</v>
      </c>
      <c r="E170" s="5">
        <v>2</v>
      </c>
      <c r="F170" s="5">
        <v>6</v>
      </c>
      <c r="G170" s="5" t="b">
        <v>0</v>
      </c>
      <c r="H170" s="5">
        <v>6</v>
      </c>
      <c r="I170" s="5">
        <v>3</v>
      </c>
      <c r="J170" s="5">
        <v>0.2</v>
      </c>
      <c r="K170" s="5">
        <v>0.2576</v>
      </c>
      <c r="L170" s="5">
        <v>1</v>
      </c>
      <c r="M170" s="5">
        <v>0</v>
      </c>
      <c r="N170" s="5">
        <v>0</v>
      </c>
      <c r="O170" s="5">
        <v>4</v>
      </c>
      <c r="P170" s="5">
        <v>4</v>
      </c>
    </row>
    <row r="171" spans="1:16">
      <c r="A171" s="5">
        <v>789</v>
      </c>
      <c r="B171" s="6">
        <v>40579</v>
      </c>
      <c r="C171" s="5">
        <v>1</v>
      </c>
      <c r="D171" s="5">
        <v>0</v>
      </c>
      <c r="E171" s="5">
        <v>2</v>
      </c>
      <c r="F171" s="5">
        <v>7</v>
      </c>
      <c r="G171" s="5" t="b">
        <v>0</v>
      </c>
      <c r="H171" s="5">
        <v>6</v>
      </c>
      <c r="I171" s="5">
        <v>3</v>
      </c>
      <c r="J171" s="5">
        <v>0.22</v>
      </c>
      <c r="K171" s="5">
        <v>0.2576</v>
      </c>
      <c r="L171" s="5">
        <v>0.93</v>
      </c>
      <c r="M171" s="5">
        <v>8.9599999999999999E-2</v>
      </c>
      <c r="N171" s="5">
        <v>0</v>
      </c>
      <c r="O171" s="5">
        <v>4</v>
      </c>
      <c r="P171" s="5">
        <v>4</v>
      </c>
    </row>
    <row r="172" spans="1:16">
      <c r="A172" s="5">
        <v>790</v>
      </c>
      <c r="B172" s="6">
        <v>40579</v>
      </c>
      <c r="C172" s="5">
        <v>1</v>
      </c>
      <c r="D172" s="5">
        <v>0</v>
      </c>
      <c r="E172" s="5">
        <v>2</v>
      </c>
      <c r="F172" s="5">
        <v>8</v>
      </c>
      <c r="G172" s="5" t="b">
        <v>0</v>
      </c>
      <c r="H172" s="5">
        <v>6</v>
      </c>
      <c r="I172" s="5">
        <v>3</v>
      </c>
      <c r="J172" s="5">
        <v>0.2</v>
      </c>
      <c r="K172" s="5">
        <v>0.2273</v>
      </c>
      <c r="L172" s="5">
        <v>1</v>
      </c>
      <c r="M172" s="5">
        <v>8.9599999999999999E-2</v>
      </c>
      <c r="N172" s="5">
        <v>0</v>
      </c>
      <c r="O172" s="5">
        <v>10</v>
      </c>
      <c r="P172" s="5">
        <v>10</v>
      </c>
    </row>
    <row r="173" spans="1:16">
      <c r="A173" s="5">
        <v>791</v>
      </c>
      <c r="B173" s="6">
        <v>40579</v>
      </c>
      <c r="C173" s="5">
        <v>1</v>
      </c>
      <c r="D173" s="5">
        <v>0</v>
      </c>
      <c r="E173" s="5">
        <v>2</v>
      </c>
      <c r="F173" s="5">
        <v>9</v>
      </c>
      <c r="G173" s="5" t="b">
        <v>0</v>
      </c>
      <c r="H173" s="5">
        <v>6</v>
      </c>
      <c r="I173" s="5">
        <v>3</v>
      </c>
      <c r="J173" s="5">
        <v>0.2</v>
      </c>
      <c r="K173" s="5">
        <v>0.2273</v>
      </c>
      <c r="L173" s="5">
        <v>1</v>
      </c>
      <c r="M173" s="5">
        <v>8.9599999999999999E-2</v>
      </c>
      <c r="N173" s="5">
        <v>3</v>
      </c>
      <c r="O173" s="5">
        <v>17</v>
      </c>
      <c r="P173" s="5">
        <v>20</v>
      </c>
    </row>
    <row r="174" spans="1:16">
      <c r="A174" s="5">
        <v>792</v>
      </c>
      <c r="B174" s="6">
        <v>40579</v>
      </c>
      <c r="C174" s="5">
        <v>1</v>
      </c>
      <c r="D174" s="5">
        <v>0</v>
      </c>
      <c r="E174" s="5">
        <v>2</v>
      </c>
      <c r="F174" s="5">
        <v>10</v>
      </c>
      <c r="G174" s="5" t="b">
        <v>0</v>
      </c>
      <c r="H174" s="5">
        <v>6</v>
      </c>
      <c r="I174" s="5">
        <v>3</v>
      </c>
      <c r="J174" s="5">
        <v>0.2</v>
      </c>
      <c r="K174" s="5">
        <v>0.21210000000000001</v>
      </c>
      <c r="L174" s="5">
        <v>1</v>
      </c>
      <c r="M174" s="5">
        <v>0.1343</v>
      </c>
      <c r="N174" s="5">
        <v>3</v>
      </c>
      <c r="O174" s="5">
        <v>31</v>
      </c>
      <c r="P174" s="5">
        <v>34</v>
      </c>
    </row>
    <row r="175" spans="1:16">
      <c r="A175" s="5">
        <v>793</v>
      </c>
      <c r="B175" s="6">
        <v>40579</v>
      </c>
      <c r="C175" s="5">
        <v>1</v>
      </c>
      <c r="D175" s="5">
        <v>0</v>
      </c>
      <c r="E175" s="5">
        <v>2</v>
      </c>
      <c r="F175" s="5">
        <v>11</v>
      </c>
      <c r="G175" s="5" t="b">
        <v>0</v>
      </c>
      <c r="H175" s="5">
        <v>6</v>
      </c>
      <c r="I175" s="5">
        <v>3</v>
      </c>
      <c r="J175" s="5">
        <v>0.22</v>
      </c>
      <c r="K175" s="5">
        <v>0.2273</v>
      </c>
      <c r="L175" s="5">
        <v>1</v>
      </c>
      <c r="M175" s="5">
        <v>0.1343</v>
      </c>
      <c r="N175" s="5">
        <v>1</v>
      </c>
      <c r="O175" s="5">
        <v>46</v>
      </c>
      <c r="P175" s="5">
        <v>47</v>
      </c>
    </row>
    <row r="176" spans="1:16">
      <c r="A176" s="5">
        <v>794</v>
      </c>
      <c r="B176" s="6">
        <v>40579</v>
      </c>
      <c r="C176" s="5">
        <v>1</v>
      </c>
      <c r="D176" s="5">
        <v>0</v>
      </c>
      <c r="E176" s="5">
        <v>2</v>
      </c>
      <c r="F176" s="5">
        <v>12</v>
      </c>
      <c r="G176" s="5" t="b">
        <v>0</v>
      </c>
      <c r="H176" s="5">
        <v>6</v>
      </c>
      <c r="I176" s="5">
        <v>3</v>
      </c>
      <c r="J176" s="5">
        <v>0.22</v>
      </c>
      <c r="K176" s="5">
        <v>0.2273</v>
      </c>
      <c r="L176" s="5">
        <v>1</v>
      </c>
      <c r="M176" s="5">
        <v>0.16420000000000001</v>
      </c>
      <c r="N176" s="5">
        <v>10</v>
      </c>
      <c r="O176" s="5">
        <v>42</v>
      </c>
      <c r="P176" s="5">
        <v>52</v>
      </c>
    </row>
    <row r="177" spans="1:16">
      <c r="A177" s="5">
        <v>795</v>
      </c>
      <c r="B177" s="6">
        <v>40579</v>
      </c>
      <c r="C177" s="5">
        <v>1</v>
      </c>
      <c r="D177" s="5">
        <v>0</v>
      </c>
      <c r="E177" s="5">
        <v>2</v>
      </c>
      <c r="F177" s="5">
        <v>13</v>
      </c>
      <c r="G177" s="5" t="b">
        <v>0</v>
      </c>
      <c r="H177" s="5">
        <v>6</v>
      </c>
      <c r="I177" s="5">
        <v>3</v>
      </c>
      <c r="J177" s="5">
        <v>0.22</v>
      </c>
      <c r="K177" s="5">
        <v>0.2273</v>
      </c>
      <c r="L177" s="5">
        <v>1</v>
      </c>
      <c r="M177" s="5">
        <v>0.16420000000000001</v>
      </c>
      <c r="N177" s="5">
        <v>10</v>
      </c>
      <c r="O177" s="5">
        <v>62</v>
      </c>
      <c r="P177" s="5">
        <v>72</v>
      </c>
    </row>
    <row r="178" spans="1:16">
      <c r="A178" s="5">
        <v>796</v>
      </c>
      <c r="B178" s="6">
        <v>40579</v>
      </c>
      <c r="C178" s="5">
        <v>1</v>
      </c>
      <c r="D178" s="5">
        <v>0</v>
      </c>
      <c r="E178" s="5">
        <v>2</v>
      </c>
      <c r="F178" s="5">
        <v>14</v>
      </c>
      <c r="G178" s="5" t="b">
        <v>0</v>
      </c>
      <c r="H178" s="5">
        <v>6</v>
      </c>
      <c r="I178" s="5">
        <v>3</v>
      </c>
      <c r="J178" s="5">
        <v>0.22</v>
      </c>
      <c r="K178" s="5">
        <v>0.2727</v>
      </c>
      <c r="L178" s="5">
        <v>1</v>
      </c>
      <c r="M178" s="5">
        <v>0</v>
      </c>
      <c r="N178" s="5">
        <v>5</v>
      </c>
      <c r="O178" s="5">
        <v>50</v>
      </c>
      <c r="P178" s="5">
        <v>55</v>
      </c>
    </row>
    <row r="179" spans="1:16">
      <c r="A179" s="5">
        <v>797</v>
      </c>
      <c r="B179" s="6">
        <v>40579</v>
      </c>
      <c r="C179" s="5">
        <v>1</v>
      </c>
      <c r="D179" s="5">
        <v>0</v>
      </c>
      <c r="E179" s="5">
        <v>2</v>
      </c>
      <c r="F179" s="5">
        <v>15</v>
      </c>
      <c r="G179" s="5" t="b">
        <v>0</v>
      </c>
      <c r="H179" s="5">
        <v>6</v>
      </c>
      <c r="I179" s="5">
        <v>3</v>
      </c>
      <c r="J179" s="5">
        <v>0.22</v>
      </c>
      <c r="K179" s="5">
        <v>0.2727</v>
      </c>
      <c r="L179" s="5">
        <v>1</v>
      </c>
      <c r="M179" s="5">
        <v>0</v>
      </c>
      <c r="N179" s="5">
        <v>11</v>
      </c>
      <c r="O179" s="5">
        <v>49</v>
      </c>
      <c r="P179" s="5">
        <v>60</v>
      </c>
    </row>
    <row r="180" spans="1:16">
      <c r="A180" s="5">
        <v>798</v>
      </c>
      <c r="B180" s="6">
        <v>40579</v>
      </c>
      <c r="C180" s="5">
        <v>1</v>
      </c>
      <c r="D180" s="5">
        <v>0</v>
      </c>
      <c r="E180" s="5">
        <v>2</v>
      </c>
      <c r="F180" s="5">
        <v>16</v>
      </c>
      <c r="G180" s="5" t="b">
        <v>0</v>
      </c>
      <c r="H180" s="5">
        <v>6</v>
      </c>
      <c r="I180" s="5">
        <v>3</v>
      </c>
      <c r="J180" s="5">
        <v>0.22</v>
      </c>
      <c r="K180" s="5">
        <v>0.2273</v>
      </c>
      <c r="L180" s="5">
        <v>1</v>
      </c>
      <c r="M180" s="5">
        <v>0.1343</v>
      </c>
      <c r="N180" s="5">
        <v>8</v>
      </c>
      <c r="O180" s="5">
        <v>63</v>
      </c>
      <c r="P180" s="5">
        <v>71</v>
      </c>
    </row>
    <row r="181" spans="1:16">
      <c r="A181" s="5">
        <v>799</v>
      </c>
      <c r="B181" s="6">
        <v>40579</v>
      </c>
      <c r="C181" s="5">
        <v>1</v>
      </c>
      <c r="D181" s="5">
        <v>0</v>
      </c>
      <c r="E181" s="5">
        <v>2</v>
      </c>
      <c r="F181" s="5">
        <v>17</v>
      </c>
      <c r="G181" s="5" t="b">
        <v>0</v>
      </c>
      <c r="H181" s="5">
        <v>6</v>
      </c>
      <c r="I181" s="5">
        <v>2</v>
      </c>
      <c r="J181" s="5">
        <v>0.24</v>
      </c>
      <c r="K181" s="5">
        <v>0.21210000000000001</v>
      </c>
      <c r="L181" s="5">
        <v>1</v>
      </c>
      <c r="M181" s="5">
        <v>0.28360000000000002</v>
      </c>
      <c r="N181" s="5">
        <v>14</v>
      </c>
      <c r="O181" s="5">
        <v>64</v>
      </c>
      <c r="P181" s="5">
        <v>78</v>
      </c>
    </row>
    <row r="182" spans="1:16">
      <c r="A182" s="5">
        <v>800</v>
      </c>
      <c r="B182" s="6">
        <v>40579</v>
      </c>
      <c r="C182" s="5">
        <v>1</v>
      </c>
      <c r="D182" s="5">
        <v>0</v>
      </c>
      <c r="E182" s="5">
        <v>2</v>
      </c>
      <c r="F182" s="5">
        <v>18</v>
      </c>
      <c r="G182" s="5" t="b">
        <v>0</v>
      </c>
      <c r="H182" s="5">
        <v>6</v>
      </c>
      <c r="I182" s="5">
        <v>2</v>
      </c>
      <c r="J182" s="5">
        <v>0.28000000000000003</v>
      </c>
      <c r="K182" s="5">
        <v>0.2424</v>
      </c>
      <c r="L182" s="5">
        <v>0.93</v>
      </c>
      <c r="M182" s="5">
        <v>0.44779999999999998</v>
      </c>
      <c r="N182" s="5">
        <v>2</v>
      </c>
      <c r="O182" s="5">
        <v>81</v>
      </c>
      <c r="P182" s="5">
        <v>83</v>
      </c>
    </row>
    <row r="183" spans="1:16">
      <c r="A183" s="5">
        <v>801</v>
      </c>
      <c r="B183" s="6">
        <v>40579</v>
      </c>
      <c r="C183" s="5">
        <v>1</v>
      </c>
      <c r="D183" s="5">
        <v>0</v>
      </c>
      <c r="E183" s="5">
        <v>2</v>
      </c>
      <c r="F183" s="5">
        <v>19</v>
      </c>
      <c r="G183" s="5" t="b">
        <v>0</v>
      </c>
      <c r="H183" s="5">
        <v>6</v>
      </c>
      <c r="I183" s="5">
        <v>2</v>
      </c>
      <c r="J183" s="5">
        <v>0.28000000000000003</v>
      </c>
      <c r="K183" s="5">
        <v>0.2424</v>
      </c>
      <c r="L183" s="5">
        <v>0.93</v>
      </c>
      <c r="M183" s="5">
        <v>0.44779999999999998</v>
      </c>
      <c r="N183" s="5">
        <v>6</v>
      </c>
      <c r="O183" s="5">
        <v>78</v>
      </c>
      <c r="P183" s="5">
        <v>84</v>
      </c>
    </row>
    <row r="184" spans="1:16">
      <c r="A184" s="5">
        <v>802</v>
      </c>
      <c r="B184" s="6">
        <v>40579</v>
      </c>
      <c r="C184" s="5">
        <v>1</v>
      </c>
      <c r="D184" s="5">
        <v>0</v>
      </c>
      <c r="E184" s="5">
        <v>2</v>
      </c>
      <c r="F184" s="5">
        <v>20</v>
      </c>
      <c r="G184" s="5" t="b">
        <v>0</v>
      </c>
      <c r="H184" s="5">
        <v>6</v>
      </c>
      <c r="I184" s="5">
        <v>1</v>
      </c>
      <c r="J184" s="5">
        <v>0.3</v>
      </c>
      <c r="K184" s="5">
        <v>0.28789999999999999</v>
      </c>
      <c r="L184" s="5">
        <v>0.87</v>
      </c>
      <c r="M184" s="5">
        <v>0.25369999999999998</v>
      </c>
      <c r="N184" s="5">
        <v>5</v>
      </c>
      <c r="O184" s="5">
        <v>64</v>
      </c>
      <c r="P184" s="5">
        <v>69</v>
      </c>
    </row>
    <row r="185" spans="1:16">
      <c r="A185" s="5">
        <v>803</v>
      </c>
      <c r="B185" s="6">
        <v>40579</v>
      </c>
      <c r="C185" s="5">
        <v>1</v>
      </c>
      <c r="D185" s="5">
        <v>0</v>
      </c>
      <c r="E185" s="5">
        <v>2</v>
      </c>
      <c r="F185" s="5">
        <v>21</v>
      </c>
      <c r="G185" s="5" t="b">
        <v>0</v>
      </c>
      <c r="H185" s="5">
        <v>6</v>
      </c>
      <c r="I185" s="5">
        <v>1</v>
      </c>
      <c r="J185" s="5">
        <v>0.26</v>
      </c>
      <c r="K185" s="5">
        <v>0.2576</v>
      </c>
      <c r="L185" s="5">
        <v>1</v>
      </c>
      <c r="M185" s="5">
        <v>0.19400000000000001</v>
      </c>
      <c r="N185" s="5">
        <v>3</v>
      </c>
      <c r="O185" s="5">
        <v>53</v>
      </c>
      <c r="P185" s="5">
        <v>56</v>
      </c>
    </row>
    <row r="186" spans="1:16">
      <c r="A186" s="5">
        <v>804</v>
      </c>
      <c r="B186" s="6">
        <v>40579</v>
      </c>
      <c r="C186" s="5">
        <v>1</v>
      </c>
      <c r="D186" s="5">
        <v>0</v>
      </c>
      <c r="E186" s="5">
        <v>2</v>
      </c>
      <c r="F186" s="5">
        <v>22</v>
      </c>
      <c r="G186" s="5" t="b">
        <v>0</v>
      </c>
      <c r="H186" s="5">
        <v>6</v>
      </c>
      <c r="I186" s="5">
        <v>1</v>
      </c>
      <c r="J186" s="5">
        <v>0.26</v>
      </c>
      <c r="K186" s="5">
        <v>0.2727</v>
      </c>
      <c r="L186" s="5">
        <v>0.93</v>
      </c>
      <c r="M186" s="5">
        <v>0.1343</v>
      </c>
      <c r="N186" s="5">
        <v>2</v>
      </c>
      <c r="O186" s="5">
        <v>43</v>
      </c>
      <c r="P186" s="5">
        <v>45</v>
      </c>
    </row>
    <row r="187" spans="1:16">
      <c r="A187" s="5">
        <v>805</v>
      </c>
      <c r="B187" s="6">
        <v>40579</v>
      </c>
      <c r="C187" s="5">
        <v>1</v>
      </c>
      <c r="D187" s="5">
        <v>0</v>
      </c>
      <c r="E187" s="5">
        <v>2</v>
      </c>
      <c r="F187" s="5">
        <v>23</v>
      </c>
      <c r="G187" s="5" t="b">
        <v>0</v>
      </c>
      <c r="H187" s="5">
        <v>6</v>
      </c>
      <c r="I187" s="5">
        <v>1</v>
      </c>
      <c r="J187" s="5">
        <v>0.26</v>
      </c>
      <c r="K187" s="5">
        <v>0.2576</v>
      </c>
      <c r="L187" s="5">
        <v>0.93</v>
      </c>
      <c r="M187" s="5">
        <v>0.22389999999999999</v>
      </c>
      <c r="N187" s="5">
        <v>7</v>
      </c>
      <c r="O187" s="5">
        <v>52</v>
      </c>
      <c r="P187" s="5">
        <v>59</v>
      </c>
    </row>
    <row r="188" spans="1:16">
      <c r="A188" s="5">
        <v>806</v>
      </c>
      <c r="B188" s="6">
        <v>40580</v>
      </c>
      <c r="C188" s="5">
        <v>1</v>
      </c>
      <c r="D188" s="5">
        <v>0</v>
      </c>
      <c r="E188" s="5">
        <v>2</v>
      </c>
      <c r="F188" s="5">
        <v>0</v>
      </c>
      <c r="G188" s="5" t="b">
        <v>0</v>
      </c>
      <c r="H188" s="5">
        <v>0</v>
      </c>
      <c r="I188" s="5">
        <v>1</v>
      </c>
      <c r="J188" s="5">
        <v>0.26</v>
      </c>
      <c r="K188" s="5">
        <v>0.2576</v>
      </c>
      <c r="L188" s="5">
        <v>0.7</v>
      </c>
      <c r="M188" s="5">
        <v>0.19400000000000001</v>
      </c>
      <c r="N188" s="5">
        <v>2</v>
      </c>
      <c r="O188" s="5">
        <v>37</v>
      </c>
      <c r="P188" s="5">
        <v>39</v>
      </c>
    </row>
    <row r="189" spans="1:16">
      <c r="A189" s="5">
        <v>807</v>
      </c>
      <c r="B189" s="6">
        <v>40580</v>
      </c>
      <c r="C189" s="5">
        <v>1</v>
      </c>
      <c r="D189" s="5">
        <v>0</v>
      </c>
      <c r="E189" s="5">
        <v>2</v>
      </c>
      <c r="F189" s="5">
        <v>1</v>
      </c>
      <c r="G189" s="5" t="b">
        <v>0</v>
      </c>
      <c r="H189" s="5">
        <v>0</v>
      </c>
      <c r="I189" s="5">
        <v>1</v>
      </c>
      <c r="J189" s="5">
        <v>0.26</v>
      </c>
      <c r="K189" s="5">
        <v>0.2273</v>
      </c>
      <c r="L189" s="5">
        <v>0.65</v>
      </c>
      <c r="M189" s="5">
        <v>0.41789999999999999</v>
      </c>
      <c r="N189" s="5">
        <v>4</v>
      </c>
      <c r="O189" s="5">
        <v>40</v>
      </c>
      <c r="P189" s="5">
        <v>44</v>
      </c>
    </row>
    <row r="190" spans="1:16">
      <c r="A190" s="5">
        <v>808</v>
      </c>
      <c r="B190" s="6">
        <v>40580</v>
      </c>
      <c r="C190" s="5">
        <v>1</v>
      </c>
      <c r="D190" s="5">
        <v>0</v>
      </c>
      <c r="E190" s="5">
        <v>2</v>
      </c>
      <c r="F190" s="5">
        <v>2</v>
      </c>
      <c r="G190" s="5" t="b">
        <v>0</v>
      </c>
      <c r="H190" s="5">
        <v>0</v>
      </c>
      <c r="I190" s="5">
        <v>1</v>
      </c>
      <c r="J190" s="5">
        <v>0.26</v>
      </c>
      <c r="K190" s="5">
        <v>0.2273</v>
      </c>
      <c r="L190" s="5">
        <v>0.6</v>
      </c>
      <c r="M190" s="5">
        <v>0.32840000000000003</v>
      </c>
      <c r="N190" s="5">
        <v>0</v>
      </c>
      <c r="O190" s="5">
        <v>20</v>
      </c>
      <c r="P190" s="5">
        <v>20</v>
      </c>
    </row>
    <row r="191" spans="1:16">
      <c r="A191" s="5">
        <v>809</v>
      </c>
      <c r="B191" s="6">
        <v>40580</v>
      </c>
      <c r="C191" s="5">
        <v>1</v>
      </c>
      <c r="D191" s="5">
        <v>0</v>
      </c>
      <c r="E191" s="5">
        <v>2</v>
      </c>
      <c r="F191" s="5">
        <v>3</v>
      </c>
      <c r="G191" s="5" t="b">
        <v>0</v>
      </c>
      <c r="H191" s="5">
        <v>0</v>
      </c>
      <c r="I191" s="5">
        <v>1</v>
      </c>
      <c r="J191" s="5">
        <v>0.26</v>
      </c>
      <c r="K191" s="5">
        <v>0.28789999999999999</v>
      </c>
      <c r="L191" s="5">
        <v>0.6</v>
      </c>
      <c r="M191" s="5">
        <v>8.9599999999999999E-2</v>
      </c>
      <c r="N191" s="5">
        <v>3</v>
      </c>
      <c r="O191" s="5">
        <v>10</v>
      </c>
      <c r="P191" s="5">
        <v>13</v>
      </c>
    </row>
    <row r="192" spans="1:16">
      <c r="A192" s="5">
        <v>810</v>
      </c>
      <c r="B192" s="6">
        <v>40580</v>
      </c>
      <c r="C192" s="5">
        <v>1</v>
      </c>
      <c r="D192" s="5">
        <v>0</v>
      </c>
      <c r="E192" s="5">
        <v>2</v>
      </c>
      <c r="F192" s="5">
        <v>4</v>
      </c>
      <c r="G192" s="5" t="b">
        <v>0</v>
      </c>
      <c r="H192" s="5">
        <v>0</v>
      </c>
      <c r="I192" s="5">
        <v>1</v>
      </c>
      <c r="J192" s="5">
        <v>0.26</v>
      </c>
      <c r="K192" s="5">
        <v>0.2273</v>
      </c>
      <c r="L192" s="5">
        <v>0.6</v>
      </c>
      <c r="M192" s="5">
        <v>0.35820000000000002</v>
      </c>
      <c r="N192" s="5">
        <v>0</v>
      </c>
      <c r="O192" s="5">
        <v>2</v>
      </c>
      <c r="P192" s="5">
        <v>2</v>
      </c>
    </row>
    <row r="193" spans="1:16">
      <c r="A193" s="5">
        <v>811</v>
      </c>
      <c r="B193" s="6">
        <v>40580</v>
      </c>
      <c r="C193" s="5">
        <v>1</v>
      </c>
      <c r="D193" s="5">
        <v>0</v>
      </c>
      <c r="E193" s="5">
        <v>2</v>
      </c>
      <c r="F193" s="5">
        <v>5</v>
      </c>
      <c r="G193" s="5" t="b">
        <v>0</v>
      </c>
      <c r="H193" s="5">
        <v>0</v>
      </c>
      <c r="I193" s="5">
        <v>1</v>
      </c>
      <c r="J193" s="5">
        <v>0.26</v>
      </c>
      <c r="K193" s="5">
        <v>0.2576</v>
      </c>
      <c r="L193" s="5">
        <v>0.6</v>
      </c>
      <c r="M193" s="5">
        <v>0.22389999999999999</v>
      </c>
      <c r="N193" s="5">
        <v>0</v>
      </c>
      <c r="O193" s="5">
        <v>1</v>
      </c>
      <c r="P193" s="5">
        <v>1</v>
      </c>
    </row>
    <row r="194" spans="1:16">
      <c r="A194" s="5">
        <v>812</v>
      </c>
      <c r="B194" s="6">
        <v>40580</v>
      </c>
      <c r="C194" s="5">
        <v>1</v>
      </c>
      <c r="D194" s="5">
        <v>0</v>
      </c>
      <c r="E194" s="5">
        <v>2</v>
      </c>
      <c r="F194" s="5">
        <v>6</v>
      </c>
      <c r="G194" s="5" t="b">
        <v>0</v>
      </c>
      <c r="H194" s="5">
        <v>0</v>
      </c>
      <c r="I194" s="5">
        <v>1</v>
      </c>
      <c r="J194" s="5">
        <v>0.26</v>
      </c>
      <c r="K194" s="5">
        <v>0.2576</v>
      </c>
      <c r="L194" s="5">
        <v>0.6</v>
      </c>
      <c r="M194" s="5">
        <v>0.22389999999999999</v>
      </c>
      <c r="N194" s="5">
        <v>0</v>
      </c>
      <c r="O194" s="5">
        <v>1</v>
      </c>
      <c r="P194" s="5">
        <v>1</v>
      </c>
    </row>
    <row r="195" spans="1:16">
      <c r="A195" s="5">
        <v>813</v>
      </c>
      <c r="B195" s="6">
        <v>40580</v>
      </c>
      <c r="C195" s="5">
        <v>1</v>
      </c>
      <c r="D195" s="5">
        <v>0</v>
      </c>
      <c r="E195" s="5">
        <v>2</v>
      </c>
      <c r="F195" s="5">
        <v>7</v>
      </c>
      <c r="G195" s="5" t="b">
        <v>0</v>
      </c>
      <c r="H195" s="5">
        <v>0</v>
      </c>
      <c r="I195" s="5">
        <v>1</v>
      </c>
      <c r="J195" s="5">
        <v>0.24</v>
      </c>
      <c r="K195" s="5">
        <v>0.2424</v>
      </c>
      <c r="L195" s="5">
        <v>0.65</v>
      </c>
      <c r="M195" s="5">
        <v>0.16420000000000001</v>
      </c>
      <c r="N195" s="5">
        <v>0</v>
      </c>
      <c r="O195" s="5">
        <v>8</v>
      </c>
      <c r="P195" s="5">
        <v>8</v>
      </c>
    </row>
    <row r="196" spans="1:16">
      <c r="A196" s="5">
        <v>814</v>
      </c>
      <c r="B196" s="6">
        <v>40580</v>
      </c>
      <c r="C196" s="5">
        <v>1</v>
      </c>
      <c r="D196" s="5">
        <v>0</v>
      </c>
      <c r="E196" s="5">
        <v>2</v>
      </c>
      <c r="F196" s="5">
        <v>8</v>
      </c>
      <c r="G196" s="5" t="b">
        <v>0</v>
      </c>
      <c r="H196" s="5">
        <v>0</v>
      </c>
      <c r="I196" s="5">
        <v>1</v>
      </c>
      <c r="J196" s="5">
        <v>0.24</v>
      </c>
      <c r="K196" s="5">
        <v>0.2576</v>
      </c>
      <c r="L196" s="5">
        <v>0.65</v>
      </c>
      <c r="M196" s="5">
        <v>0.1045</v>
      </c>
      <c r="N196" s="5">
        <v>2</v>
      </c>
      <c r="O196" s="5">
        <v>21</v>
      </c>
      <c r="P196" s="5">
        <v>23</v>
      </c>
    </row>
    <row r="197" spans="1:16">
      <c r="A197" s="5">
        <v>815</v>
      </c>
      <c r="B197" s="6">
        <v>40580</v>
      </c>
      <c r="C197" s="5">
        <v>1</v>
      </c>
      <c r="D197" s="5">
        <v>0</v>
      </c>
      <c r="E197" s="5">
        <v>2</v>
      </c>
      <c r="F197" s="5">
        <v>9</v>
      </c>
      <c r="G197" s="5" t="b">
        <v>0</v>
      </c>
      <c r="H197" s="5">
        <v>0</v>
      </c>
      <c r="I197" s="5">
        <v>1</v>
      </c>
      <c r="J197" s="5">
        <v>0.28000000000000003</v>
      </c>
      <c r="K197" s="5">
        <v>0.28789999999999999</v>
      </c>
      <c r="L197" s="5">
        <v>0.56000000000000005</v>
      </c>
      <c r="M197" s="5">
        <v>0.1045</v>
      </c>
      <c r="N197" s="5">
        <v>7</v>
      </c>
      <c r="O197" s="5">
        <v>38</v>
      </c>
      <c r="P197" s="5">
        <v>45</v>
      </c>
    </row>
    <row r="198" spans="1:16">
      <c r="A198" s="5">
        <v>816</v>
      </c>
      <c r="B198" s="6">
        <v>40580</v>
      </c>
      <c r="C198" s="5">
        <v>1</v>
      </c>
      <c r="D198" s="5">
        <v>0</v>
      </c>
      <c r="E198" s="5">
        <v>2</v>
      </c>
      <c r="F198" s="5">
        <v>10</v>
      </c>
      <c r="G198" s="5" t="b">
        <v>0</v>
      </c>
      <c r="H198" s="5">
        <v>0</v>
      </c>
      <c r="I198" s="5">
        <v>1</v>
      </c>
      <c r="J198" s="5">
        <v>0.3</v>
      </c>
      <c r="K198" s="5">
        <v>0.28789999999999999</v>
      </c>
      <c r="L198" s="5">
        <v>0.52</v>
      </c>
      <c r="M198" s="5">
        <v>0.25369999999999998</v>
      </c>
      <c r="N198" s="5">
        <v>15</v>
      </c>
      <c r="O198" s="5">
        <v>74</v>
      </c>
      <c r="P198" s="5">
        <v>89</v>
      </c>
    </row>
    <row r="199" spans="1:16">
      <c r="A199" s="5">
        <v>817</v>
      </c>
      <c r="B199" s="6">
        <v>40580</v>
      </c>
      <c r="C199" s="5">
        <v>1</v>
      </c>
      <c r="D199" s="5">
        <v>0</v>
      </c>
      <c r="E199" s="5">
        <v>2</v>
      </c>
      <c r="F199" s="5">
        <v>11</v>
      </c>
      <c r="G199" s="5" t="b">
        <v>0</v>
      </c>
      <c r="H199" s="5">
        <v>0</v>
      </c>
      <c r="I199" s="5">
        <v>1</v>
      </c>
      <c r="J199" s="5">
        <v>0.32</v>
      </c>
      <c r="K199" s="5">
        <v>0.30299999999999999</v>
      </c>
      <c r="L199" s="5">
        <v>0.49</v>
      </c>
      <c r="M199" s="5">
        <v>0.25369999999999998</v>
      </c>
      <c r="N199" s="5">
        <v>28</v>
      </c>
      <c r="O199" s="5">
        <v>89</v>
      </c>
      <c r="P199" s="5">
        <v>117</v>
      </c>
    </row>
    <row r="200" spans="1:16">
      <c r="A200" s="5">
        <v>818</v>
      </c>
      <c r="B200" s="6">
        <v>40580</v>
      </c>
      <c r="C200" s="5">
        <v>1</v>
      </c>
      <c r="D200" s="5">
        <v>0</v>
      </c>
      <c r="E200" s="5">
        <v>2</v>
      </c>
      <c r="F200" s="5">
        <v>12</v>
      </c>
      <c r="G200" s="5" t="b">
        <v>0</v>
      </c>
      <c r="H200" s="5">
        <v>0</v>
      </c>
      <c r="I200" s="5">
        <v>1</v>
      </c>
      <c r="J200" s="5">
        <v>0.34</v>
      </c>
      <c r="K200" s="5">
        <v>0.33329999999999999</v>
      </c>
      <c r="L200" s="5">
        <v>0.46</v>
      </c>
      <c r="M200" s="5">
        <v>0</v>
      </c>
      <c r="N200" s="5">
        <v>48</v>
      </c>
      <c r="O200" s="5">
        <v>126</v>
      </c>
      <c r="P200" s="5">
        <v>174</v>
      </c>
    </row>
    <row r="201" spans="1:16">
      <c r="A201" s="5">
        <v>819</v>
      </c>
      <c r="B201" s="6">
        <v>40580</v>
      </c>
      <c r="C201" s="5">
        <v>1</v>
      </c>
      <c r="D201" s="5">
        <v>0</v>
      </c>
      <c r="E201" s="5">
        <v>2</v>
      </c>
      <c r="F201" s="5">
        <v>13</v>
      </c>
      <c r="G201" s="5" t="b">
        <v>0</v>
      </c>
      <c r="H201" s="5">
        <v>0</v>
      </c>
      <c r="I201" s="5">
        <v>1</v>
      </c>
      <c r="J201" s="5">
        <v>0.34</v>
      </c>
      <c r="K201" s="5">
        <v>0.36359999999999998</v>
      </c>
      <c r="L201" s="5">
        <v>0.46</v>
      </c>
      <c r="M201" s="5">
        <v>0</v>
      </c>
      <c r="N201" s="5">
        <v>47</v>
      </c>
      <c r="O201" s="5">
        <v>135</v>
      </c>
      <c r="P201" s="5">
        <v>182</v>
      </c>
    </row>
    <row r="202" spans="1:16">
      <c r="A202" s="5">
        <v>820</v>
      </c>
      <c r="B202" s="6">
        <v>40580</v>
      </c>
      <c r="C202" s="5">
        <v>1</v>
      </c>
      <c r="D202" s="5">
        <v>0</v>
      </c>
      <c r="E202" s="5">
        <v>2</v>
      </c>
      <c r="F202" s="5">
        <v>14</v>
      </c>
      <c r="G202" s="5" t="b">
        <v>0</v>
      </c>
      <c r="H202" s="5">
        <v>0</v>
      </c>
      <c r="I202" s="5">
        <v>1</v>
      </c>
      <c r="J202" s="5">
        <v>0.34</v>
      </c>
      <c r="K202" s="5">
        <v>0.34849999999999998</v>
      </c>
      <c r="L202" s="5">
        <v>0.46</v>
      </c>
      <c r="M202" s="5">
        <v>8.9599999999999999E-2</v>
      </c>
      <c r="N202" s="5">
        <v>47</v>
      </c>
      <c r="O202" s="5">
        <v>114</v>
      </c>
      <c r="P202" s="5">
        <v>161</v>
      </c>
    </row>
    <row r="203" spans="1:16">
      <c r="A203" s="5">
        <v>821</v>
      </c>
      <c r="B203" s="6">
        <v>40580</v>
      </c>
      <c r="C203" s="5">
        <v>1</v>
      </c>
      <c r="D203" s="5">
        <v>0</v>
      </c>
      <c r="E203" s="5">
        <v>2</v>
      </c>
      <c r="F203" s="5">
        <v>15</v>
      </c>
      <c r="G203" s="5" t="b">
        <v>0</v>
      </c>
      <c r="H203" s="5">
        <v>0</v>
      </c>
      <c r="I203" s="5">
        <v>1</v>
      </c>
      <c r="J203" s="5">
        <v>0.34</v>
      </c>
      <c r="K203" s="5">
        <v>0.34849999999999998</v>
      </c>
      <c r="L203" s="5">
        <v>0.46</v>
      </c>
      <c r="M203" s="5">
        <v>8.9599999999999999E-2</v>
      </c>
      <c r="N203" s="5">
        <v>52</v>
      </c>
      <c r="O203" s="5">
        <v>130</v>
      </c>
      <c r="P203" s="5">
        <v>182</v>
      </c>
    </row>
    <row r="204" spans="1:16">
      <c r="A204" s="5">
        <v>822</v>
      </c>
      <c r="B204" s="6">
        <v>40580</v>
      </c>
      <c r="C204" s="5">
        <v>1</v>
      </c>
      <c r="D204" s="5">
        <v>0</v>
      </c>
      <c r="E204" s="5">
        <v>2</v>
      </c>
      <c r="F204" s="5">
        <v>16</v>
      </c>
      <c r="G204" s="5" t="b">
        <v>0</v>
      </c>
      <c r="H204" s="5">
        <v>0</v>
      </c>
      <c r="I204" s="5">
        <v>1</v>
      </c>
      <c r="J204" s="5">
        <v>0.34</v>
      </c>
      <c r="K204" s="5">
        <v>0.34849999999999998</v>
      </c>
      <c r="L204" s="5">
        <v>0.49</v>
      </c>
      <c r="M204" s="5">
        <v>0.1045</v>
      </c>
      <c r="N204" s="5">
        <v>42</v>
      </c>
      <c r="O204" s="5">
        <v>115</v>
      </c>
      <c r="P204" s="5">
        <v>157</v>
      </c>
    </row>
    <row r="205" spans="1:16">
      <c r="A205" s="5">
        <v>823</v>
      </c>
      <c r="B205" s="6">
        <v>40580</v>
      </c>
      <c r="C205" s="5">
        <v>1</v>
      </c>
      <c r="D205" s="5">
        <v>0</v>
      </c>
      <c r="E205" s="5">
        <v>2</v>
      </c>
      <c r="F205" s="5">
        <v>17</v>
      </c>
      <c r="G205" s="5" t="b">
        <v>0</v>
      </c>
      <c r="H205" s="5">
        <v>0</v>
      </c>
      <c r="I205" s="5">
        <v>1</v>
      </c>
      <c r="J205" s="5">
        <v>0.34</v>
      </c>
      <c r="K205" s="5">
        <v>0.36359999999999998</v>
      </c>
      <c r="L205" s="5">
        <v>0.46</v>
      </c>
      <c r="M205" s="5">
        <v>0</v>
      </c>
      <c r="N205" s="5">
        <v>24</v>
      </c>
      <c r="O205" s="5">
        <v>97</v>
      </c>
      <c r="P205" s="5">
        <v>121</v>
      </c>
    </row>
    <row r="206" spans="1:16">
      <c r="A206" s="5">
        <v>824</v>
      </c>
      <c r="B206" s="6">
        <v>40580</v>
      </c>
      <c r="C206" s="5">
        <v>1</v>
      </c>
      <c r="D206" s="5">
        <v>0</v>
      </c>
      <c r="E206" s="5">
        <v>2</v>
      </c>
      <c r="F206" s="5">
        <v>18</v>
      </c>
      <c r="G206" s="5" t="b">
        <v>0</v>
      </c>
      <c r="H206" s="5">
        <v>0</v>
      </c>
      <c r="I206" s="5">
        <v>1</v>
      </c>
      <c r="J206" s="5">
        <v>0.3</v>
      </c>
      <c r="K206" s="5">
        <v>0.30299999999999999</v>
      </c>
      <c r="L206" s="5">
        <v>0.56000000000000005</v>
      </c>
      <c r="M206" s="5">
        <v>0.16420000000000001</v>
      </c>
      <c r="N206" s="5">
        <v>13</v>
      </c>
      <c r="O206" s="5">
        <v>65</v>
      </c>
      <c r="P206" s="5">
        <v>78</v>
      </c>
    </row>
    <row r="207" spans="1:16">
      <c r="A207" s="5">
        <v>825</v>
      </c>
      <c r="B207" s="6">
        <v>40580</v>
      </c>
      <c r="C207" s="5">
        <v>1</v>
      </c>
      <c r="D207" s="5">
        <v>0</v>
      </c>
      <c r="E207" s="5">
        <v>2</v>
      </c>
      <c r="F207" s="5">
        <v>19</v>
      </c>
      <c r="G207" s="5" t="b">
        <v>0</v>
      </c>
      <c r="H207" s="5">
        <v>0</v>
      </c>
      <c r="I207" s="5">
        <v>1</v>
      </c>
      <c r="J207" s="5">
        <v>0.28000000000000003</v>
      </c>
      <c r="K207" s="5">
        <v>0.28789999999999999</v>
      </c>
      <c r="L207" s="5">
        <v>0.61</v>
      </c>
      <c r="M207" s="5">
        <v>0.1343</v>
      </c>
      <c r="N207" s="5">
        <v>1</v>
      </c>
      <c r="O207" s="5">
        <v>20</v>
      </c>
      <c r="P207" s="5">
        <v>21</v>
      </c>
    </row>
    <row r="208" spans="1:16">
      <c r="A208" s="5">
        <v>826</v>
      </c>
      <c r="B208" s="6">
        <v>40580</v>
      </c>
      <c r="C208" s="5">
        <v>1</v>
      </c>
      <c r="D208" s="5">
        <v>0</v>
      </c>
      <c r="E208" s="5">
        <v>2</v>
      </c>
      <c r="F208" s="5">
        <v>20</v>
      </c>
      <c r="G208" s="5" t="b">
        <v>0</v>
      </c>
      <c r="H208" s="5">
        <v>0</v>
      </c>
      <c r="I208" s="5">
        <v>1</v>
      </c>
      <c r="J208" s="5">
        <v>0.28000000000000003</v>
      </c>
      <c r="K208" s="5">
        <v>0.28789999999999999</v>
      </c>
      <c r="L208" s="5">
        <v>0.61</v>
      </c>
      <c r="M208" s="5">
        <v>0.1045</v>
      </c>
      <c r="N208" s="5">
        <v>5</v>
      </c>
      <c r="O208" s="5">
        <v>21</v>
      </c>
      <c r="P208" s="5">
        <v>26</v>
      </c>
    </row>
    <row r="209" spans="1:16">
      <c r="A209" s="5">
        <v>827</v>
      </c>
      <c r="B209" s="6">
        <v>40580</v>
      </c>
      <c r="C209" s="5">
        <v>1</v>
      </c>
      <c r="D209" s="5">
        <v>0</v>
      </c>
      <c r="E209" s="5">
        <v>2</v>
      </c>
      <c r="F209" s="5">
        <v>21</v>
      </c>
      <c r="G209" s="5" t="b">
        <v>0</v>
      </c>
      <c r="H209" s="5">
        <v>0</v>
      </c>
      <c r="I209" s="5">
        <v>1</v>
      </c>
      <c r="J209" s="5">
        <v>0.26</v>
      </c>
      <c r="K209" s="5">
        <v>0.30299999999999999</v>
      </c>
      <c r="L209" s="5">
        <v>0.6</v>
      </c>
      <c r="M209" s="5">
        <v>0</v>
      </c>
      <c r="N209" s="5">
        <v>5</v>
      </c>
      <c r="O209" s="5">
        <v>22</v>
      </c>
      <c r="P209" s="5">
        <v>27</v>
      </c>
    </row>
    <row r="210" spans="1:16">
      <c r="A210" s="5">
        <v>828</v>
      </c>
      <c r="B210" s="6">
        <v>40580</v>
      </c>
      <c r="C210" s="5">
        <v>1</v>
      </c>
      <c r="D210" s="5">
        <v>0</v>
      </c>
      <c r="E210" s="5">
        <v>2</v>
      </c>
      <c r="F210" s="5">
        <v>22</v>
      </c>
      <c r="G210" s="5" t="b">
        <v>0</v>
      </c>
      <c r="H210" s="5">
        <v>0</v>
      </c>
      <c r="I210" s="5">
        <v>1</v>
      </c>
      <c r="J210" s="5">
        <v>0.26</v>
      </c>
      <c r="K210" s="5">
        <v>0.30299999999999999</v>
      </c>
      <c r="L210" s="5">
        <v>0.6</v>
      </c>
      <c r="M210" s="5">
        <v>0</v>
      </c>
      <c r="N210" s="5">
        <v>5</v>
      </c>
      <c r="O210" s="5">
        <v>57</v>
      </c>
      <c r="P210" s="5">
        <v>62</v>
      </c>
    </row>
    <row r="211" spans="1:16">
      <c r="A211" s="5">
        <v>829</v>
      </c>
      <c r="B211" s="6">
        <v>40580</v>
      </c>
      <c r="C211" s="5">
        <v>1</v>
      </c>
      <c r="D211" s="5">
        <v>0</v>
      </c>
      <c r="E211" s="5">
        <v>2</v>
      </c>
      <c r="F211" s="5">
        <v>23</v>
      </c>
      <c r="G211" s="5" t="b">
        <v>0</v>
      </c>
      <c r="H211" s="5">
        <v>0</v>
      </c>
      <c r="I211" s="5">
        <v>1</v>
      </c>
      <c r="J211" s="5">
        <v>0.24</v>
      </c>
      <c r="K211" s="5">
        <v>0.28789999999999999</v>
      </c>
      <c r="L211" s="5">
        <v>0.65</v>
      </c>
      <c r="M211" s="5">
        <v>0</v>
      </c>
      <c r="N211" s="5">
        <v>4</v>
      </c>
      <c r="O211" s="5">
        <v>26</v>
      </c>
      <c r="P211" s="5">
        <v>30</v>
      </c>
    </row>
    <row r="212" spans="1:16">
      <c r="A212" s="5">
        <v>830</v>
      </c>
      <c r="B212" s="6">
        <v>40581</v>
      </c>
      <c r="C212" s="5">
        <v>1</v>
      </c>
      <c r="D212" s="5">
        <v>0</v>
      </c>
      <c r="E212" s="5">
        <v>2</v>
      </c>
      <c r="F212" s="5">
        <v>0</v>
      </c>
      <c r="G212" s="5" t="b">
        <v>0</v>
      </c>
      <c r="H212" s="5">
        <v>1</v>
      </c>
      <c r="I212" s="5">
        <v>1</v>
      </c>
      <c r="J212" s="5">
        <v>0.24</v>
      </c>
      <c r="K212" s="5">
        <v>0.28789999999999999</v>
      </c>
      <c r="L212" s="5">
        <v>0.65</v>
      </c>
      <c r="M212" s="5">
        <v>0</v>
      </c>
      <c r="N212" s="5">
        <v>1</v>
      </c>
      <c r="O212" s="5">
        <v>14</v>
      </c>
      <c r="P212" s="5">
        <v>15</v>
      </c>
    </row>
    <row r="213" spans="1:16">
      <c r="A213" s="5">
        <v>831</v>
      </c>
      <c r="B213" s="6">
        <v>40581</v>
      </c>
      <c r="C213" s="5">
        <v>1</v>
      </c>
      <c r="D213" s="5">
        <v>0</v>
      </c>
      <c r="E213" s="5">
        <v>2</v>
      </c>
      <c r="F213" s="5">
        <v>1</v>
      </c>
      <c r="G213" s="5" t="b">
        <v>0</v>
      </c>
      <c r="H213" s="5">
        <v>1</v>
      </c>
      <c r="I213" s="5">
        <v>1</v>
      </c>
      <c r="J213" s="5">
        <v>0.22</v>
      </c>
      <c r="K213" s="5">
        <v>0.2727</v>
      </c>
      <c r="L213" s="5">
        <v>0.75</v>
      </c>
      <c r="M213" s="5">
        <v>0</v>
      </c>
      <c r="N213" s="5">
        <v>1</v>
      </c>
      <c r="O213" s="5">
        <v>4</v>
      </c>
      <c r="P213" s="5">
        <v>5</v>
      </c>
    </row>
    <row r="214" spans="1:16">
      <c r="A214" s="5">
        <v>832</v>
      </c>
      <c r="B214" s="6">
        <v>40581</v>
      </c>
      <c r="C214" s="5">
        <v>1</v>
      </c>
      <c r="D214" s="5">
        <v>0</v>
      </c>
      <c r="E214" s="5">
        <v>2</v>
      </c>
      <c r="F214" s="5">
        <v>2</v>
      </c>
      <c r="G214" s="5" t="b">
        <v>0</v>
      </c>
      <c r="H214" s="5">
        <v>1</v>
      </c>
      <c r="I214" s="5">
        <v>1</v>
      </c>
      <c r="J214" s="5">
        <v>0.2</v>
      </c>
      <c r="K214" s="5">
        <v>0.2576</v>
      </c>
      <c r="L214" s="5">
        <v>0.8</v>
      </c>
      <c r="M214" s="5">
        <v>0</v>
      </c>
      <c r="N214" s="5">
        <v>0</v>
      </c>
      <c r="O214" s="5">
        <v>3</v>
      </c>
      <c r="P214" s="5">
        <v>3</v>
      </c>
    </row>
    <row r="215" spans="1:16">
      <c r="A215" s="5">
        <v>833</v>
      </c>
      <c r="B215" s="6">
        <v>40581</v>
      </c>
      <c r="C215" s="5">
        <v>1</v>
      </c>
      <c r="D215" s="5">
        <v>0</v>
      </c>
      <c r="E215" s="5">
        <v>2</v>
      </c>
      <c r="F215" s="5">
        <v>3</v>
      </c>
      <c r="G215" s="5" t="b">
        <v>0</v>
      </c>
      <c r="H215" s="5">
        <v>1</v>
      </c>
      <c r="I215" s="5">
        <v>1</v>
      </c>
      <c r="J215" s="5">
        <v>0.2</v>
      </c>
      <c r="K215" s="5">
        <v>0.2576</v>
      </c>
      <c r="L215" s="5">
        <v>0.86</v>
      </c>
      <c r="M215" s="5">
        <v>0</v>
      </c>
      <c r="N215" s="5">
        <v>0</v>
      </c>
      <c r="O215" s="5">
        <v>1</v>
      </c>
      <c r="P215" s="5">
        <v>1</v>
      </c>
    </row>
    <row r="216" spans="1:16">
      <c r="A216" s="5">
        <v>834</v>
      </c>
      <c r="B216" s="6">
        <v>40581</v>
      </c>
      <c r="C216" s="5">
        <v>1</v>
      </c>
      <c r="D216" s="5">
        <v>0</v>
      </c>
      <c r="E216" s="5">
        <v>2</v>
      </c>
      <c r="F216" s="5">
        <v>4</v>
      </c>
      <c r="G216" s="5" t="b">
        <v>0</v>
      </c>
      <c r="H216" s="5">
        <v>1</v>
      </c>
      <c r="I216" s="5">
        <v>1</v>
      </c>
      <c r="J216" s="5">
        <v>0.2</v>
      </c>
      <c r="K216" s="5">
        <v>0.2576</v>
      </c>
      <c r="L216" s="5">
        <v>0.86</v>
      </c>
      <c r="M216" s="5">
        <v>0</v>
      </c>
      <c r="N216" s="5">
        <v>1</v>
      </c>
      <c r="O216" s="5">
        <v>1</v>
      </c>
      <c r="P216" s="5">
        <v>2</v>
      </c>
    </row>
    <row r="217" spans="1:16">
      <c r="A217" s="5">
        <v>835</v>
      </c>
      <c r="B217" s="6">
        <v>40581</v>
      </c>
      <c r="C217" s="5">
        <v>1</v>
      </c>
      <c r="D217" s="5">
        <v>0</v>
      </c>
      <c r="E217" s="5">
        <v>2</v>
      </c>
      <c r="F217" s="5">
        <v>5</v>
      </c>
      <c r="G217" s="5" t="b">
        <v>0</v>
      </c>
      <c r="H217" s="5">
        <v>1</v>
      </c>
      <c r="I217" s="5">
        <v>1</v>
      </c>
      <c r="J217" s="5">
        <v>0.2</v>
      </c>
      <c r="K217" s="5">
        <v>0.2576</v>
      </c>
      <c r="L217" s="5">
        <v>0.86</v>
      </c>
      <c r="M217" s="5">
        <v>0</v>
      </c>
      <c r="N217" s="5">
        <v>1</v>
      </c>
      <c r="O217" s="5">
        <v>9</v>
      </c>
      <c r="P217" s="5">
        <v>10</v>
      </c>
    </row>
    <row r="218" spans="1:16">
      <c r="A218" s="5">
        <v>836</v>
      </c>
      <c r="B218" s="6">
        <v>40581</v>
      </c>
      <c r="C218" s="5">
        <v>1</v>
      </c>
      <c r="D218" s="5">
        <v>0</v>
      </c>
      <c r="E218" s="5">
        <v>2</v>
      </c>
      <c r="F218" s="5">
        <v>6</v>
      </c>
      <c r="G218" s="5" t="b">
        <v>0</v>
      </c>
      <c r="H218" s="5">
        <v>1</v>
      </c>
      <c r="I218" s="5">
        <v>1</v>
      </c>
      <c r="J218" s="5">
        <v>0.18</v>
      </c>
      <c r="K218" s="5">
        <v>0.2424</v>
      </c>
      <c r="L218" s="5">
        <v>0.93</v>
      </c>
      <c r="M218" s="5">
        <v>0</v>
      </c>
      <c r="N218" s="5">
        <v>1</v>
      </c>
      <c r="O218" s="5">
        <v>29</v>
      </c>
      <c r="P218" s="5">
        <v>30</v>
      </c>
    </row>
    <row r="219" spans="1:16">
      <c r="A219" s="5">
        <v>837</v>
      </c>
      <c r="B219" s="6">
        <v>40581</v>
      </c>
      <c r="C219" s="5">
        <v>1</v>
      </c>
      <c r="D219" s="5">
        <v>0</v>
      </c>
      <c r="E219" s="5">
        <v>2</v>
      </c>
      <c r="F219" s="5">
        <v>7</v>
      </c>
      <c r="G219" s="5" t="b">
        <v>0</v>
      </c>
      <c r="H219" s="5">
        <v>1</v>
      </c>
      <c r="I219" s="5">
        <v>1</v>
      </c>
      <c r="J219" s="5">
        <v>0.18</v>
      </c>
      <c r="K219" s="5">
        <v>0.2424</v>
      </c>
      <c r="L219" s="5">
        <v>0.86</v>
      </c>
      <c r="M219" s="5">
        <v>0</v>
      </c>
      <c r="N219" s="5">
        <v>6</v>
      </c>
      <c r="O219" s="5">
        <v>89</v>
      </c>
      <c r="P219" s="5">
        <v>95</v>
      </c>
    </row>
    <row r="220" spans="1:16">
      <c r="A220" s="5">
        <v>838</v>
      </c>
      <c r="B220" s="6">
        <v>40581</v>
      </c>
      <c r="C220" s="5">
        <v>1</v>
      </c>
      <c r="D220" s="5">
        <v>0</v>
      </c>
      <c r="E220" s="5">
        <v>2</v>
      </c>
      <c r="F220" s="5">
        <v>8</v>
      </c>
      <c r="G220" s="5" t="b">
        <v>0</v>
      </c>
      <c r="H220" s="5">
        <v>1</v>
      </c>
      <c r="I220" s="5">
        <v>2</v>
      </c>
      <c r="J220" s="5">
        <v>0.16</v>
      </c>
      <c r="K220" s="5">
        <v>0.2273</v>
      </c>
      <c r="L220" s="5">
        <v>1</v>
      </c>
      <c r="M220" s="5">
        <v>0</v>
      </c>
      <c r="N220" s="5">
        <v>7</v>
      </c>
      <c r="O220" s="5">
        <v>223</v>
      </c>
      <c r="P220" s="5">
        <v>230</v>
      </c>
    </row>
    <row r="221" spans="1:16">
      <c r="A221" s="5">
        <v>839</v>
      </c>
      <c r="B221" s="6">
        <v>40581</v>
      </c>
      <c r="C221" s="5">
        <v>1</v>
      </c>
      <c r="D221" s="5">
        <v>0</v>
      </c>
      <c r="E221" s="5">
        <v>2</v>
      </c>
      <c r="F221" s="5">
        <v>9</v>
      </c>
      <c r="G221" s="5" t="b">
        <v>0</v>
      </c>
      <c r="H221" s="5">
        <v>1</v>
      </c>
      <c r="I221" s="5">
        <v>1</v>
      </c>
      <c r="J221" s="5">
        <v>0.22</v>
      </c>
      <c r="K221" s="5">
        <v>0.2727</v>
      </c>
      <c r="L221" s="5">
        <v>0.8</v>
      </c>
      <c r="M221" s="5">
        <v>0</v>
      </c>
      <c r="N221" s="5">
        <v>3</v>
      </c>
      <c r="O221" s="5">
        <v>115</v>
      </c>
      <c r="P221" s="5">
        <v>118</v>
      </c>
    </row>
    <row r="222" spans="1:16">
      <c r="A222" s="5">
        <v>840</v>
      </c>
      <c r="B222" s="6">
        <v>40581</v>
      </c>
      <c r="C222" s="5">
        <v>1</v>
      </c>
      <c r="D222" s="5">
        <v>0</v>
      </c>
      <c r="E222" s="5">
        <v>2</v>
      </c>
      <c r="F222" s="5">
        <v>10</v>
      </c>
      <c r="G222" s="5" t="b">
        <v>0</v>
      </c>
      <c r="H222" s="5">
        <v>1</v>
      </c>
      <c r="I222" s="5">
        <v>1</v>
      </c>
      <c r="J222" s="5">
        <v>0.24</v>
      </c>
      <c r="K222" s="5">
        <v>0.2576</v>
      </c>
      <c r="L222" s="5">
        <v>0.75</v>
      </c>
      <c r="M222" s="5">
        <v>0.1045</v>
      </c>
      <c r="N222" s="5">
        <v>6</v>
      </c>
      <c r="O222" s="5">
        <v>49</v>
      </c>
      <c r="P222" s="5">
        <v>55</v>
      </c>
    </row>
    <row r="223" spans="1:16">
      <c r="A223" s="5">
        <v>841</v>
      </c>
      <c r="B223" s="6">
        <v>40581</v>
      </c>
      <c r="C223" s="5">
        <v>1</v>
      </c>
      <c r="D223" s="5">
        <v>0</v>
      </c>
      <c r="E223" s="5">
        <v>2</v>
      </c>
      <c r="F223" s="5">
        <v>11</v>
      </c>
      <c r="G223" s="5" t="b">
        <v>0</v>
      </c>
      <c r="H223" s="5">
        <v>1</v>
      </c>
      <c r="I223" s="5">
        <v>1</v>
      </c>
      <c r="J223" s="5">
        <v>0.3</v>
      </c>
      <c r="K223" s="5">
        <v>0.31819999999999998</v>
      </c>
      <c r="L223" s="5">
        <v>0.65</v>
      </c>
      <c r="M223" s="5">
        <v>8.9599999999999999E-2</v>
      </c>
      <c r="N223" s="5">
        <v>11</v>
      </c>
      <c r="O223" s="5">
        <v>36</v>
      </c>
      <c r="P223" s="5">
        <v>47</v>
      </c>
    </row>
    <row r="224" spans="1:16">
      <c r="A224" s="5">
        <v>842</v>
      </c>
      <c r="B224" s="6">
        <v>40581</v>
      </c>
      <c r="C224" s="5">
        <v>1</v>
      </c>
      <c r="D224" s="5">
        <v>0</v>
      </c>
      <c r="E224" s="5">
        <v>2</v>
      </c>
      <c r="F224" s="5">
        <v>12</v>
      </c>
      <c r="G224" s="5" t="b">
        <v>0</v>
      </c>
      <c r="H224" s="5">
        <v>1</v>
      </c>
      <c r="I224" s="5">
        <v>2</v>
      </c>
      <c r="J224" s="5">
        <v>0.32</v>
      </c>
      <c r="K224" s="5">
        <v>0.34849999999999998</v>
      </c>
      <c r="L224" s="5">
        <v>0.62</v>
      </c>
      <c r="M224" s="5">
        <v>0</v>
      </c>
      <c r="N224" s="5">
        <v>7</v>
      </c>
      <c r="O224" s="5">
        <v>59</v>
      </c>
      <c r="P224" s="5">
        <v>66</v>
      </c>
    </row>
    <row r="225" spans="1:16">
      <c r="A225" s="5">
        <v>843</v>
      </c>
      <c r="B225" s="6">
        <v>40581</v>
      </c>
      <c r="C225" s="5">
        <v>1</v>
      </c>
      <c r="D225" s="5">
        <v>0</v>
      </c>
      <c r="E225" s="5">
        <v>2</v>
      </c>
      <c r="F225" s="5">
        <v>13</v>
      </c>
      <c r="G225" s="5" t="b">
        <v>0</v>
      </c>
      <c r="H225" s="5">
        <v>1</v>
      </c>
      <c r="I225" s="5">
        <v>2</v>
      </c>
      <c r="J225" s="5">
        <v>0.36</v>
      </c>
      <c r="K225" s="5">
        <v>0.36359999999999998</v>
      </c>
      <c r="L225" s="5">
        <v>0.56999999999999995</v>
      </c>
      <c r="M225" s="5">
        <v>8.9599999999999999E-2</v>
      </c>
      <c r="N225" s="5">
        <v>10</v>
      </c>
      <c r="O225" s="5">
        <v>54</v>
      </c>
      <c r="P225" s="5">
        <v>64</v>
      </c>
    </row>
    <row r="226" spans="1:16">
      <c r="A226" s="5">
        <v>844</v>
      </c>
      <c r="B226" s="6">
        <v>40581</v>
      </c>
      <c r="C226" s="5">
        <v>1</v>
      </c>
      <c r="D226" s="5">
        <v>0</v>
      </c>
      <c r="E226" s="5">
        <v>2</v>
      </c>
      <c r="F226" s="5">
        <v>14</v>
      </c>
      <c r="G226" s="5" t="b">
        <v>0</v>
      </c>
      <c r="H226" s="5">
        <v>1</v>
      </c>
      <c r="I226" s="5">
        <v>2</v>
      </c>
      <c r="J226" s="5">
        <v>0.36</v>
      </c>
      <c r="K226" s="5">
        <v>0.36359999999999998</v>
      </c>
      <c r="L226" s="5">
        <v>0.56999999999999995</v>
      </c>
      <c r="M226" s="5">
        <v>8.9599999999999999E-2</v>
      </c>
      <c r="N226" s="5">
        <v>8</v>
      </c>
      <c r="O226" s="5">
        <v>52</v>
      </c>
      <c r="P226" s="5">
        <v>60</v>
      </c>
    </row>
    <row r="227" spans="1:16">
      <c r="A227" s="5">
        <v>845</v>
      </c>
      <c r="B227" s="6">
        <v>40581</v>
      </c>
      <c r="C227" s="5">
        <v>1</v>
      </c>
      <c r="D227" s="5">
        <v>0</v>
      </c>
      <c r="E227" s="5">
        <v>2</v>
      </c>
      <c r="F227" s="5">
        <v>15</v>
      </c>
      <c r="G227" s="5" t="b">
        <v>0</v>
      </c>
      <c r="H227" s="5">
        <v>1</v>
      </c>
      <c r="I227" s="5">
        <v>2</v>
      </c>
      <c r="J227" s="5">
        <v>0.38</v>
      </c>
      <c r="K227" s="5">
        <v>0.39389999999999997</v>
      </c>
      <c r="L227" s="5">
        <v>0.54</v>
      </c>
      <c r="M227" s="5">
        <v>8.9599999999999999E-2</v>
      </c>
      <c r="N227" s="5">
        <v>4</v>
      </c>
      <c r="O227" s="5">
        <v>46</v>
      </c>
      <c r="P227" s="5">
        <v>50</v>
      </c>
    </row>
    <row r="228" spans="1:16">
      <c r="A228" s="5">
        <v>846</v>
      </c>
      <c r="B228" s="6">
        <v>40581</v>
      </c>
      <c r="C228" s="5">
        <v>1</v>
      </c>
      <c r="D228" s="5">
        <v>0</v>
      </c>
      <c r="E228" s="5">
        <v>2</v>
      </c>
      <c r="F228" s="5">
        <v>16</v>
      </c>
      <c r="G228" s="5" t="b">
        <v>0</v>
      </c>
      <c r="H228" s="5">
        <v>1</v>
      </c>
      <c r="I228" s="5">
        <v>2</v>
      </c>
      <c r="J228" s="5">
        <v>0.36</v>
      </c>
      <c r="K228" s="5">
        <v>0.34849999999999998</v>
      </c>
      <c r="L228" s="5">
        <v>0.56999999999999995</v>
      </c>
      <c r="M228" s="5">
        <v>0.1343</v>
      </c>
      <c r="N228" s="5">
        <v>16</v>
      </c>
      <c r="O228" s="5">
        <v>98</v>
      </c>
      <c r="P228" s="5">
        <v>114</v>
      </c>
    </row>
    <row r="229" spans="1:16">
      <c r="A229" s="5">
        <v>847</v>
      </c>
      <c r="B229" s="6">
        <v>40581</v>
      </c>
      <c r="C229" s="5">
        <v>1</v>
      </c>
      <c r="D229" s="5">
        <v>0</v>
      </c>
      <c r="E229" s="5">
        <v>2</v>
      </c>
      <c r="F229" s="5">
        <v>17</v>
      </c>
      <c r="G229" s="5" t="b">
        <v>0</v>
      </c>
      <c r="H229" s="5">
        <v>1</v>
      </c>
      <c r="I229" s="5">
        <v>2</v>
      </c>
      <c r="J229" s="5">
        <v>0.32</v>
      </c>
      <c r="K229" s="5">
        <v>0.31819999999999998</v>
      </c>
      <c r="L229" s="5">
        <v>0.7</v>
      </c>
      <c r="M229" s="5">
        <v>0.16420000000000001</v>
      </c>
      <c r="N229" s="5">
        <v>9</v>
      </c>
      <c r="O229" s="5">
        <v>207</v>
      </c>
      <c r="P229" s="5">
        <v>216</v>
      </c>
    </row>
    <row r="230" spans="1:16">
      <c r="A230" s="5">
        <v>848</v>
      </c>
      <c r="B230" s="6">
        <v>40581</v>
      </c>
      <c r="C230" s="5">
        <v>1</v>
      </c>
      <c r="D230" s="5">
        <v>0</v>
      </c>
      <c r="E230" s="5">
        <v>2</v>
      </c>
      <c r="F230" s="5">
        <v>18</v>
      </c>
      <c r="G230" s="5" t="b">
        <v>0</v>
      </c>
      <c r="H230" s="5">
        <v>1</v>
      </c>
      <c r="I230" s="5">
        <v>2</v>
      </c>
      <c r="J230" s="5">
        <v>0.34</v>
      </c>
      <c r="K230" s="5">
        <v>0.33329999999999999</v>
      </c>
      <c r="L230" s="5">
        <v>0.66</v>
      </c>
      <c r="M230" s="5">
        <v>0.1343</v>
      </c>
      <c r="N230" s="5">
        <v>5</v>
      </c>
      <c r="O230" s="5">
        <v>170</v>
      </c>
      <c r="P230" s="5">
        <v>175</v>
      </c>
    </row>
    <row r="231" spans="1:16">
      <c r="A231" s="5">
        <v>849</v>
      </c>
      <c r="B231" s="6">
        <v>40581</v>
      </c>
      <c r="C231" s="5">
        <v>1</v>
      </c>
      <c r="D231" s="5">
        <v>0</v>
      </c>
      <c r="E231" s="5">
        <v>2</v>
      </c>
      <c r="F231" s="5">
        <v>19</v>
      </c>
      <c r="G231" s="5" t="b">
        <v>0</v>
      </c>
      <c r="H231" s="5">
        <v>1</v>
      </c>
      <c r="I231" s="5">
        <v>2</v>
      </c>
      <c r="J231" s="5">
        <v>0.32</v>
      </c>
      <c r="K231" s="5">
        <v>0.34849999999999998</v>
      </c>
      <c r="L231" s="5">
        <v>0.7</v>
      </c>
      <c r="M231" s="5">
        <v>0</v>
      </c>
      <c r="N231" s="5">
        <v>5</v>
      </c>
      <c r="O231" s="5">
        <v>123</v>
      </c>
      <c r="P231" s="5">
        <v>128</v>
      </c>
    </row>
    <row r="232" spans="1:16">
      <c r="A232" s="5">
        <v>850</v>
      </c>
      <c r="B232" s="6">
        <v>40581</v>
      </c>
      <c r="C232" s="5">
        <v>1</v>
      </c>
      <c r="D232" s="5">
        <v>0</v>
      </c>
      <c r="E232" s="5">
        <v>2</v>
      </c>
      <c r="F232" s="5">
        <v>20</v>
      </c>
      <c r="G232" s="5" t="b">
        <v>0</v>
      </c>
      <c r="H232" s="5">
        <v>1</v>
      </c>
      <c r="I232" s="5">
        <v>2</v>
      </c>
      <c r="J232" s="5">
        <v>0.32</v>
      </c>
      <c r="K232" s="5">
        <v>0.33329999999999999</v>
      </c>
      <c r="L232" s="5">
        <v>0.7</v>
      </c>
      <c r="M232" s="5">
        <v>0.1045</v>
      </c>
      <c r="N232" s="5">
        <v>6</v>
      </c>
      <c r="O232" s="5">
        <v>82</v>
      </c>
      <c r="P232" s="5">
        <v>88</v>
      </c>
    </row>
    <row r="233" spans="1:16">
      <c r="A233" s="5">
        <v>851</v>
      </c>
      <c r="B233" s="6">
        <v>40581</v>
      </c>
      <c r="C233" s="5">
        <v>1</v>
      </c>
      <c r="D233" s="5">
        <v>0</v>
      </c>
      <c r="E233" s="5">
        <v>2</v>
      </c>
      <c r="F233" s="5">
        <v>21</v>
      </c>
      <c r="G233" s="5" t="b">
        <v>0</v>
      </c>
      <c r="H233" s="5">
        <v>1</v>
      </c>
      <c r="I233" s="5">
        <v>1</v>
      </c>
      <c r="J233" s="5">
        <v>0.32</v>
      </c>
      <c r="K233" s="5">
        <v>0.34849999999999998</v>
      </c>
      <c r="L233" s="5">
        <v>0.7</v>
      </c>
      <c r="M233" s="5">
        <v>0</v>
      </c>
      <c r="N233" s="5">
        <v>3</v>
      </c>
      <c r="O233" s="5">
        <v>75</v>
      </c>
      <c r="P233" s="5">
        <v>78</v>
      </c>
    </row>
    <row r="234" spans="1:16">
      <c r="A234" s="5">
        <v>852</v>
      </c>
      <c r="B234" s="6">
        <v>40581</v>
      </c>
      <c r="C234" s="5">
        <v>1</v>
      </c>
      <c r="D234" s="5">
        <v>0</v>
      </c>
      <c r="E234" s="5">
        <v>2</v>
      </c>
      <c r="F234" s="5">
        <v>22</v>
      </c>
      <c r="G234" s="5" t="b">
        <v>0</v>
      </c>
      <c r="H234" s="5">
        <v>1</v>
      </c>
      <c r="I234" s="5">
        <v>1</v>
      </c>
      <c r="J234" s="5">
        <v>0.28000000000000003</v>
      </c>
      <c r="K234" s="5">
        <v>0.30299999999999999</v>
      </c>
      <c r="L234" s="5">
        <v>0.81</v>
      </c>
      <c r="M234" s="5">
        <v>8.9599999999999999E-2</v>
      </c>
      <c r="N234" s="5">
        <v>3</v>
      </c>
      <c r="O234" s="5">
        <v>34</v>
      </c>
      <c r="P234" s="5">
        <v>37</v>
      </c>
    </row>
    <row r="235" spans="1:16">
      <c r="A235" s="5">
        <v>853</v>
      </c>
      <c r="B235" s="6">
        <v>40581</v>
      </c>
      <c r="C235" s="5">
        <v>1</v>
      </c>
      <c r="D235" s="5">
        <v>0</v>
      </c>
      <c r="E235" s="5">
        <v>2</v>
      </c>
      <c r="F235" s="5">
        <v>23</v>
      </c>
      <c r="G235" s="5" t="b">
        <v>0</v>
      </c>
      <c r="H235" s="5">
        <v>1</v>
      </c>
      <c r="I235" s="5">
        <v>2</v>
      </c>
      <c r="J235" s="5">
        <v>0.3</v>
      </c>
      <c r="K235" s="5">
        <v>0.33329999999999999</v>
      </c>
      <c r="L235" s="5">
        <v>0.81</v>
      </c>
      <c r="M235" s="5">
        <v>0</v>
      </c>
      <c r="N235" s="5">
        <v>6</v>
      </c>
      <c r="O235" s="5">
        <v>19</v>
      </c>
      <c r="P235" s="5">
        <v>25</v>
      </c>
    </row>
    <row r="236" spans="1:16">
      <c r="A236" s="5">
        <v>854</v>
      </c>
      <c r="B236" s="6">
        <v>40582</v>
      </c>
      <c r="C236" s="5">
        <v>1</v>
      </c>
      <c r="D236" s="5">
        <v>0</v>
      </c>
      <c r="E236" s="5">
        <v>2</v>
      </c>
      <c r="F236" s="5">
        <v>0</v>
      </c>
      <c r="G236" s="5" t="b">
        <v>0</v>
      </c>
      <c r="H236" s="5">
        <v>2</v>
      </c>
      <c r="I236" s="5">
        <v>2</v>
      </c>
      <c r="J236" s="5">
        <v>0.28000000000000003</v>
      </c>
      <c r="K236" s="5">
        <v>0.31819999999999998</v>
      </c>
      <c r="L236" s="5">
        <v>0.87</v>
      </c>
      <c r="M236" s="5">
        <v>0</v>
      </c>
      <c r="N236" s="5">
        <v>4</v>
      </c>
      <c r="O236" s="5">
        <v>6</v>
      </c>
      <c r="P236" s="5">
        <v>10</v>
      </c>
    </row>
    <row r="237" spans="1:16">
      <c r="A237" s="5">
        <v>855</v>
      </c>
      <c r="B237" s="6">
        <v>40582</v>
      </c>
      <c r="C237" s="5">
        <v>1</v>
      </c>
      <c r="D237" s="5">
        <v>0</v>
      </c>
      <c r="E237" s="5">
        <v>2</v>
      </c>
      <c r="F237" s="5">
        <v>1</v>
      </c>
      <c r="G237" s="5" t="b">
        <v>0</v>
      </c>
      <c r="H237" s="5">
        <v>2</v>
      </c>
      <c r="I237" s="5">
        <v>2</v>
      </c>
      <c r="J237" s="5">
        <v>0.28000000000000003</v>
      </c>
      <c r="K237" s="5">
        <v>0.31819999999999998</v>
      </c>
      <c r="L237" s="5">
        <v>0.87</v>
      </c>
      <c r="M237" s="5">
        <v>0</v>
      </c>
      <c r="N237" s="5">
        <v>0</v>
      </c>
      <c r="O237" s="5">
        <v>4</v>
      </c>
      <c r="P237" s="5">
        <v>4</v>
      </c>
    </row>
    <row r="238" spans="1:16">
      <c r="A238" s="5">
        <v>856</v>
      </c>
      <c r="B238" s="6">
        <v>40582</v>
      </c>
      <c r="C238" s="5">
        <v>1</v>
      </c>
      <c r="D238" s="5">
        <v>0</v>
      </c>
      <c r="E238" s="5">
        <v>2</v>
      </c>
      <c r="F238" s="5">
        <v>2</v>
      </c>
      <c r="G238" s="5" t="b">
        <v>0</v>
      </c>
      <c r="H238" s="5">
        <v>2</v>
      </c>
      <c r="I238" s="5">
        <v>2</v>
      </c>
      <c r="J238" s="5">
        <v>0.26</v>
      </c>
      <c r="K238" s="5">
        <v>0.2727</v>
      </c>
      <c r="L238" s="5">
        <v>0.93</v>
      </c>
      <c r="M238" s="5">
        <v>0.1045</v>
      </c>
      <c r="N238" s="5">
        <v>1</v>
      </c>
      <c r="O238" s="5">
        <v>1</v>
      </c>
      <c r="P238" s="5">
        <v>2</v>
      </c>
    </row>
    <row r="239" spans="1:16">
      <c r="A239" s="5">
        <v>857</v>
      </c>
      <c r="B239" s="6">
        <v>40582</v>
      </c>
      <c r="C239" s="5">
        <v>1</v>
      </c>
      <c r="D239" s="5">
        <v>0</v>
      </c>
      <c r="E239" s="5">
        <v>2</v>
      </c>
      <c r="F239" s="5">
        <v>3</v>
      </c>
      <c r="G239" s="5" t="b">
        <v>0</v>
      </c>
      <c r="H239" s="5">
        <v>2</v>
      </c>
      <c r="I239" s="5">
        <v>3</v>
      </c>
      <c r="J239" s="5">
        <v>0.28000000000000003</v>
      </c>
      <c r="K239" s="5">
        <v>0.2727</v>
      </c>
      <c r="L239" s="5">
        <v>0.93</v>
      </c>
      <c r="M239" s="5">
        <v>0.16420000000000001</v>
      </c>
      <c r="N239" s="5">
        <v>0</v>
      </c>
      <c r="O239" s="5">
        <v>1</v>
      </c>
      <c r="P239" s="5">
        <v>1</v>
      </c>
    </row>
    <row r="240" spans="1:16">
      <c r="A240" s="5">
        <v>858</v>
      </c>
      <c r="B240" s="6">
        <v>40582</v>
      </c>
      <c r="C240" s="5">
        <v>1</v>
      </c>
      <c r="D240" s="5">
        <v>0</v>
      </c>
      <c r="E240" s="5">
        <v>2</v>
      </c>
      <c r="F240" s="5">
        <v>4</v>
      </c>
      <c r="G240" s="5" t="b">
        <v>0</v>
      </c>
      <c r="H240" s="5">
        <v>2</v>
      </c>
      <c r="I240" s="5">
        <v>1</v>
      </c>
      <c r="J240" s="5">
        <v>0.26</v>
      </c>
      <c r="K240" s="5">
        <v>0.2576</v>
      </c>
      <c r="L240" s="5">
        <v>0.93</v>
      </c>
      <c r="M240" s="5">
        <v>0.16420000000000001</v>
      </c>
      <c r="N240" s="5">
        <v>0</v>
      </c>
      <c r="O240" s="5">
        <v>3</v>
      </c>
      <c r="P240" s="5">
        <v>3</v>
      </c>
    </row>
    <row r="241" spans="1:16">
      <c r="A241" s="5">
        <v>859</v>
      </c>
      <c r="B241" s="6">
        <v>40582</v>
      </c>
      <c r="C241" s="5">
        <v>1</v>
      </c>
      <c r="D241" s="5">
        <v>0</v>
      </c>
      <c r="E241" s="5">
        <v>2</v>
      </c>
      <c r="F241" s="5">
        <v>5</v>
      </c>
      <c r="G241" s="5" t="b">
        <v>0</v>
      </c>
      <c r="H241" s="5">
        <v>2</v>
      </c>
      <c r="I241" s="5">
        <v>1</v>
      </c>
      <c r="J241" s="5">
        <v>0.26</v>
      </c>
      <c r="K241" s="5">
        <v>0.2273</v>
      </c>
      <c r="L241" s="5">
        <v>0.81</v>
      </c>
      <c r="M241" s="5">
        <v>0.32840000000000003</v>
      </c>
      <c r="N241" s="5">
        <v>0</v>
      </c>
      <c r="O241" s="5">
        <v>2</v>
      </c>
      <c r="P241" s="5">
        <v>2</v>
      </c>
    </row>
    <row r="242" spans="1:16">
      <c r="A242" s="5">
        <v>860</v>
      </c>
      <c r="B242" s="6">
        <v>40582</v>
      </c>
      <c r="C242" s="5">
        <v>1</v>
      </c>
      <c r="D242" s="5">
        <v>0</v>
      </c>
      <c r="E242" s="5">
        <v>2</v>
      </c>
      <c r="F242" s="5">
        <v>6</v>
      </c>
      <c r="G242" s="5" t="b">
        <v>0</v>
      </c>
      <c r="H242" s="5">
        <v>2</v>
      </c>
      <c r="I242" s="5">
        <v>1</v>
      </c>
      <c r="J242" s="5">
        <v>0.26</v>
      </c>
      <c r="K242" s="5">
        <v>0.2273</v>
      </c>
      <c r="L242" s="5">
        <v>0.7</v>
      </c>
      <c r="M242" s="5">
        <v>0.32840000000000003</v>
      </c>
      <c r="N242" s="5">
        <v>0</v>
      </c>
      <c r="O242" s="5">
        <v>39</v>
      </c>
      <c r="P242" s="5">
        <v>39</v>
      </c>
    </row>
    <row r="243" spans="1:16">
      <c r="A243" s="5">
        <v>861</v>
      </c>
      <c r="B243" s="6">
        <v>40582</v>
      </c>
      <c r="C243" s="5">
        <v>1</v>
      </c>
      <c r="D243" s="5">
        <v>0</v>
      </c>
      <c r="E243" s="5">
        <v>2</v>
      </c>
      <c r="F243" s="5">
        <v>7</v>
      </c>
      <c r="G243" s="5" t="b">
        <v>0</v>
      </c>
      <c r="H243" s="5">
        <v>2</v>
      </c>
      <c r="I243" s="5">
        <v>1</v>
      </c>
      <c r="J243" s="5">
        <v>0.24</v>
      </c>
      <c r="K243" s="5">
        <v>0.19700000000000001</v>
      </c>
      <c r="L243" s="5">
        <v>0.65</v>
      </c>
      <c r="M243" s="5">
        <v>0.41789999999999999</v>
      </c>
      <c r="N243" s="5">
        <v>3</v>
      </c>
      <c r="O243" s="5">
        <v>97</v>
      </c>
      <c r="P243" s="5">
        <v>100</v>
      </c>
    </row>
    <row r="244" spans="1:16">
      <c r="A244" s="5">
        <v>862</v>
      </c>
      <c r="B244" s="6">
        <v>40582</v>
      </c>
      <c r="C244" s="5">
        <v>1</v>
      </c>
      <c r="D244" s="5">
        <v>0</v>
      </c>
      <c r="E244" s="5">
        <v>2</v>
      </c>
      <c r="F244" s="5">
        <v>8</v>
      </c>
      <c r="G244" s="5" t="b">
        <v>0</v>
      </c>
      <c r="H244" s="5">
        <v>2</v>
      </c>
      <c r="I244" s="5">
        <v>1</v>
      </c>
      <c r="J244" s="5">
        <v>0.24</v>
      </c>
      <c r="K244" s="5">
        <v>0.19700000000000001</v>
      </c>
      <c r="L244" s="5">
        <v>0.56000000000000005</v>
      </c>
      <c r="M244" s="5">
        <v>0.49249999999999999</v>
      </c>
      <c r="N244" s="5">
        <v>7</v>
      </c>
      <c r="O244" s="5">
        <v>236</v>
      </c>
      <c r="P244" s="5">
        <v>243</v>
      </c>
    </row>
    <row r="245" spans="1:16">
      <c r="A245" s="5">
        <v>863</v>
      </c>
      <c r="B245" s="6">
        <v>40582</v>
      </c>
      <c r="C245" s="5">
        <v>1</v>
      </c>
      <c r="D245" s="5">
        <v>0</v>
      </c>
      <c r="E245" s="5">
        <v>2</v>
      </c>
      <c r="F245" s="5">
        <v>9</v>
      </c>
      <c r="G245" s="5" t="b">
        <v>0</v>
      </c>
      <c r="H245" s="5">
        <v>2</v>
      </c>
      <c r="I245" s="5">
        <v>1</v>
      </c>
      <c r="J245" s="5">
        <v>0.24</v>
      </c>
      <c r="K245" s="5">
        <v>0.19700000000000001</v>
      </c>
      <c r="L245" s="5">
        <v>0.52</v>
      </c>
      <c r="M245" s="5">
        <v>0.49249999999999999</v>
      </c>
      <c r="N245" s="5">
        <v>7</v>
      </c>
      <c r="O245" s="5">
        <v>128</v>
      </c>
      <c r="P245" s="5">
        <v>135</v>
      </c>
    </row>
    <row r="246" spans="1:16">
      <c r="A246" s="5">
        <v>864</v>
      </c>
      <c r="B246" s="6">
        <v>40582</v>
      </c>
      <c r="C246" s="5">
        <v>1</v>
      </c>
      <c r="D246" s="5">
        <v>0</v>
      </c>
      <c r="E246" s="5">
        <v>2</v>
      </c>
      <c r="F246" s="5">
        <v>10</v>
      </c>
      <c r="G246" s="5" t="b">
        <v>0</v>
      </c>
      <c r="H246" s="5">
        <v>2</v>
      </c>
      <c r="I246" s="5">
        <v>1</v>
      </c>
      <c r="J246" s="5">
        <v>0.22</v>
      </c>
      <c r="K246" s="5">
        <v>0.18179999999999999</v>
      </c>
      <c r="L246" s="5">
        <v>0.47</v>
      </c>
      <c r="M246" s="5">
        <v>0.55220000000000002</v>
      </c>
      <c r="N246" s="5">
        <v>4</v>
      </c>
      <c r="O246" s="5">
        <v>44</v>
      </c>
      <c r="P246" s="5">
        <v>48</v>
      </c>
    </row>
    <row r="247" spans="1:16">
      <c r="A247" s="5">
        <v>865</v>
      </c>
      <c r="B247" s="6">
        <v>40582</v>
      </c>
      <c r="C247" s="5">
        <v>1</v>
      </c>
      <c r="D247" s="5">
        <v>0</v>
      </c>
      <c r="E247" s="5">
        <v>2</v>
      </c>
      <c r="F247" s="5">
        <v>11</v>
      </c>
      <c r="G247" s="5" t="b">
        <v>0</v>
      </c>
      <c r="H247" s="5">
        <v>2</v>
      </c>
      <c r="I247" s="5">
        <v>1</v>
      </c>
      <c r="J247" s="5">
        <v>0.22</v>
      </c>
      <c r="K247" s="5">
        <v>0.18179999999999999</v>
      </c>
      <c r="L247" s="5">
        <v>0.47</v>
      </c>
      <c r="M247" s="5">
        <v>0.4627</v>
      </c>
      <c r="N247" s="5">
        <v>1</v>
      </c>
      <c r="O247" s="5">
        <v>49</v>
      </c>
      <c r="P247" s="5">
        <v>50</v>
      </c>
    </row>
    <row r="248" spans="1:16">
      <c r="A248" s="5">
        <v>866</v>
      </c>
      <c r="B248" s="6">
        <v>40582</v>
      </c>
      <c r="C248" s="5">
        <v>1</v>
      </c>
      <c r="D248" s="5">
        <v>0</v>
      </c>
      <c r="E248" s="5">
        <v>2</v>
      </c>
      <c r="F248" s="5">
        <v>12</v>
      </c>
      <c r="G248" s="5" t="b">
        <v>0</v>
      </c>
      <c r="H248" s="5">
        <v>2</v>
      </c>
      <c r="I248" s="5">
        <v>1</v>
      </c>
      <c r="J248" s="5">
        <v>0.24</v>
      </c>
      <c r="K248" s="5">
        <v>0.19700000000000001</v>
      </c>
      <c r="L248" s="5">
        <v>0.38</v>
      </c>
      <c r="M248" s="5">
        <v>0.49249999999999999</v>
      </c>
      <c r="N248" s="5">
        <v>2</v>
      </c>
      <c r="O248" s="5">
        <v>63</v>
      </c>
      <c r="P248" s="5">
        <v>65</v>
      </c>
    </row>
    <row r="249" spans="1:16">
      <c r="A249" s="5">
        <v>867</v>
      </c>
      <c r="B249" s="6">
        <v>40582</v>
      </c>
      <c r="C249" s="5">
        <v>1</v>
      </c>
      <c r="D249" s="5">
        <v>0</v>
      </c>
      <c r="E249" s="5">
        <v>2</v>
      </c>
      <c r="F249" s="5">
        <v>13</v>
      </c>
      <c r="G249" s="5" t="b">
        <v>0</v>
      </c>
      <c r="H249" s="5">
        <v>2</v>
      </c>
      <c r="I249" s="5">
        <v>2</v>
      </c>
      <c r="J249" s="5">
        <v>0.24</v>
      </c>
      <c r="K249" s="5">
        <v>0.19700000000000001</v>
      </c>
      <c r="L249" s="5">
        <v>0.32</v>
      </c>
      <c r="M249" s="5">
        <v>0.44779999999999998</v>
      </c>
      <c r="N249" s="5">
        <v>2</v>
      </c>
      <c r="O249" s="5">
        <v>48</v>
      </c>
      <c r="P249" s="5">
        <v>50</v>
      </c>
    </row>
    <row r="250" spans="1:16">
      <c r="A250" s="5">
        <v>868</v>
      </c>
      <c r="B250" s="6">
        <v>40582</v>
      </c>
      <c r="C250" s="5">
        <v>1</v>
      </c>
      <c r="D250" s="5">
        <v>0</v>
      </c>
      <c r="E250" s="5">
        <v>2</v>
      </c>
      <c r="F250" s="5">
        <v>14</v>
      </c>
      <c r="G250" s="5" t="b">
        <v>0</v>
      </c>
      <c r="H250" s="5">
        <v>2</v>
      </c>
      <c r="I250" s="5">
        <v>1</v>
      </c>
      <c r="J250" s="5">
        <v>0.22</v>
      </c>
      <c r="K250" s="5">
        <v>0.19700000000000001</v>
      </c>
      <c r="L250" s="5">
        <v>0.37</v>
      </c>
      <c r="M250" s="5">
        <v>0.41789999999999999</v>
      </c>
      <c r="N250" s="5">
        <v>3</v>
      </c>
      <c r="O250" s="5">
        <v>61</v>
      </c>
      <c r="P250" s="5">
        <v>64</v>
      </c>
    </row>
    <row r="251" spans="1:16">
      <c r="A251" s="5">
        <v>869</v>
      </c>
      <c r="B251" s="6">
        <v>40582</v>
      </c>
      <c r="C251" s="5">
        <v>1</v>
      </c>
      <c r="D251" s="5">
        <v>0</v>
      </c>
      <c r="E251" s="5">
        <v>2</v>
      </c>
      <c r="F251" s="5">
        <v>15</v>
      </c>
      <c r="G251" s="5" t="b">
        <v>0</v>
      </c>
      <c r="H251" s="5">
        <v>2</v>
      </c>
      <c r="I251" s="5">
        <v>1</v>
      </c>
      <c r="J251" s="5">
        <v>0.22</v>
      </c>
      <c r="K251" s="5">
        <v>0.19700000000000001</v>
      </c>
      <c r="L251" s="5">
        <v>0.35</v>
      </c>
      <c r="M251" s="5">
        <v>0.3881</v>
      </c>
      <c r="N251" s="5">
        <v>6</v>
      </c>
      <c r="O251" s="5">
        <v>45</v>
      </c>
      <c r="P251" s="5">
        <v>51</v>
      </c>
    </row>
    <row r="252" spans="1:16">
      <c r="A252" s="5">
        <v>870</v>
      </c>
      <c r="B252" s="6">
        <v>40582</v>
      </c>
      <c r="C252" s="5">
        <v>1</v>
      </c>
      <c r="D252" s="5">
        <v>0</v>
      </c>
      <c r="E252" s="5">
        <v>2</v>
      </c>
      <c r="F252" s="5">
        <v>16</v>
      </c>
      <c r="G252" s="5" t="b">
        <v>0</v>
      </c>
      <c r="H252" s="5">
        <v>2</v>
      </c>
      <c r="I252" s="5">
        <v>1</v>
      </c>
      <c r="J252" s="5">
        <v>0.22</v>
      </c>
      <c r="K252" s="5">
        <v>0.18179999999999999</v>
      </c>
      <c r="L252" s="5">
        <v>0.35</v>
      </c>
      <c r="M252" s="5">
        <v>0.52239999999999998</v>
      </c>
      <c r="N252" s="5">
        <v>4</v>
      </c>
      <c r="O252" s="5">
        <v>79</v>
      </c>
      <c r="P252" s="5">
        <v>83</v>
      </c>
    </row>
    <row r="253" spans="1:16">
      <c r="A253" s="5">
        <v>871</v>
      </c>
      <c r="B253" s="6">
        <v>40582</v>
      </c>
      <c r="C253" s="5">
        <v>1</v>
      </c>
      <c r="D253" s="5">
        <v>0</v>
      </c>
      <c r="E253" s="5">
        <v>2</v>
      </c>
      <c r="F253" s="5">
        <v>17</v>
      </c>
      <c r="G253" s="5" t="b">
        <v>0</v>
      </c>
      <c r="H253" s="5">
        <v>2</v>
      </c>
      <c r="I253" s="5">
        <v>1</v>
      </c>
      <c r="J253" s="5">
        <v>0.22</v>
      </c>
      <c r="K253" s="5">
        <v>0.18179999999999999</v>
      </c>
      <c r="L253" s="5">
        <v>0.32</v>
      </c>
      <c r="M253" s="5">
        <v>0.58209999999999995</v>
      </c>
      <c r="N253" s="5">
        <v>4</v>
      </c>
      <c r="O253" s="5">
        <v>172</v>
      </c>
      <c r="P253" s="5">
        <v>176</v>
      </c>
    </row>
    <row r="254" spans="1:16">
      <c r="A254" s="5">
        <v>872</v>
      </c>
      <c r="B254" s="6">
        <v>40582</v>
      </c>
      <c r="C254" s="5">
        <v>1</v>
      </c>
      <c r="D254" s="5">
        <v>0</v>
      </c>
      <c r="E254" s="5">
        <v>2</v>
      </c>
      <c r="F254" s="5">
        <v>18</v>
      </c>
      <c r="G254" s="5" t="b">
        <v>0</v>
      </c>
      <c r="H254" s="5">
        <v>2</v>
      </c>
      <c r="I254" s="5">
        <v>1</v>
      </c>
      <c r="J254" s="5">
        <v>0.2</v>
      </c>
      <c r="K254" s="5">
        <v>0.18179999999999999</v>
      </c>
      <c r="L254" s="5">
        <v>0.32</v>
      </c>
      <c r="M254" s="5">
        <v>0.3881</v>
      </c>
      <c r="N254" s="5">
        <v>1</v>
      </c>
      <c r="O254" s="5">
        <v>151</v>
      </c>
      <c r="P254" s="5">
        <v>152</v>
      </c>
    </row>
    <row r="255" spans="1:16">
      <c r="A255" s="5">
        <v>873</v>
      </c>
      <c r="B255" s="6">
        <v>40582</v>
      </c>
      <c r="C255" s="5">
        <v>1</v>
      </c>
      <c r="D255" s="5">
        <v>0</v>
      </c>
      <c r="E255" s="5">
        <v>2</v>
      </c>
      <c r="F255" s="5">
        <v>19</v>
      </c>
      <c r="G255" s="5" t="b">
        <v>0</v>
      </c>
      <c r="H255" s="5">
        <v>2</v>
      </c>
      <c r="I255" s="5">
        <v>1</v>
      </c>
      <c r="J255" s="5">
        <v>0.16</v>
      </c>
      <c r="K255" s="5">
        <v>0.1212</v>
      </c>
      <c r="L255" s="5">
        <v>0.4</v>
      </c>
      <c r="M255" s="5">
        <v>0.4627</v>
      </c>
      <c r="N255" s="5">
        <v>1</v>
      </c>
      <c r="O255" s="5">
        <v>100</v>
      </c>
      <c r="P255" s="5">
        <v>101</v>
      </c>
    </row>
    <row r="256" spans="1:16">
      <c r="A256" s="5">
        <v>874</v>
      </c>
      <c r="B256" s="6">
        <v>40582</v>
      </c>
      <c r="C256" s="5">
        <v>1</v>
      </c>
      <c r="D256" s="5">
        <v>0</v>
      </c>
      <c r="E256" s="5">
        <v>2</v>
      </c>
      <c r="F256" s="5">
        <v>20</v>
      </c>
      <c r="G256" s="5" t="b">
        <v>0</v>
      </c>
      <c r="H256" s="5">
        <v>2</v>
      </c>
      <c r="I256" s="5">
        <v>1</v>
      </c>
      <c r="J256" s="5">
        <v>0.16</v>
      </c>
      <c r="K256" s="5">
        <v>0.13639999999999999</v>
      </c>
      <c r="L256" s="5">
        <v>0.4</v>
      </c>
      <c r="M256" s="5">
        <v>0.32840000000000003</v>
      </c>
      <c r="N256" s="5">
        <v>3</v>
      </c>
      <c r="O256" s="5">
        <v>53</v>
      </c>
      <c r="P256" s="5">
        <v>56</v>
      </c>
    </row>
    <row r="257" spans="1:16">
      <c r="A257" s="5">
        <v>875</v>
      </c>
      <c r="B257" s="6">
        <v>40582</v>
      </c>
      <c r="C257" s="5">
        <v>1</v>
      </c>
      <c r="D257" s="5">
        <v>0</v>
      </c>
      <c r="E257" s="5">
        <v>2</v>
      </c>
      <c r="F257" s="5">
        <v>21</v>
      </c>
      <c r="G257" s="5" t="b">
        <v>0</v>
      </c>
      <c r="H257" s="5">
        <v>2</v>
      </c>
      <c r="I257" s="5">
        <v>1</v>
      </c>
      <c r="J257" s="5">
        <v>0.14000000000000001</v>
      </c>
      <c r="K257" s="5">
        <v>0.1061</v>
      </c>
      <c r="L257" s="5">
        <v>0.33</v>
      </c>
      <c r="M257" s="5">
        <v>0.4627</v>
      </c>
      <c r="N257" s="5">
        <v>8</v>
      </c>
      <c r="O257" s="5">
        <v>46</v>
      </c>
      <c r="P257" s="5">
        <v>54</v>
      </c>
    </row>
    <row r="258" spans="1:16">
      <c r="A258" s="5">
        <v>876</v>
      </c>
      <c r="B258" s="6">
        <v>40582</v>
      </c>
      <c r="C258" s="5">
        <v>1</v>
      </c>
      <c r="D258" s="5">
        <v>0</v>
      </c>
      <c r="E258" s="5">
        <v>2</v>
      </c>
      <c r="F258" s="5">
        <v>22</v>
      </c>
      <c r="G258" s="5" t="b">
        <v>0</v>
      </c>
      <c r="H258" s="5">
        <v>2</v>
      </c>
      <c r="I258" s="5">
        <v>1</v>
      </c>
      <c r="J258" s="5">
        <v>0.12</v>
      </c>
      <c r="K258" s="5">
        <v>0.1061</v>
      </c>
      <c r="L258" s="5">
        <v>0.33</v>
      </c>
      <c r="M258" s="5">
        <v>0.35820000000000002</v>
      </c>
      <c r="N258" s="5">
        <v>0</v>
      </c>
      <c r="O258" s="5">
        <v>29</v>
      </c>
      <c r="P258" s="5">
        <v>29</v>
      </c>
    </row>
    <row r="259" spans="1:16">
      <c r="A259" s="5">
        <v>877</v>
      </c>
      <c r="B259" s="6">
        <v>40582</v>
      </c>
      <c r="C259" s="5">
        <v>1</v>
      </c>
      <c r="D259" s="5">
        <v>0</v>
      </c>
      <c r="E259" s="5">
        <v>2</v>
      </c>
      <c r="F259" s="5">
        <v>23</v>
      </c>
      <c r="G259" s="5" t="b">
        <v>0</v>
      </c>
      <c r="H259" s="5">
        <v>2</v>
      </c>
      <c r="I259" s="5">
        <v>1</v>
      </c>
      <c r="J259" s="5">
        <v>0.12</v>
      </c>
      <c r="K259" s="5">
        <v>0.1061</v>
      </c>
      <c r="L259" s="5">
        <v>0.33</v>
      </c>
      <c r="M259" s="5">
        <v>0.32840000000000003</v>
      </c>
      <c r="N259" s="5">
        <v>3</v>
      </c>
      <c r="O259" s="5">
        <v>9</v>
      </c>
      <c r="P259" s="5">
        <v>12</v>
      </c>
    </row>
    <row r="260" spans="1:16">
      <c r="A260" s="5">
        <v>878</v>
      </c>
      <c r="B260" s="6">
        <v>40583</v>
      </c>
      <c r="C260" s="5">
        <v>1</v>
      </c>
      <c r="D260" s="5">
        <v>0</v>
      </c>
      <c r="E260" s="5">
        <v>2</v>
      </c>
      <c r="F260" s="5">
        <v>0</v>
      </c>
      <c r="G260" s="5" t="b">
        <v>0</v>
      </c>
      <c r="H260" s="5">
        <v>3</v>
      </c>
      <c r="I260" s="5">
        <v>1</v>
      </c>
      <c r="J260" s="5">
        <v>0.1</v>
      </c>
      <c r="K260" s="5">
        <v>7.5800000000000006E-2</v>
      </c>
      <c r="L260" s="5">
        <v>0.36</v>
      </c>
      <c r="M260" s="5">
        <v>0.35820000000000002</v>
      </c>
      <c r="N260" s="5">
        <v>0</v>
      </c>
      <c r="O260" s="5">
        <v>17</v>
      </c>
      <c r="P260" s="5">
        <v>17</v>
      </c>
    </row>
    <row r="261" spans="1:16">
      <c r="A261" s="5">
        <v>879</v>
      </c>
      <c r="B261" s="6">
        <v>40583</v>
      </c>
      <c r="C261" s="5">
        <v>1</v>
      </c>
      <c r="D261" s="5">
        <v>0</v>
      </c>
      <c r="E261" s="5">
        <v>2</v>
      </c>
      <c r="F261" s="5">
        <v>1</v>
      </c>
      <c r="G261" s="5" t="b">
        <v>0</v>
      </c>
      <c r="H261" s="5">
        <v>3</v>
      </c>
      <c r="I261" s="5">
        <v>1</v>
      </c>
      <c r="J261" s="5">
        <v>0.1</v>
      </c>
      <c r="K261" s="5">
        <v>0.1061</v>
      </c>
      <c r="L261" s="5">
        <v>0.36</v>
      </c>
      <c r="M261" s="5">
        <v>0.22389999999999999</v>
      </c>
      <c r="N261" s="5">
        <v>0</v>
      </c>
      <c r="O261" s="5">
        <v>7</v>
      </c>
      <c r="P261" s="5">
        <v>7</v>
      </c>
    </row>
    <row r="262" spans="1:16">
      <c r="A262" s="5">
        <v>880</v>
      </c>
      <c r="B262" s="6">
        <v>40583</v>
      </c>
      <c r="C262" s="5">
        <v>1</v>
      </c>
      <c r="D262" s="5">
        <v>0</v>
      </c>
      <c r="E262" s="5">
        <v>2</v>
      </c>
      <c r="F262" s="5">
        <v>2</v>
      </c>
      <c r="G262" s="5" t="b">
        <v>0</v>
      </c>
      <c r="H262" s="5">
        <v>3</v>
      </c>
      <c r="I262" s="5">
        <v>1</v>
      </c>
      <c r="J262" s="5">
        <v>0.08</v>
      </c>
      <c r="K262" s="5">
        <v>7.5800000000000006E-2</v>
      </c>
      <c r="L262" s="5">
        <v>0.38</v>
      </c>
      <c r="M262" s="5">
        <v>0.28360000000000002</v>
      </c>
      <c r="N262" s="5">
        <v>1</v>
      </c>
      <c r="O262" s="5">
        <v>2</v>
      </c>
      <c r="P262" s="5">
        <v>3</v>
      </c>
    </row>
    <row r="263" spans="1:16">
      <c r="A263" s="5">
        <v>881</v>
      </c>
      <c r="B263" s="6">
        <v>40583</v>
      </c>
      <c r="C263" s="5">
        <v>1</v>
      </c>
      <c r="D263" s="5">
        <v>0</v>
      </c>
      <c r="E263" s="5">
        <v>2</v>
      </c>
      <c r="F263" s="5">
        <v>3</v>
      </c>
      <c r="G263" s="5" t="b">
        <v>0</v>
      </c>
      <c r="H263" s="5">
        <v>3</v>
      </c>
      <c r="I263" s="5">
        <v>1</v>
      </c>
      <c r="J263" s="5">
        <v>0.06</v>
      </c>
      <c r="K263" s="5">
        <v>7.5800000000000006E-2</v>
      </c>
      <c r="L263" s="5">
        <v>0.45</v>
      </c>
      <c r="M263" s="5">
        <v>0.1343</v>
      </c>
      <c r="N263" s="5">
        <v>0</v>
      </c>
      <c r="O263" s="5">
        <v>2</v>
      </c>
      <c r="P263" s="5">
        <v>2</v>
      </c>
    </row>
    <row r="264" spans="1:16">
      <c r="A264" s="5">
        <v>882</v>
      </c>
      <c r="B264" s="6">
        <v>40583</v>
      </c>
      <c r="C264" s="5">
        <v>1</v>
      </c>
      <c r="D264" s="5">
        <v>0</v>
      </c>
      <c r="E264" s="5">
        <v>2</v>
      </c>
      <c r="F264" s="5">
        <v>5</v>
      </c>
      <c r="G264" s="5" t="b">
        <v>0</v>
      </c>
      <c r="H264" s="5">
        <v>3</v>
      </c>
      <c r="I264" s="5">
        <v>1</v>
      </c>
      <c r="J264" s="5">
        <v>0.06</v>
      </c>
      <c r="K264" s="5">
        <v>0.1061</v>
      </c>
      <c r="L264" s="5">
        <v>0.45</v>
      </c>
      <c r="M264" s="5">
        <v>0.1045</v>
      </c>
      <c r="N264" s="5">
        <v>0</v>
      </c>
      <c r="O264" s="5">
        <v>7</v>
      </c>
      <c r="P264" s="5">
        <v>7</v>
      </c>
    </row>
    <row r="265" spans="1:16">
      <c r="A265" s="5">
        <v>883</v>
      </c>
      <c r="B265" s="6">
        <v>40583</v>
      </c>
      <c r="C265" s="5">
        <v>1</v>
      </c>
      <c r="D265" s="5">
        <v>0</v>
      </c>
      <c r="E265" s="5">
        <v>2</v>
      </c>
      <c r="F265" s="5">
        <v>6</v>
      </c>
      <c r="G265" s="5" t="b">
        <v>0</v>
      </c>
      <c r="H265" s="5">
        <v>3</v>
      </c>
      <c r="I265" s="5">
        <v>1</v>
      </c>
      <c r="J265" s="5">
        <v>0.06</v>
      </c>
      <c r="K265" s="5">
        <v>0.1515</v>
      </c>
      <c r="L265" s="5">
        <v>0.45</v>
      </c>
      <c r="M265" s="5">
        <v>0</v>
      </c>
      <c r="N265" s="5">
        <v>0</v>
      </c>
      <c r="O265" s="5">
        <v>43</v>
      </c>
      <c r="P265" s="5">
        <v>43</v>
      </c>
    </row>
    <row r="266" spans="1:16">
      <c r="A266" s="5">
        <v>884</v>
      </c>
      <c r="B266" s="6">
        <v>40583</v>
      </c>
      <c r="C266" s="5">
        <v>1</v>
      </c>
      <c r="D266" s="5">
        <v>0</v>
      </c>
      <c r="E266" s="5">
        <v>2</v>
      </c>
      <c r="F266" s="5">
        <v>7</v>
      </c>
      <c r="G266" s="5" t="b">
        <v>0</v>
      </c>
      <c r="H266" s="5">
        <v>3</v>
      </c>
      <c r="I266" s="5">
        <v>1</v>
      </c>
      <c r="J266" s="5">
        <v>0.06</v>
      </c>
      <c r="K266" s="5">
        <v>0.1061</v>
      </c>
      <c r="L266" s="5">
        <v>0.49</v>
      </c>
      <c r="M266" s="5">
        <v>0.1045</v>
      </c>
      <c r="N266" s="5">
        <v>4</v>
      </c>
      <c r="O266" s="5">
        <v>95</v>
      </c>
      <c r="P266" s="5">
        <v>99</v>
      </c>
    </row>
    <row r="267" spans="1:16">
      <c r="A267" s="5">
        <v>885</v>
      </c>
      <c r="B267" s="6">
        <v>40583</v>
      </c>
      <c r="C267" s="5">
        <v>1</v>
      </c>
      <c r="D267" s="5">
        <v>0</v>
      </c>
      <c r="E267" s="5">
        <v>2</v>
      </c>
      <c r="F267" s="5">
        <v>8</v>
      </c>
      <c r="G267" s="5" t="b">
        <v>0</v>
      </c>
      <c r="H267" s="5">
        <v>3</v>
      </c>
      <c r="I267" s="5">
        <v>1</v>
      </c>
      <c r="J267" s="5">
        <v>0.1</v>
      </c>
      <c r="K267" s="5">
        <v>0.13639999999999999</v>
      </c>
      <c r="L267" s="5">
        <v>0.42</v>
      </c>
      <c r="M267" s="5">
        <v>0</v>
      </c>
      <c r="N267" s="5">
        <v>1</v>
      </c>
      <c r="O267" s="5">
        <v>198</v>
      </c>
      <c r="P267" s="5">
        <v>199</v>
      </c>
    </row>
    <row r="268" spans="1:16">
      <c r="A268" s="5">
        <v>886</v>
      </c>
      <c r="B268" s="6">
        <v>40583</v>
      </c>
      <c r="C268" s="5">
        <v>1</v>
      </c>
      <c r="D268" s="5">
        <v>0</v>
      </c>
      <c r="E268" s="5">
        <v>2</v>
      </c>
      <c r="F268" s="5">
        <v>9</v>
      </c>
      <c r="G268" s="5" t="b">
        <v>0</v>
      </c>
      <c r="H268" s="5">
        <v>3</v>
      </c>
      <c r="I268" s="5">
        <v>1</v>
      </c>
      <c r="J268" s="5">
        <v>0.12</v>
      </c>
      <c r="K268" s="5">
        <v>0.13639999999999999</v>
      </c>
      <c r="L268" s="5">
        <v>0.39</v>
      </c>
      <c r="M268" s="5">
        <v>0.16420000000000001</v>
      </c>
      <c r="N268" s="5">
        <v>4</v>
      </c>
      <c r="O268" s="5">
        <v>119</v>
      </c>
      <c r="P268" s="5">
        <v>123</v>
      </c>
    </row>
    <row r="269" spans="1:16">
      <c r="A269" s="5">
        <v>887</v>
      </c>
      <c r="B269" s="6">
        <v>40583</v>
      </c>
      <c r="C269" s="5">
        <v>1</v>
      </c>
      <c r="D269" s="5">
        <v>0</v>
      </c>
      <c r="E269" s="5">
        <v>2</v>
      </c>
      <c r="F269" s="5">
        <v>10</v>
      </c>
      <c r="G269" s="5" t="b">
        <v>0</v>
      </c>
      <c r="H269" s="5">
        <v>3</v>
      </c>
      <c r="I269" s="5">
        <v>1</v>
      </c>
      <c r="J269" s="5">
        <v>0.14000000000000001</v>
      </c>
      <c r="K269" s="5">
        <v>0.18179999999999999</v>
      </c>
      <c r="L269" s="5">
        <v>0.36</v>
      </c>
      <c r="M269" s="5">
        <v>0</v>
      </c>
      <c r="N269" s="5">
        <v>8</v>
      </c>
      <c r="O269" s="5">
        <v>51</v>
      </c>
      <c r="P269" s="5">
        <v>59</v>
      </c>
    </row>
    <row r="270" spans="1:16">
      <c r="A270" s="5">
        <v>888</v>
      </c>
      <c r="B270" s="6">
        <v>40583</v>
      </c>
      <c r="C270" s="5">
        <v>1</v>
      </c>
      <c r="D270" s="5">
        <v>0</v>
      </c>
      <c r="E270" s="5">
        <v>2</v>
      </c>
      <c r="F270" s="5">
        <v>11</v>
      </c>
      <c r="G270" s="5" t="b">
        <v>0</v>
      </c>
      <c r="H270" s="5">
        <v>3</v>
      </c>
      <c r="I270" s="5">
        <v>2</v>
      </c>
      <c r="J270" s="5">
        <v>0.14000000000000001</v>
      </c>
      <c r="K270" s="5">
        <v>0.1515</v>
      </c>
      <c r="L270" s="5">
        <v>0.43</v>
      </c>
      <c r="M270" s="5">
        <v>0.16420000000000001</v>
      </c>
      <c r="N270" s="5">
        <v>1</v>
      </c>
      <c r="O270" s="5">
        <v>40</v>
      </c>
      <c r="P270" s="5">
        <v>41</v>
      </c>
    </row>
    <row r="271" spans="1:16">
      <c r="A271" s="5">
        <v>889</v>
      </c>
      <c r="B271" s="6">
        <v>40583</v>
      </c>
      <c r="C271" s="5">
        <v>1</v>
      </c>
      <c r="D271" s="5">
        <v>0</v>
      </c>
      <c r="E271" s="5">
        <v>2</v>
      </c>
      <c r="F271" s="5">
        <v>12</v>
      </c>
      <c r="G271" s="5" t="b">
        <v>0</v>
      </c>
      <c r="H271" s="5">
        <v>3</v>
      </c>
      <c r="I271" s="5">
        <v>2</v>
      </c>
      <c r="J271" s="5">
        <v>0.18</v>
      </c>
      <c r="K271" s="5">
        <v>0.18179999999999999</v>
      </c>
      <c r="L271" s="5">
        <v>0.4</v>
      </c>
      <c r="M271" s="5">
        <v>0.22389999999999999</v>
      </c>
      <c r="N271" s="5">
        <v>4</v>
      </c>
      <c r="O271" s="5">
        <v>57</v>
      </c>
      <c r="P271" s="5">
        <v>61</v>
      </c>
    </row>
    <row r="272" spans="1:16">
      <c r="A272" s="5">
        <v>890</v>
      </c>
      <c r="B272" s="6">
        <v>40583</v>
      </c>
      <c r="C272" s="5">
        <v>1</v>
      </c>
      <c r="D272" s="5">
        <v>0</v>
      </c>
      <c r="E272" s="5">
        <v>2</v>
      </c>
      <c r="F272" s="5">
        <v>13</v>
      </c>
      <c r="G272" s="5" t="b">
        <v>0</v>
      </c>
      <c r="H272" s="5">
        <v>3</v>
      </c>
      <c r="I272" s="5">
        <v>1</v>
      </c>
      <c r="J272" s="5">
        <v>0.18</v>
      </c>
      <c r="K272" s="5">
        <v>0.16669999999999999</v>
      </c>
      <c r="L272" s="5">
        <v>0.4</v>
      </c>
      <c r="M272" s="5">
        <v>0.25369999999999998</v>
      </c>
      <c r="N272" s="5">
        <v>2</v>
      </c>
      <c r="O272" s="5">
        <v>67</v>
      </c>
      <c r="P272" s="5">
        <v>69</v>
      </c>
    </row>
    <row r="273" spans="1:16">
      <c r="A273" s="5">
        <v>891</v>
      </c>
      <c r="B273" s="6">
        <v>40583</v>
      </c>
      <c r="C273" s="5">
        <v>1</v>
      </c>
      <c r="D273" s="5">
        <v>0</v>
      </c>
      <c r="E273" s="5">
        <v>2</v>
      </c>
      <c r="F273" s="5">
        <v>14</v>
      </c>
      <c r="G273" s="5" t="b">
        <v>0</v>
      </c>
      <c r="H273" s="5">
        <v>3</v>
      </c>
      <c r="I273" s="5">
        <v>1</v>
      </c>
      <c r="J273" s="5">
        <v>0.2</v>
      </c>
      <c r="K273" s="5">
        <v>0.18179999999999999</v>
      </c>
      <c r="L273" s="5">
        <v>0.34</v>
      </c>
      <c r="M273" s="5">
        <v>0.29849999999999999</v>
      </c>
      <c r="N273" s="5">
        <v>2</v>
      </c>
      <c r="O273" s="5">
        <v>56</v>
      </c>
      <c r="P273" s="5">
        <v>58</v>
      </c>
    </row>
    <row r="274" spans="1:16">
      <c r="A274" s="5">
        <v>892</v>
      </c>
      <c r="B274" s="6">
        <v>40583</v>
      </c>
      <c r="C274" s="5">
        <v>1</v>
      </c>
      <c r="D274" s="5">
        <v>0</v>
      </c>
      <c r="E274" s="5">
        <v>2</v>
      </c>
      <c r="F274" s="5">
        <v>15</v>
      </c>
      <c r="G274" s="5" t="b">
        <v>0</v>
      </c>
      <c r="H274" s="5">
        <v>3</v>
      </c>
      <c r="I274" s="5">
        <v>2</v>
      </c>
      <c r="J274" s="5">
        <v>0.2</v>
      </c>
      <c r="K274" s="5">
        <v>0.18179999999999999</v>
      </c>
      <c r="L274" s="5">
        <v>0.34</v>
      </c>
      <c r="M274" s="5">
        <v>0.28360000000000002</v>
      </c>
      <c r="N274" s="5">
        <v>3</v>
      </c>
      <c r="O274" s="5">
        <v>61</v>
      </c>
      <c r="P274" s="5">
        <v>64</v>
      </c>
    </row>
    <row r="275" spans="1:16">
      <c r="A275" s="5">
        <v>893</v>
      </c>
      <c r="B275" s="6">
        <v>40583</v>
      </c>
      <c r="C275" s="5">
        <v>1</v>
      </c>
      <c r="D275" s="5">
        <v>0</v>
      </c>
      <c r="E275" s="5">
        <v>2</v>
      </c>
      <c r="F275" s="5">
        <v>16</v>
      </c>
      <c r="G275" s="5" t="b">
        <v>0</v>
      </c>
      <c r="H275" s="5">
        <v>3</v>
      </c>
      <c r="I275" s="5">
        <v>2</v>
      </c>
      <c r="J275" s="5">
        <v>0.2</v>
      </c>
      <c r="K275" s="5">
        <v>0.19700000000000001</v>
      </c>
      <c r="L275" s="5">
        <v>0.37</v>
      </c>
      <c r="M275" s="5">
        <v>0.25369999999999998</v>
      </c>
      <c r="N275" s="5">
        <v>7</v>
      </c>
      <c r="O275" s="5">
        <v>72</v>
      </c>
      <c r="P275" s="5">
        <v>79</v>
      </c>
    </row>
    <row r="276" spans="1:16">
      <c r="A276" s="5">
        <v>894</v>
      </c>
      <c r="B276" s="6">
        <v>40583</v>
      </c>
      <c r="C276" s="5">
        <v>1</v>
      </c>
      <c r="D276" s="5">
        <v>0</v>
      </c>
      <c r="E276" s="5">
        <v>2</v>
      </c>
      <c r="F276" s="5">
        <v>17</v>
      </c>
      <c r="G276" s="5" t="b">
        <v>0</v>
      </c>
      <c r="H276" s="5">
        <v>3</v>
      </c>
      <c r="I276" s="5">
        <v>2</v>
      </c>
      <c r="J276" s="5">
        <v>0.2</v>
      </c>
      <c r="K276" s="5">
        <v>0.19700000000000001</v>
      </c>
      <c r="L276" s="5">
        <v>0.34</v>
      </c>
      <c r="M276" s="5">
        <v>0.25369999999999998</v>
      </c>
      <c r="N276" s="5">
        <v>9</v>
      </c>
      <c r="O276" s="5">
        <v>157</v>
      </c>
      <c r="P276" s="5">
        <v>166</v>
      </c>
    </row>
    <row r="277" spans="1:16">
      <c r="A277" s="5">
        <v>895</v>
      </c>
      <c r="B277" s="6">
        <v>40583</v>
      </c>
      <c r="C277" s="5">
        <v>1</v>
      </c>
      <c r="D277" s="5">
        <v>0</v>
      </c>
      <c r="E277" s="5">
        <v>2</v>
      </c>
      <c r="F277" s="5">
        <v>18</v>
      </c>
      <c r="G277" s="5" t="b">
        <v>0</v>
      </c>
      <c r="H277" s="5">
        <v>3</v>
      </c>
      <c r="I277" s="5">
        <v>2</v>
      </c>
      <c r="J277" s="5">
        <v>0.18</v>
      </c>
      <c r="K277" s="5">
        <v>0.16669999999999999</v>
      </c>
      <c r="L277" s="5">
        <v>0.47</v>
      </c>
      <c r="M277" s="5">
        <v>0.29849999999999999</v>
      </c>
      <c r="N277" s="5">
        <v>2</v>
      </c>
      <c r="O277" s="5">
        <v>168</v>
      </c>
      <c r="P277" s="5">
        <v>170</v>
      </c>
    </row>
    <row r="278" spans="1:16">
      <c r="A278" s="5">
        <v>896</v>
      </c>
      <c r="B278" s="6">
        <v>40583</v>
      </c>
      <c r="C278" s="5">
        <v>1</v>
      </c>
      <c r="D278" s="5">
        <v>0</v>
      </c>
      <c r="E278" s="5">
        <v>2</v>
      </c>
      <c r="F278" s="5">
        <v>19</v>
      </c>
      <c r="G278" s="5" t="b">
        <v>0</v>
      </c>
      <c r="H278" s="5">
        <v>3</v>
      </c>
      <c r="I278" s="5">
        <v>3</v>
      </c>
      <c r="J278" s="5">
        <v>0.14000000000000001</v>
      </c>
      <c r="K278" s="5">
        <v>0.1212</v>
      </c>
      <c r="L278" s="5">
        <v>0.86</v>
      </c>
      <c r="M278" s="5">
        <v>0.25369999999999998</v>
      </c>
      <c r="N278" s="5">
        <v>1</v>
      </c>
      <c r="O278" s="5">
        <v>87</v>
      </c>
      <c r="P278" s="5">
        <v>88</v>
      </c>
    </row>
    <row r="279" spans="1:16">
      <c r="A279" s="5">
        <v>897</v>
      </c>
      <c r="B279" s="6">
        <v>40583</v>
      </c>
      <c r="C279" s="5">
        <v>1</v>
      </c>
      <c r="D279" s="5">
        <v>0</v>
      </c>
      <c r="E279" s="5">
        <v>2</v>
      </c>
      <c r="F279" s="5">
        <v>20</v>
      </c>
      <c r="G279" s="5" t="b">
        <v>0</v>
      </c>
      <c r="H279" s="5">
        <v>3</v>
      </c>
      <c r="I279" s="5">
        <v>3</v>
      </c>
      <c r="J279" s="5">
        <v>0.14000000000000001</v>
      </c>
      <c r="K279" s="5">
        <v>0.1515</v>
      </c>
      <c r="L279" s="5">
        <v>0.86</v>
      </c>
      <c r="M279" s="5">
        <v>0.16420000000000001</v>
      </c>
      <c r="N279" s="5">
        <v>0</v>
      </c>
      <c r="O279" s="5">
        <v>84</v>
      </c>
      <c r="P279" s="5">
        <v>84</v>
      </c>
    </row>
    <row r="280" spans="1:16">
      <c r="A280" s="5">
        <v>898</v>
      </c>
      <c r="B280" s="6">
        <v>40583</v>
      </c>
      <c r="C280" s="5">
        <v>1</v>
      </c>
      <c r="D280" s="5">
        <v>0</v>
      </c>
      <c r="E280" s="5">
        <v>2</v>
      </c>
      <c r="F280" s="5">
        <v>21</v>
      </c>
      <c r="G280" s="5" t="b">
        <v>0</v>
      </c>
      <c r="H280" s="5">
        <v>3</v>
      </c>
      <c r="I280" s="5">
        <v>2</v>
      </c>
      <c r="J280" s="5">
        <v>0.14000000000000001</v>
      </c>
      <c r="K280" s="5">
        <v>0.1515</v>
      </c>
      <c r="L280" s="5">
        <v>0.86</v>
      </c>
      <c r="M280" s="5">
        <v>0.16420000000000001</v>
      </c>
      <c r="N280" s="5">
        <v>0</v>
      </c>
      <c r="O280" s="5">
        <v>83</v>
      </c>
      <c r="P280" s="5">
        <v>83</v>
      </c>
    </row>
    <row r="281" spans="1:16">
      <c r="A281" s="5">
        <v>899</v>
      </c>
      <c r="B281" s="6">
        <v>40583</v>
      </c>
      <c r="C281" s="5">
        <v>1</v>
      </c>
      <c r="D281" s="5">
        <v>0</v>
      </c>
      <c r="E281" s="5">
        <v>2</v>
      </c>
      <c r="F281" s="5">
        <v>22</v>
      </c>
      <c r="G281" s="5" t="b">
        <v>0</v>
      </c>
      <c r="H281" s="5">
        <v>3</v>
      </c>
      <c r="I281" s="5">
        <v>3</v>
      </c>
      <c r="J281" s="5">
        <v>0.16</v>
      </c>
      <c r="K281" s="5">
        <v>0.16669999999999999</v>
      </c>
      <c r="L281" s="5">
        <v>0.8</v>
      </c>
      <c r="M281" s="5">
        <v>0.16420000000000001</v>
      </c>
      <c r="N281" s="5">
        <v>4</v>
      </c>
      <c r="O281" s="5">
        <v>42</v>
      </c>
      <c r="P281" s="5">
        <v>46</v>
      </c>
    </row>
    <row r="282" spans="1:16">
      <c r="A282" s="5">
        <v>900</v>
      </c>
      <c r="B282" s="6">
        <v>40583</v>
      </c>
      <c r="C282" s="5">
        <v>1</v>
      </c>
      <c r="D282" s="5">
        <v>0</v>
      </c>
      <c r="E282" s="5">
        <v>2</v>
      </c>
      <c r="F282" s="5">
        <v>23</v>
      </c>
      <c r="G282" s="5" t="b">
        <v>0</v>
      </c>
      <c r="H282" s="5">
        <v>3</v>
      </c>
      <c r="I282" s="5">
        <v>3</v>
      </c>
      <c r="J282" s="5">
        <v>0.16</v>
      </c>
      <c r="K282" s="5">
        <v>0.1515</v>
      </c>
      <c r="L282" s="5">
        <v>0.8</v>
      </c>
      <c r="M282" s="5">
        <v>0.19400000000000001</v>
      </c>
      <c r="N282" s="5">
        <v>0</v>
      </c>
      <c r="O282" s="5">
        <v>37</v>
      </c>
      <c r="P282" s="5">
        <v>37</v>
      </c>
    </row>
    <row r="283" spans="1:16">
      <c r="A283" s="5">
        <v>901</v>
      </c>
      <c r="B283" s="6">
        <v>40584</v>
      </c>
      <c r="C283" s="5">
        <v>1</v>
      </c>
      <c r="D283" s="5">
        <v>0</v>
      </c>
      <c r="E283" s="5">
        <v>2</v>
      </c>
      <c r="F283" s="5">
        <v>0</v>
      </c>
      <c r="G283" s="5" t="b">
        <v>0</v>
      </c>
      <c r="H283" s="5">
        <v>4</v>
      </c>
      <c r="I283" s="5">
        <v>3</v>
      </c>
      <c r="J283" s="5">
        <v>0.14000000000000001</v>
      </c>
      <c r="K283" s="5">
        <v>0.13639999999999999</v>
      </c>
      <c r="L283" s="5">
        <v>0.86</v>
      </c>
      <c r="M283" s="5">
        <v>0.19400000000000001</v>
      </c>
      <c r="N283" s="5">
        <v>0</v>
      </c>
      <c r="O283" s="5">
        <v>16</v>
      </c>
      <c r="P283" s="5">
        <v>16</v>
      </c>
    </row>
    <row r="284" spans="1:16">
      <c r="A284" s="5">
        <v>902</v>
      </c>
      <c r="B284" s="6">
        <v>40584</v>
      </c>
      <c r="C284" s="5">
        <v>1</v>
      </c>
      <c r="D284" s="5">
        <v>0</v>
      </c>
      <c r="E284" s="5">
        <v>2</v>
      </c>
      <c r="F284" s="5">
        <v>1</v>
      </c>
      <c r="G284" s="5" t="b">
        <v>0</v>
      </c>
      <c r="H284" s="5">
        <v>4</v>
      </c>
      <c r="I284" s="5">
        <v>3</v>
      </c>
      <c r="J284" s="5">
        <v>0.14000000000000001</v>
      </c>
      <c r="K284" s="5">
        <v>0.1515</v>
      </c>
      <c r="L284" s="5">
        <v>0.8</v>
      </c>
      <c r="M284" s="5">
        <v>0.1343</v>
      </c>
      <c r="N284" s="5">
        <v>0</v>
      </c>
      <c r="O284" s="5">
        <v>7</v>
      </c>
      <c r="P284" s="5">
        <v>7</v>
      </c>
    </row>
    <row r="285" spans="1:16">
      <c r="A285" s="5">
        <v>903</v>
      </c>
      <c r="B285" s="6">
        <v>40584</v>
      </c>
      <c r="C285" s="5">
        <v>1</v>
      </c>
      <c r="D285" s="5">
        <v>0</v>
      </c>
      <c r="E285" s="5">
        <v>2</v>
      </c>
      <c r="F285" s="5">
        <v>2</v>
      </c>
      <c r="G285" s="5" t="b">
        <v>0</v>
      </c>
      <c r="H285" s="5">
        <v>4</v>
      </c>
      <c r="I285" s="5">
        <v>3</v>
      </c>
      <c r="J285" s="5">
        <v>0.14000000000000001</v>
      </c>
      <c r="K285" s="5">
        <v>0.1515</v>
      </c>
      <c r="L285" s="5">
        <v>0.8</v>
      </c>
      <c r="M285" s="5">
        <v>0.1343</v>
      </c>
      <c r="N285" s="5">
        <v>0</v>
      </c>
      <c r="O285" s="5">
        <v>3</v>
      </c>
      <c r="P285" s="5">
        <v>3</v>
      </c>
    </row>
    <row r="286" spans="1:16">
      <c r="A286" s="5">
        <v>904</v>
      </c>
      <c r="B286" s="6">
        <v>40584</v>
      </c>
      <c r="C286" s="5">
        <v>1</v>
      </c>
      <c r="D286" s="5">
        <v>0</v>
      </c>
      <c r="E286" s="5">
        <v>2</v>
      </c>
      <c r="F286" s="5">
        <v>4</v>
      </c>
      <c r="G286" s="5" t="b">
        <v>0</v>
      </c>
      <c r="H286" s="5">
        <v>4</v>
      </c>
      <c r="I286" s="5">
        <v>2</v>
      </c>
      <c r="J286" s="5">
        <v>0.14000000000000001</v>
      </c>
      <c r="K286" s="5">
        <v>0.13639999999999999</v>
      </c>
      <c r="L286" s="5">
        <v>0.59</v>
      </c>
      <c r="M286" s="5">
        <v>0.22389999999999999</v>
      </c>
      <c r="N286" s="5">
        <v>0</v>
      </c>
      <c r="O286" s="5">
        <v>1</v>
      </c>
      <c r="P286" s="5">
        <v>1</v>
      </c>
    </row>
    <row r="287" spans="1:16">
      <c r="A287" s="5">
        <v>905</v>
      </c>
      <c r="B287" s="6">
        <v>40584</v>
      </c>
      <c r="C287" s="5">
        <v>1</v>
      </c>
      <c r="D287" s="5">
        <v>0</v>
      </c>
      <c r="E287" s="5">
        <v>2</v>
      </c>
      <c r="F287" s="5">
        <v>5</v>
      </c>
      <c r="G287" s="5" t="b">
        <v>0</v>
      </c>
      <c r="H287" s="5">
        <v>4</v>
      </c>
      <c r="I287" s="5">
        <v>2</v>
      </c>
      <c r="J287" s="5">
        <v>0.12</v>
      </c>
      <c r="K287" s="5">
        <v>0.1212</v>
      </c>
      <c r="L287" s="5">
        <v>0.5</v>
      </c>
      <c r="M287" s="5">
        <v>0.22389999999999999</v>
      </c>
      <c r="N287" s="5">
        <v>0</v>
      </c>
      <c r="O287" s="5">
        <v>6</v>
      </c>
      <c r="P287" s="5">
        <v>6</v>
      </c>
    </row>
    <row r="288" spans="1:16">
      <c r="A288" s="5">
        <v>906</v>
      </c>
      <c r="B288" s="6">
        <v>40584</v>
      </c>
      <c r="C288" s="5">
        <v>1</v>
      </c>
      <c r="D288" s="5">
        <v>0</v>
      </c>
      <c r="E288" s="5">
        <v>2</v>
      </c>
      <c r="F288" s="5">
        <v>6</v>
      </c>
      <c r="G288" s="5" t="b">
        <v>0</v>
      </c>
      <c r="H288" s="5">
        <v>4</v>
      </c>
      <c r="I288" s="5">
        <v>2</v>
      </c>
      <c r="J288" s="5">
        <v>0.12</v>
      </c>
      <c r="K288" s="5">
        <v>0.1212</v>
      </c>
      <c r="L288" s="5">
        <v>0.54</v>
      </c>
      <c r="M288" s="5">
        <v>0.28360000000000002</v>
      </c>
      <c r="N288" s="5">
        <v>0</v>
      </c>
      <c r="O288" s="5">
        <v>26</v>
      </c>
      <c r="P288" s="5">
        <v>26</v>
      </c>
    </row>
    <row r="289" spans="1:16">
      <c r="A289" s="5">
        <v>907</v>
      </c>
      <c r="B289" s="6">
        <v>40584</v>
      </c>
      <c r="C289" s="5">
        <v>1</v>
      </c>
      <c r="D289" s="5">
        <v>0</v>
      </c>
      <c r="E289" s="5">
        <v>2</v>
      </c>
      <c r="F289" s="5">
        <v>7</v>
      </c>
      <c r="G289" s="5" t="b">
        <v>0</v>
      </c>
      <c r="H289" s="5">
        <v>4</v>
      </c>
      <c r="I289" s="5">
        <v>1</v>
      </c>
      <c r="J289" s="5">
        <v>0.1</v>
      </c>
      <c r="K289" s="5">
        <v>7.5800000000000006E-2</v>
      </c>
      <c r="L289" s="5">
        <v>0.5</v>
      </c>
      <c r="M289" s="5">
        <v>0.41789999999999999</v>
      </c>
      <c r="N289" s="5">
        <v>0</v>
      </c>
      <c r="O289" s="5">
        <v>99</v>
      </c>
      <c r="P289" s="5">
        <v>99</v>
      </c>
    </row>
    <row r="290" spans="1:16">
      <c r="A290" s="5">
        <v>908</v>
      </c>
      <c r="B290" s="6">
        <v>40584</v>
      </c>
      <c r="C290" s="5">
        <v>1</v>
      </c>
      <c r="D290" s="5">
        <v>0</v>
      </c>
      <c r="E290" s="5">
        <v>2</v>
      </c>
      <c r="F290" s="5">
        <v>8</v>
      </c>
      <c r="G290" s="5" t="b">
        <v>0</v>
      </c>
      <c r="H290" s="5">
        <v>4</v>
      </c>
      <c r="I290" s="5">
        <v>1</v>
      </c>
      <c r="J290" s="5">
        <v>0.1</v>
      </c>
      <c r="K290" s="5">
        <v>7.5800000000000006E-2</v>
      </c>
      <c r="L290" s="5">
        <v>0.49</v>
      </c>
      <c r="M290" s="5">
        <v>0.32840000000000003</v>
      </c>
      <c r="N290" s="5">
        <v>5</v>
      </c>
      <c r="O290" s="5">
        <v>173</v>
      </c>
      <c r="P290" s="5">
        <v>178</v>
      </c>
    </row>
    <row r="291" spans="1:16">
      <c r="A291" s="5">
        <v>909</v>
      </c>
      <c r="B291" s="6">
        <v>40584</v>
      </c>
      <c r="C291" s="5">
        <v>1</v>
      </c>
      <c r="D291" s="5">
        <v>0</v>
      </c>
      <c r="E291" s="5">
        <v>2</v>
      </c>
      <c r="F291" s="5">
        <v>9</v>
      </c>
      <c r="G291" s="5" t="b">
        <v>0</v>
      </c>
      <c r="H291" s="5">
        <v>4</v>
      </c>
      <c r="I291" s="5">
        <v>1</v>
      </c>
      <c r="J291" s="5">
        <v>0.12</v>
      </c>
      <c r="K291" s="5">
        <v>0.1061</v>
      </c>
      <c r="L291" s="5">
        <v>0.42</v>
      </c>
      <c r="M291" s="5">
        <v>0.35820000000000002</v>
      </c>
      <c r="N291" s="5">
        <v>1</v>
      </c>
      <c r="O291" s="5">
        <v>121</v>
      </c>
      <c r="P291" s="5">
        <v>122</v>
      </c>
    </row>
    <row r="292" spans="1:16">
      <c r="A292" s="5">
        <v>910</v>
      </c>
      <c r="B292" s="6">
        <v>40584</v>
      </c>
      <c r="C292" s="5">
        <v>1</v>
      </c>
      <c r="D292" s="5">
        <v>0</v>
      </c>
      <c r="E292" s="5">
        <v>2</v>
      </c>
      <c r="F292" s="5">
        <v>10</v>
      </c>
      <c r="G292" s="5" t="b">
        <v>0</v>
      </c>
      <c r="H292" s="5">
        <v>4</v>
      </c>
      <c r="I292" s="5">
        <v>1</v>
      </c>
      <c r="J292" s="5">
        <v>0.12</v>
      </c>
      <c r="K292" s="5">
        <v>0.1061</v>
      </c>
      <c r="L292" s="5">
        <v>0.42</v>
      </c>
      <c r="M292" s="5">
        <v>0.29849999999999999</v>
      </c>
      <c r="N292" s="5">
        <v>1</v>
      </c>
      <c r="O292" s="5">
        <v>34</v>
      </c>
      <c r="P292" s="5">
        <v>35</v>
      </c>
    </row>
    <row r="293" spans="1:16">
      <c r="A293" s="5">
        <v>911</v>
      </c>
      <c r="B293" s="6">
        <v>40584</v>
      </c>
      <c r="C293" s="5">
        <v>1</v>
      </c>
      <c r="D293" s="5">
        <v>0</v>
      </c>
      <c r="E293" s="5">
        <v>2</v>
      </c>
      <c r="F293" s="5">
        <v>11</v>
      </c>
      <c r="G293" s="5" t="b">
        <v>0</v>
      </c>
      <c r="H293" s="5">
        <v>4</v>
      </c>
      <c r="I293" s="5">
        <v>1</v>
      </c>
      <c r="J293" s="5">
        <v>0.14000000000000001</v>
      </c>
      <c r="K293" s="5">
        <v>0.1212</v>
      </c>
      <c r="L293" s="5">
        <v>0.39</v>
      </c>
      <c r="M293" s="5">
        <v>0.35820000000000002</v>
      </c>
      <c r="N293" s="5">
        <v>1</v>
      </c>
      <c r="O293" s="5">
        <v>44</v>
      </c>
      <c r="P293" s="5">
        <v>45</v>
      </c>
    </row>
    <row r="294" spans="1:16">
      <c r="A294" s="5">
        <v>912</v>
      </c>
      <c r="B294" s="6">
        <v>40584</v>
      </c>
      <c r="C294" s="5">
        <v>1</v>
      </c>
      <c r="D294" s="5">
        <v>0</v>
      </c>
      <c r="E294" s="5">
        <v>2</v>
      </c>
      <c r="F294" s="5">
        <v>12</v>
      </c>
      <c r="G294" s="5" t="b">
        <v>0</v>
      </c>
      <c r="H294" s="5">
        <v>4</v>
      </c>
      <c r="I294" s="5">
        <v>1</v>
      </c>
      <c r="J294" s="5">
        <v>0.16</v>
      </c>
      <c r="K294" s="5">
        <v>0.13639999999999999</v>
      </c>
      <c r="L294" s="5">
        <v>0.34</v>
      </c>
      <c r="M294" s="5">
        <v>0.3881</v>
      </c>
      <c r="N294" s="5">
        <v>4</v>
      </c>
      <c r="O294" s="5">
        <v>65</v>
      </c>
      <c r="P294" s="5">
        <v>69</v>
      </c>
    </row>
    <row r="295" spans="1:16">
      <c r="A295" s="5">
        <v>913</v>
      </c>
      <c r="B295" s="6">
        <v>40584</v>
      </c>
      <c r="C295" s="5">
        <v>1</v>
      </c>
      <c r="D295" s="5">
        <v>0</v>
      </c>
      <c r="E295" s="5">
        <v>2</v>
      </c>
      <c r="F295" s="5">
        <v>13</v>
      </c>
      <c r="G295" s="5" t="b">
        <v>0</v>
      </c>
      <c r="H295" s="5">
        <v>4</v>
      </c>
      <c r="I295" s="5">
        <v>1</v>
      </c>
      <c r="J295" s="5">
        <v>0.18</v>
      </c>
      <c r="K295" s="5">
        <v>0.16669999999999999</v>
      </c>
      <c r="L295" s="5">
        <v>0.28999999999999998</v>
      </c>
      <c r="M295" s="5">
        <v>0.29849999999999999</v>
      </c>
      <c r="N295" s="5">
        <v>3</v>
      </c>
      <c r="O295" s="5">
        <v>59</v>
      </c>
      <c r="P295" s="5">
        <v>62</v>
      </c>
    </row>
    <row r="296" spans="1:16">
      <c r="A296" s="5">
        <v>914</v>
      </c>
      <c r="B296" s="6">
        <v>40584</v>
      </c>
      <c r="C296" s="5">
        <v>1</v>
      </c>
      <c r="D296" s="5">
        <v>0</v>
      </c>
      <c r="E296" s="5">
        <v>2</v>
      </c>
      <c r="F296" s="5">
        <v>14</v>
      </c>
      <c r="G296" s="5" t="b">
        <v>0</v>
      </c>
      <c r="H296" s="5">
        <v>4</v>
      </c>
      <c r="I296" s="5">
        <v>1</v>
      </c>
      <c r="J296" s="5">
        <v>0.2</v>
      </c>
      <c r="K296" s="5">
        <v>0.18179999999999999</v>
      </c>
      <c r="L296" s="5">
        <v>0.27</v>
      </c>
      <c r="M296" s="5">
        <v>0.28360000000000002</v>
      </c>
      <c r="N296" s="5">
        <v>6</v>
      </c>
      <c r="O296" s="5">
        <v>42</v>
      </c>
      <c r="P296" s="5">
        <v>48</v>
      </c>
    </row>
    <row r="297" spans="1:16">
      <c r="A297" s="5">
        <v>915</v>
      </c>
      <c r="B297" s="6">
        <v>40584</v>
      </c>
      <c r="C297" s="5">
        <v>1</v>
      </c>
      <c r="D297" s="5">
        <v>0</v>
      </c>
      <c r="E297" s="5">
        <v>2</v>
      </c>
      <c r="F297" s="5">
        <v>15</v>
      </c>
      <c r="G297" s="5" t="b">
        <v>0</v>
      </c>
      <c r="H297" s="5">
        <v>4</v>
      </c>
      <c r="I297" s="5">
        <v>1</v>
      </c>
      <c r="J297" s="5">
        <v>0.2</v>
      </c>
      <c r="K297" s="5">
        <v>0.19700000000000001</v>
      </c>
      <c r="L297" s="5">
        <v>0.25</v>
      </c>
      <c r="M297" s="5">
        <v>0.25369999999999998</v>
      </c>
      <c r="N297" s="5">
        <v>0</v>
      </c>
      <c r="O297" s="5">
        <v>50</v>
      </c>
      <c r="P297" s="5">
        <v>50</v>
      </c>
    </row>
    <row r="298" spans="1:16">
      <c r="A298" s="5">
        <v>916</v>
      </c>
      <c r="B298" s="6">
        <v>40584</v>
      </c>
      <c r="C298" s="5">
        <v>1</v>
      </c>
      <c r="D298" s="5">
        <v>0</v>
      </c>
      <c r="E298" s="5">
        <v>2</v>
      </c>
      <c r="F298" s="5">
        <v>16</v>
      </c>
      <c r="G298" s="5" t="b">
        <v>0</v>
      </c>
      <c r="H298" s="5">
        <v>4</v>
      </c>
      <c r="I298" s="5">
        <v>1</v>
      </c>
      <c r="J298" s="5">
        <v>0.2</v>
      </c>
      <c r="K298" s="5">
        <v>0.18179999999999999</v>
      </c>
      <c r="L298" s="5">
        <v>0.27</v>
      </c>
      <c r="M298" s="5">
        <v>0.29849999999999999</v>
      </c>
      <c r="N298" s="5">
        <v>4</v>
      </c>
      <c r="O298" s="5">
        <v>76</v>
      </c>
      <c r="P298" s="5">
        <v>80</v>
      </c>
    </row>
    <row r="299" spans="1:16">
      <c r="A299" s="5">
        <v>917</v>
      </c>
      <c r="B299" s="6">
        <v>40584</v>
      </c>
      <c r="C299" s="5">
        <v>1</v>
      </c>
      <c r="D299" s="5">
        <v>0</v>
      </c>
      <c r="E299" s="5">
        <v>2</v>
      </c>
      <c r="F299" s="5">
        <v>17</v>
      </c>
      <c r="G299" s="5" t="b">
        <v>0</v>
      </c>
      <c r="H299" s="5">
        <v>4</v>
      </c>
      <c r="I299" s="5">
        <v>1</v>
      </c>
      <c r="J299" s="5">
        <v>0.18</v>
      </c>
      <c r="K299" s="5">
        <v>0.18179999999999999</v>
      </c>
      <c r="L299" s="5">
        <v>0.26</v>
      </c>
      <c r="M299" s="5">
        <v>0.19400000000000001</v>
      </c>
      <c r="N299" s="5">
        <v>6</v>
      </c>
      <c r="O299" s="5">
        <v>159</v>
      </c>
      <c r="P299" s="5">
        <v>165</v>
      </c>
    </row>
    <row r="300" spans="1:16">
      <c r="A300" s="5">
        <v>918</v>
      </c>
      <c r="B300" s="6">
        <v>40584</v>
      </c>
      <c r="C300" s="5">
        <v>1</v>
      </c>
      <c r="D300" s="5">
        <v>0</v>
      </c>
      <c r="E300" s="5">
        <v>2</v>
      </c>
      <c r="F300" s="5">
        <v>18</v>
      </c>
      <c r="G300" s="5" t="b">
        <v>0</v>
      </c>
      <c r="H300" s="5">
        <v>4</v>
      </c>
      <c r="I300" s="5">
        <v>1</v>
      </c>
      <c r="J300" s="5">
        <v>0.16</v>
      </c>
      <c r="K300" s="5">
        <v>0.18179999999999999</v>
      </c>
      <c r="L300" s="5">
        <v>0.28000000000000003</v>
      </c>
      <c r="M300" s="5">
        <v>0.1343</v>
      </c>
      <c r="N300" s="5">
        <v>3</v>
      </c>
      <c r="O300" s="5">
        <v>157</v>
      </c>
      <c r="P300" s="5">
        <v>160</v>
      </c>
    </row>
    <row r="301" spans="1:16">
      <c r="A301" s="5">
        <v>919</v>
      </c>
      <c r="B301" s="6">
        <v>40584</v>
      </c>
      <c r="C301" s="5">
        <v>1</v>
      </c>
      <c r="D301" s="5">
        <v>0</v>
      </c>
      <c r="E301" s="5">
        <v>2</v>
      </c>
      <c r="F301" s="5">
        <v>19</v>
      </c>
      <c r="G301" s="5" t="b">
        <v>0</v>
      </c>
      <c r="H301" s="5">
        <v>4</v>
      </c>
      <c r="I301" s="5">
        <v>1</v>
      </c>
      <c r="J301" s="5">
        <v>0.14000000000000001</v>
      </c>
      <c r="K301" s="5">
        <v>0.16669999999999999</v>
      </c>
      <c r="L301" s="5">
        <v>0.28000000000000003</v>
      </c>
      <c r="M301" s="5">
        <v>0.1045</v>
      </c>
      <c r="N301" s="5">
        <v>2</v>
      </c>
      <c r="O301" s="5">
        <v>110</v>
      </c>
      <c r="P301" s="5">
        <v>112</v>
      </c>
    </row>
    <row r="302" spans="1:16">
      <c r="A302" s="5">
        <v>920</v>
      </c>
      <c r="B302" s="6">
        <v>40584</v>
      </c>
      <c r="C302" s="5">
        <v>1</v>
      </c>
      <c r="D302" s="5">
        <v>0</v>
      </c>
      <c r="E302" s="5">
        <v>2</v>
      </c>
      <c r="F302" s="5">
        <v>20</v>
      </c>
      <c r="G302" s="5" t="b">
        <v>0</v>
      </c>
      <c r="H302" s="5">
        <v>4</v>
      </c>
      <c r="I302" s="5">
        <v>1</v>
      </c>
      <c r="J302" s="5">
        <v>0.14000000000000001</v>
      </c>
      <c r="K302" s="5">
        <v>0.18179999999999999</v>
      </c>
      <c r="L302" s="5">
        <v>0.31</v>
      </c>
      <c r="M302" s="5">
        <v>8.9599999999999999E-2</v>
      </c>
      <c r="N302" s="5">
        <v>4</v>
      </c>
      <c r="O302" s="5">
        <v>93</v>
      </c>
      <c r="P302" s="5">
        <v>97</v>
      </c>
    </row>
    <row r="303" spans="1:16">
      <c r="A303" s="5">
        <v>921</v>
      </c>
      <c r="B303" s="6">
        <v>40584</v>
      </c>
      <c r="C303" s="5">
        <v>1</v>
      </c>
      <c r="D303" s="5">
        <v>0</v>
      </c>
      <c r="E303" s="5">
        <v>2</v>
      </c>
      <c r="F303" s="5">
        <v>21</v>
      </c>
      <c r="G303" s="5" t="b">
        <v>0</v>
      </c>
      <c r="H303" s="5">
        <v>4</v>
      </c>
      <c r="I303" s="5">
        <v>1</v>
      </c>
      <c r="J303" s="5">
        <v>0.14000000000000001</v>
      </c>
      <c r="K303" s="5">
        <v>0.21210000000000001</v>
      </c>
      <c r="L303" s="5">
        <v>0.39</v>
      </c>
      <c r="M303" s="5">
        <v>0</v>
      </c>
      <c r="N303" s="5">
        <v>2</v>
      </c>
      <c r="O303" s="5">
        <v>70</v>
      </c>
      <c r="P303" s="5">
        <v>72</v>
      </c>
    </row>
    <row r="304" spans="1:16">
      <c r="A304" s="5">
        <v>922</v>
      </c>
      <c r="B304" s="6">
        <v>40584</v>
      </c>
      <c r="C304" s="5">
        <v>1</v>
      </c>
      <c r="D304" s="5">
        <v>0</v>
      </c>
      <c r="E304" s="5">
        <v>2</v>
      </c>
      <c r="F304" s="5">
        <v>22</v>
      </c>
      <c r="G304" s="5" t="b">
        <v>0</v>
      </c>
      <c r="H304" s="5">
        <v>4</v>
      </c>
      <c r="I304" s="5">
        <v>1</v>
      </c>
      <c r="J304" s="5">
        <v>0.12</v>
      </c>
      <c r="K304" s="5">
        <v>0.19700000000000001</v>
      </c>
      <c r="L304" s="5">
        <v>0.39</v>
      </c>
      <c r="M304" s="5">
        <v>0</v>
      </c>
      <c r="N304" s="5">
        <v>4</v>
      </c>
      <c r="O304" s="5">
        <v>47</v>
      </c>
      <c r="P304" s="5">
        <v>51</v>
      </c>
    </row>
    <row r="305" spans="1:16">
      <c r="A305" s="5">
        <v>923</v>
      </c>
      <c r="B305" s="6">
        <v>40584</v>
      </c>
      <c r="C305" s="5">
        <v>1</v>
      </c>
      <c r="D305" s="5">
        <v>0</v>
      </c>
      <c r="E305" s="5">
        <v>2</v>
      </c>
      <c r="F305" s="5">
        <v>23</v>
      </c>
      <c r="G305" s="5" t="b">
        <v>0</v>
      </c>
      <c r="H305" s="5">
        <v>4</v>
      </c>
      <c r="I305" s="5">
        <v>1</v>
      </c>
      <c r="J305" s="5">
        <v>0.12</v>
      </c>
      <c r="K305" s="5">
        <v>0.1515</v>
      </c>
      <c r="L305" s="5">
        <v>0.42</v>
      </c>
      <c r="M305" s="5">
        <v>0.1045</v>
      </c>
      <c r="N305" s="5">
        <v>1</v>
      </c>
      <c r="O305" s="5">
        <v>33</v>
      </c>
      <c r="P305" s="5">
        <v>34</v>
      </c>
    </row>
    <row r="306" spans="1:16">
      <c r="A306" s="5">
        <v>924</v>
      </c>
      <c r="B306" s="6">
        <v>40585</v>
      </c>
      <c r="C306" s="5">
        <v>1</v>
      </c>
      <c r="D306" s="5">
        <v>0</v>
      </c>
      <c r="E306" s="5">
        <v>2</v>
      </c>
      <c r="F306" s="5">
        <v>0</v>
      </c>
      <c r="G306" s="5" t="b">
        <v>0</v>
      </c>
      <c r="H306" s="5">
        <v>5</v>
      </c>
      <c r="I306" s="5">
        <v>1</v>
      </c>
      <c r="J306" s="5">
        <v>0.1</v>
      </c>
      <c r="K306" s="5">
        <v>0.13639999999999999</v>
      </c>
      <c r="L306" s="5">
        <v>0.49</v>
      </c>
      <c r="M306" s="5">
        <v>0.1045</v>
      </c>
      <c r="N306" s="5">
        <v>2</v>
      </c>
      <c r="O306" s="5">
        <v>12</v>
      </c>
      <c r="P306" s="5">
        <v>14</v>
      </c>
    </row>
    <row r="307" spans="1:16">
      <c r="A307" s="5">
        <v>925</v>
      </c>
      <c r="B307" s="6">
        <v>40585</v>
      </c>
      <c r="C307" s="5">
        <v>1</v>
      </c>
      <c r="D307" s="5">
        <v>0</v>
      </c>
      <c r="E307" s="5">
        <v>2</v>
      </c>
      <c r="F307" s="5">
        <v>1</v>
      </c>
      <c r="G307" s="5" t="b">
        <v>0</v>
      </c>
      <c r="H307" s="5">
        <v>5</v>
      </c>
      <c r="I307" s="5">
        <v>1</v>
      </c>
      <c r="J307" s="5">
        <v>0.1</v>
      </c>
      <c r="K307" s="5">
        <v>0.13639999999999999</v>
      </c>
      <c r="L307" s="5">
        <v>0.54</v>
      </c>
      <c r="M307" s="5">
        <v>8.9599999999999999E-2</v>
      </c>
      <c r="N307" s="5">
        <v>1</v>
      </c>
      <c r="O307" s="5">
        <v>6</v>
      </c>
      <c r="P307" s="5">
        <v>7</v>
      </c>
    </row>
    <row r="308" spans="1:16">
      <c r="A308" s="5">
        <v>926</v>
      </c>
      <c r="B308" s="6">
        <v>40585</v>
      </c>
      <c r="C308" s="5">
        <v>1</v>
      </c>
      <c r="D308" s="5">
        <v>0</v>
      </c>
      <c r="E308" s="5">
        <v>2</v>
      </c>
      <c r="F308" s="5">
        <v>2</v>
      </c>
      <c r="G308" s="5" t="b">
        <v>0</v>
      </c>
      <c r="H308" s="5">
        <v>5</v>
      </c>
      <c r="I308" s="5">
        <v>1</v>
      </c>
      <c r="J308" s="5">
        <v>0.1</v>
      </c>
      <c r="K308" s="5">
        <v>0.13639999999999999</v>
      </c>
      <c r="L308" s="5">
        <v>0.54</v>
      </c>
      <c r="M308" s="5">
        <v>8.9599999999999999E-2</v>
      </c>
      <c r="N308" s="5">
        <v>0</v>
      </c>
      <c r="O308" s="5">
        <v>3</v>
      </c>
      <c r="P308" s="5">
        <v>3</v>
      </c>
    </row>
    <row r="309" spans="1:16">
      <c r="A309" s="5">
        <v>927</v>
      </c>
      <c r="B309" s="6">
        <v>40585</v>
      </c>
      <c r="C309" s="5">
        <v>1</v>
      </c>
      <c r="D309" s="5">
        <v>0</v>
      </c>
      <c r="E309" s="5">
        <v>2</v>
      </c>
      <c r="F309" s="5">
        <v>5</v>
      </c>
      <c r="G309" s="5" t="b">
        <v>0</v>
      </c>
      <c r="H309" s="5">
        <v>5</v>
      </c>
      <c r="I309" s="5">
        <v>1</v>
      </c>
      <c r="J309" s="5">
        <v>0.08</v>
      </c>
      <c r="K309" s="5">
        <v>0.1212</v>
      </c>
      <c r="L309" s="5">
        <v>0.63</v>
      </c>
      <c r="M309" s="5">
        <v>8.9599999999999999E-2</v>
      </c>
      <c r="N309" s="5">
        <v>0</v>
      </c>
      <c r="O309" s="5">
        <v>4</v>
      </c>
      <c r="P309" s="5">
        <v>4</v>
      </c>
    </row>
    <row r="310" spans="1:16">
      <c r="A310" s="5">
        <v>928</v>
      </c>
      <c r="B310" s="6">
        <v>40585</v>
      </c>
      <c r="C310" s="5">
        <v>1</v>
      </c>
      <c r="D310" s="5">
        <v>0</v>
      </c>
      <c r="E310" s="5">
        <v>2</v>
      </c>
      <c r="F310" s="5">
        <v>6</v>
      </c>
      <c r="G310" s="5" t="b">
        <v>0</v>
      </c>
      <c r="H310" s="5">
        <v>5</v>
      </c>
      <c r="I310" s="5">
        <v>1</v>
      </c>
      <c r="J310" s="5">
        <v>0.1</v>
      </c>
      <c r="K310" s="5">
        <v>0.18179999999999999</v>
      </c>
      <c r="L310" s="5">
        <v>0.68</v>
      </c>
      <c r="M310" s="5">
        <v>0</v>
      </c>
      <c r="N310" s="5">
        <v>1</v>
      </c>
      <c r="O310" s="5">
        <v>23</v>
      </c>
      <c r="P310" s="5">
        <v>24</v>
      </c>
    </row>
    <row r="311" spans="1:16">
      <c r="A311" s="5">
        <v>929</v>
      </c>
      <c r="B311" s="6">
        <v>40585</v>
      </c>
      <c r="C311" s="5">
        <v>1</v>
      </c>
      <c r="D311" s="5">
        <v>0</v>
      </c>
      <c r="E311" s="5">
        <v>2</v>
      </c>
      <c r="F311" s="5">
        <v>7</v>
      </c>
      <c r="G311" s="5" t="b">
        <v>0</v>
      </c>
      <c r="H311" s="5">
        <v>5</v>
      </c>
      <c r="I311" s="5">
        <v>1</v>
      </c>
      <c r="J311" s="5">
        <v>0.08</v>
      </c>
      <c r="K311" s="5">
        <v>0.16669999999999999</v>
      </c>
      <c r="L311" s="5">
        <v>0.73</v>
      </c>
      <c r="M311" s="5">
        <v>0</v>
      </c>
      <c r="N311" s="5">
        <v>1</v>
      </c>
      <c r="O311" s="5">
        <v>73</v>
      </c>
      <c r="P311" s="5">
        <v>74</v>
      </c>
    </row>
    <row r="312" spans="1:16">
      <c r="A312" s="5">
        <v>930</v>
      </c>
      <c r="B312" s="6">
        <v>40585</v>
      </c>
      <c r="C312" s="5">
        <v>1</v>
      </c>
      <c r="D312" s="5">
        <v>0</v>
      </c>
      <c r="E312" s="5">
        <v>2</v>
      </c>
      <c r="F312" s="5">
        <v>8</v>
      </c>
      <c r="G312" s="5" t="b">
        <v>0</v>
      </c>
      <c r="H312" s="5">
        <v>5</v>
      </c>
      <c r="I312" s="5">
        <v>1</v>
      </c>
      <c r="J312" s="5">
        <v>0.1</v>
      </c>
      <c r="K312" s="5">
        <v>0.1212</v>
      </c>
      <c r="L312" s="5">
        <v>0.74</v>
      </c>
      <c r="M312" s="5">
        <v>0.16420000000000001</v>
      </c>
      <c r="N312" s="5">
        <v>4</v>
      </c>
      <c r="O312" s="5">
        <v>212</v>
      </c>
      <c r="P312" s="5">
        <v>216</v>
      </c>
    </row>
    <row r="313" spans="1:16">
      <c r="A313" s="5">
        <v>931</v>
      </c>
      <c r="B313" s="6">
        <v>40585</v>
      </c>
      <c r="C313" s="5">
        <v>1</v>
      </c>
      <c r="D313" s="5">
        <v>0</v>
      </c>
      <c r="E313" s="5">
        <v>2</v>
      </c>
      <c r="F313" s="5">
        <v>9</v>
      </c>
      <c r="G313" s="5" t="b">
        <v>0</v>
      </c>
      <c r="H313" s="5">
        <v>5</v>
      </c>
      <c r="I313" s="5">
        <v>1</v>
      </c>
      <c r="J313" s="5">
        <v>0.12</v>
      </c>
      <c r="K313" s="5">
        <v>0.1212</v>
      </c>
      <c r="L313" s="5">
        <v>0.74</v>
      </c>
      <c r="M313" s="5">
        <v>0.22389999999999999</v>
      </c>
      <c r="N313" s="5">
        <v>8</v>
      </c>
      <c r="O313" s="5">
        <v>132</v>
      </c>
      <c r="P313" s="5">
        <v>140</v>
      </c>
    </row>
    <row r="314" spans="1:16">
      <c r="A314" s="5">
        <v>932</v>
      </c>
      <c r="B314" s="6">
        <v>40585</v>
      </c>
      <c r="C314" s="5">
        <v>1</v>
      </c>
      <c r="D314" s="5">
        <v>0</v>
      </c>
      <c r="E314" s="5">
        <v>2</v>
      </c>
      <c r="F314" s="5">
        <v>10</v>
      </c>
      <c r="G314" s="5" t="b">
        <v>0</v>
      </c>
      <c r="H314" s="5">
        <v>5</v>
      </c>
      <c r="I314" s="5">
        <v>1</v>
      </c>
      <c r="J314" s="5">
        <v>0.14000000000000001</v>
      </c>
      <c r="K314" s="5">
        <v>0.13639999999999999</v>
      </c>
      <c r="L314" s="5">
        <v>0.69</v>
      </c>
      <c r="M314" s="5">
        <v>0.19400000000000001</v>
      </c>
      <c r="N314" s="5">
        <v>5</v>
      </c>
      <c r="O314" s="5">
        <v>39</v>
      </c>
      <c r="P314" s="5">
        <v>44</v>
      </c>
    </row>
    <row r="315" spans="1:16">
      <c r="A315" s="5">
        <v>933</v>
      </c>
      <c r="B315" s="6">
        <v>40585</v>
      </c>
      <c r="C315" s="5">
        <v>1</v>
      </c>
      <c r="D315" s="5">
        <v>0</v>
      </c>
      <c r="E315" s="5">
        <v>2</v>
      </c>
      <c r="F315" s="5">
        <v>11</v>
      </c>
      <c r="G315" s="5" t="b">
        <v>0</v>
      </c>
      <c r="H315" s="5">
        <v>5</v>
      </c>
      <c r="I315" s="5">
        <v>1</v>
      </c>
      <c r="J315" s="5">
        <v>0.22</v>
      </c>
      <c r="K315" s="5">
        <v>0.2273</v>
      </c>
      <c r="L315" s="5">
        <v>0.47</v>
      </c>
      <c r="M315" s="5">
        <v>0.1343</v>
      </c>
      <c r="N315" s="5">
        <v>12</v>
      </c>
      <c r="O315" s="5">
        <v>52</v>
      </c>
      <c r="P315" s="5">
        <v>64</v>
      </c>
    </row>
    <row r="316" spans="1:16">
      <c r="A316" s="5">
        <v>934</v>
      </c>
      <c r="B316" s="6">
        <v>40585</v>
      </c>
      <c r="C316" s="5">
        <v>1</v>
      </c>
      <c r="D316" s="5">
        <v>0</v>
      </c>
      <c r="E316" s="5">
        <v>2</v>
      </c>
      <c r="F316" s="5">
        <v>12</v>
      </c>
      <c r="G316" s="5" t="b">
        <v>0</v>
      </c>
      <c r="H316" s="5">
        <v>5</v>
      </c>
      <c r="I316" s="5">
        <v>1</v>
      </c>
      <c r="J316" s="5">
        <v>0.22</v>
      </c>
      <c r="K316" s="5">
        <v>0.2273</v>
      </c>
      <c r="L316" s="5">
        <v>0.47</v>
      </c>
      <c r="M316" s="5">
        <v>0.1343</v>
      </c>
      <c r="N316" s="5">
        <v>7</v>
      </c>
      <c r="O316" s="5">
        <v>64</v>
      </c>
      <c r="P316" s="5">
        <v>71</v>
      </c>
    </row>
    <row r="317" spans="1:16">
      <c r="A317" s="5">
        <v>935</v>
      </c>
      <c r="B317" s="6">
        <v>40585</v>
      </c>
      <c r="C317" s="5">
        <v>1</v>
      </c>
      <c r="D317" s="5">
        <v>0</v>
      </c>
      <c r="E317" s="5">
        <v>2</v>
      </c>
      <c r="F317" s="5">
        <v>13</v>
      </c>
      <c r="G317" s="5" t="b">
        <v>0</v>
      </c>
      <c r="H317" s="5">
        <v>5</v>
      </c>
      <c r="I317" s="5">
        <v>1</v>
      </c>
      <c r="J317" s="5">
        <v>0.24</v>
      </c>
      <c r="K317" s="5">
        <v>0.2273</v>
      </c>
      <c r="L317" s="5">
        <v>0.35</v>
      </c>
      <c r="M317" s="5">
        <v>0.19400000000000001</v>
      </c>
      <c r="N317" s="5">
        <v>21</v>
      </c>
      <c r="O317" s="5">
        <v>89</v>
      </c>
      <c r="P317" s="5">
        <v>110</v>
      </c>
    </row>
    <row r="318" spans="1:16">
      <c r="A318" s="5">
        <v>936</v>
      </c>
      <c r="B318" s="6">
        <v>40585</v>
      </c>
      <c r="C318" s="5">
        <v>1</v>
      </c>
      <c r="D318" s="5">
        <v>0</v>
      </c>
      <c r="E318" s="5">
        <v>2</v>
      </c>
      <c r="F318" s="5">
        <v>14</v>
      </c>
      <c r="G318" s="5" t="b">
        <v>0</v>
      </c>
      <c r="H318" s="5">
        <v>5</v>
      </c>
      <c r="I318" s="5">
        <v>1</v>
      </c>
      <c r="J318" s="5">
        <v>0.3</v>
      </c>
      <c r="K318" s="5">
        <v>0.28789999999999999</v>
      </c>
      <c r="L318" s="5">
        <v>0.26</v>
      </c>
      <c r="M318" s="5">
        <v>0.25369999999999998</v>
      </c>
      <c r="N318" s="5">
        <v>17</v>
      </c>
      <c r="O318" s="5">
        <v>67</v>
      </c>
      <c r="P318" s="5">
        <v>84</v>
      </c>
    </row>
    <row r="319" spans="1:16">
      <c r="A319" s="5">
        <v>937</v>
      </c>
      <c r="B319" s="6">
        <v>40585</v>
      </c>
      <c r="C319" s="5">
        <v>1</v>
      </c>
      <c r="D319" s="5">
        <v>0</v>
      </c>
      <c r="E319" s="5">
        <v>2</v>
      </c>
      <c r="F319" s="5">
        <v>15</v>
      </c>
      <c r="G319" s="5" t="b">
        <v>0</v>
      </c>
      <c r="H319" s="5">
        <v>5</v>
      </c>
      <c r="I319" s="5">
        <v>1</v>
      </c>
      <c r="J319" s="5">
        <v>0.32</v>
      </c>
      <c r="K319" s="5">
        <v>0.31819999999999998</v>
      </c>
      <c r="L319" s="5">
        <v>0.21</v>
      </c>
      <c r="M319" s="5">
        <v>0.16420000000000001</v>
      </c>
      <c r="N319" s="5">
        <v>12</v>
      </c>
      <c r="O319" s="5">
        <v>62</v>
      </c>
      <c r="P319" s="5">
        <v>74</v>
      </c>
    </row>
    <row r="320" spans="1:16">
      <c r="A320" s="5">
        <v>938</v>
      </c>
      <c r="B320" s="6">
        <v>40585</v>
      </c>
      <c r="C320" s="5">
        <v>1</v>
      </c>
      <c r="D320" s="5">
        <v>0</v>
      </c>
      <c r="E320" s="5">
        <v>2</v>
      </c>
      <c r="F320" s="5">
        <v>16</v>
      </c>
      <c r="G320" s="5" t="b">
        <v>0</v>
      </c>
      <c r="H320" s="5">
        <v>5</v>
      </c>
      <c r="I320" s="5">
        <v>1</v>
      </c>
      <c r="J320" s="5">
        <v>0.3</v>
      </c>
      <c r="K320" s="5">
        <v>0.28789999999999999</v>
      </c>
      <c r="L320" s="5">
        <v>0.28000000000000003</v>
      </c>
      <c r="M320" s="5">
        <v>0.19400000000000001</v>
      </c>
      <c r="N320" s="5">
        <v>14</v>
      </c>
      <c r="O320" s="5">
        <v>111</v>
      </c>
      <c r="P320" s="5">
        <v>125</v>
      </c>
    </row>
    <row r="321" spans="1:16">
      <c r="A321" s="5">
        <v>939</v>
      </c>
      <c r="B321" s="6">
        <v>40585</v>
      </c>
      <c r="C321" s="5">
        <v>1</v>
      </c>
      <c r="D321" s="5">
        <v>0</v>
      </c>
      <c r="E321" s="5">
        <v>2</v>
      </c>
      <c r="F321" s="5">
        <v>17</v>
      </c>
      <c r="G321" s="5" t="b">
        <v>0</v>
      </c>
      <c r="H321" s="5">
        <v>5</v>
      </c>
      <c r="I321" s="5">
        <v>1</v>
      </c>
      <c r="J321" s="5">
        <v>0.3</v>
      </c>
      <c r="K321" s="5">
        <v>0.33329999999999999</v>
      </c>
      <c r="L321" s="5">
        <v>0.24</v>
      </c>
      <c r="M321" s="5">
        <v>0</v>
      </c>
      <c r="N321" s="5">
        <v>18</v>
      </c>
      <c r="O321" s="5">
        <v>193</v>
      </c>
      <c r="P321" s="5">
        <v>211</v>
      </c>
    </row>
    <row r="322" spans="1:16">
      <c r="A322" s="5">
        <v>940</v>
      </c>
      <c r="B322" s="6">
        <v>40585</v>
      </c>
      <c r="C322" s="5">
        <v>1</v>
      </c>
      <c r="D322" s="5">
        <v>0</v>
      </c>
      <c r="E322" s="5">
        <v>2</v>
      </c>
      <c r="F322" s="5">
        <v>18</v>
      </c>
      <c r="G322" s="5" t="b">
        <v>0</v>
      </c>
      <c r="H322" s="5">
        <v>5</v>
      </c>
      <c r="I322" s="5">
        <v>1</v>
      </c>
      <c r="J322" s="5">
        <v>0.28000000000000003</v>
      </c>
      <c r="K322" s="5">
        <v>0.31819999999999998</v>
      </c>
      <c r="L322" s="5">
        <v>0.28000000000000003</v>
      </c>
      <c r="M322" s="5">
        <v>0</v>
      </c>
      <c r="N322" s="5">
        <v>9</v>
      </c>
      <c r="O322" s="5">
        <v>165</v>
      </c>
      <c r="P322" s="5">
        <v>174</v>
      </c>
    </row>
    <row r="323" spans="1:16">
      <c r="A323" s="5">
        <v>941</v>
      </c>
      <c r="B323" s="6">
        <v>40585</v>
      </c>
      <c r="C323" s="5">
        <v>1</v>
      </c>
      <c r="D323" s="5">
        <v>0</v>
      </c>
      <c r="E323" s="5">
        <v>2</v>
      </c>
      <c r="F323" s="5">
        <v>19</v>
      </c>
      <c r="G323" s="5" t="b">
        <v>0</v>
      </c>
      <c r="H323" s="5">
        <v>5</v>
      </c>
      <c r="I323" s="5">
        <v>1</v>
      </c>
      <c r="J323" s="5">
        <v>0.26</v>
      </c>
      <c r="K323" s="5">
        <v>0.30299999999999999</v>
      </c>
      <c r="L323" s="5">
        <v>0.33</v>
      </c>
      <c r="M323" s="5">
        <v>0</v>
      </c>
      <c r="N323" s="5">
        <v>7</v>
      </c>
      <c r="O323" s="5">
        <v>94</v>
      </c>
      <c r="P323" s="5">
        <v>101</v>
      </c>
    </row>
    <row r="324" spans="1:16">
      <c r="A324" s="5">
        <v>942</v>
      </c>
      <c r="B324" s="6">
        <v>40585</v>
      </c>
      <c r="C324" s="5">
        <v>1</v>
      </c>
      <c r="D324" s="5">
        <v>0</v>
      </c>
      <c r="E324" s="5">
        <v>2</v>
      </c>
      <c r="F324" s="5">
        <v>20</v>
      </c>
      <c r="G324" s="5" t="b">
        <v>0</v>
      </c>
      <c r="H324" s="5">
        <v>5</v>
      </c>
      <c r="I324" s="5">
        <v>1</v>
      </c>
      <c r="J324" s="5">
        <v>0.22</v>
      </c>
      <c r="K324" s="5">
        <v>0.2273</v>
      </c>
      <c r="L324" s="5">
        <v>0.55000000000000004</v>
      </c>
      <c r="M324" s="5">
        <v>0.1343</v>
      </c>
      <c r="N324" s="5">
        <v>2</v>
      </c>
      <c r="O324" s="5">
        <v>61</v>
      </c>
      <c r="P324" s="5">
        <v>63</v>
      </c>
    </row>
    <row r="325" spans="1:16">
      <c r="A325" s="5">
        <v>943</v>
      </c>
      <c r="B325" s="6">
        <v>40585</v>
      </c>
      <c r="C325" s="5">
        <v>1</v>
      </c>
      <c r="D325" s="5">
        <v>0</v>
      </c>
      <c r="E325" s="5">
        <v>2</v>
      </c>
      <c r="F325" s="5">
        <v>21</v>
      </c>
      <c r="G325" s="5" t="b">
        <v>0</v>
      </c>
      <c r="H325" s="5">
        <v>5</v>
      </c>
      <c r="I325" s="5">
        <v>1</v>
      </c>
      <c r="J325" s="5">
        <v>0.2</v>
      </c>
      <c r="K325" s="5">
        <v>0.21210000000000001</v>
      </c>
      <c r="L325" s="5">
        <v>0.59</v>
      </c>
      <c r="M325" s="5">
        <v>0.1343</v>
      </c>
      <c r="N325" s="5">
        <v>1</v>
      </c>
      <c r="O325" s="5">
        <v>46</v>
      </c>
      <c r="P325" s="5">
        <v>47</v>
      </c>
    </row>
    <row r="326" spans="1:16">
      <c r="A326" s="5">
        <v>944</v>
      </c>
      <c r="B326" s="6">
        <v>40585</v>
      </c>
      <c r="C326" s="5">
        <v>1</v>
      </c>
      <c r="D326" s="5">
        <v>0</v>
      </c>
      <c r="E326" s="5">
        <v>2</v>
      </c>
      <c r="F326" s="5">
        <v>22</v>
      </c>
      <c r="G326" s="5" t="b">
        <v>0</v>
      </c>
      <c r="H326" s="5">
        <v>5</v>
      </c>
      <c r="I326" s="5">
        <v>1</v>
      </c>
      <c r="J326" s="5">
        <v>0.2</v>
      </c>
      <c r="K326" s="5">
        <v>0.2273</v>
      </c>
      <c r="L326" s="5">
        <v>0.64</v>
      </c>
      <c r="M326" s="5">
        <v>8.9599999999999999E-2</v>
      </c>
      <c r="N326" s="5">
        <v>2</v>
      </c>
      <c r="O326" s="5">
        <v>41</v>
      </c>
      <c r="P326" s="5">
        <v>43</v>
      </c>
    </row>
    <row r="327" spans="1:16">
      <c r="A327" s="5">
        <v>945</v>
      </c>
      <c r="B327" s="6">
        <v>40585</v>
      </c>
      <c r="C327" s="5">
        <v>1</v>
      </c>
      <c r="D327" s="5">
        <v>0</v>
      </c>
      <c r="E327" s="5">
        <v>2</v>
      </c>
      <c r="F327" s="5">
        <v>23</v>
      </c>
      <c r="G327" s="5" t="b">
        <v>0</v>
      </c>
      <c r="H327" s="5">
        <v>5</v>
      </c>
      <c r="I327" s="5">
        <v>1</v>
      </c>
      <c r="J327" s="5">
        <v>0.18</v>
      </c>
      <c r="K327" s="5">
        <v>0.2424</v>
      </c>
      <c r="L327" s="5">
        <v>0.69</v>
      </c>
      <c r="M327" s="5">
        <v>0</v>
      </c>
      <c r="N327" s="5">
        <v>5</v>
      </c>
      <c r="O327" s="5">
        <v>48</v>
      </c>
      <c r="P327" s="5">
        <v>53</v>
      </c>
    </row>
    <row r="328" spans="1:16">
      <c r="A328" s="5">
        <v>946</v>
      </c>
      <c r="B328" s="6">
        <v>40586</v>
      </c>
      <c r="C328" s="5">
        <v>1</v>
      </c>
      <c r="D328" s="5">
        <v>0</v>
      </c>
      <c r="E328" s="5">
        <v>2</v>
      </c>
      <c r="F328" s="5">
        <v>0</v>
      </c>
      <c r="G328" s="5" t="b">
        <v>0</v>
      </c>
      <c r="H328" s="5">
        <v>6</v>
      </c>
      <c r="I328" s="5">
        <v>1</v>
      </c>
      <c r="J328" s="5">
        <v>0.16</v>
      </c>
      <c r="K328" s="5">
        <v>0.19700000000000001</v>
      </c>
      <c r="L328" s="5">
        <v>0.69</v>
      </c>
      <c r="M328" s="5">
        <v>8.9599999999999999E-2</v>
      </c>
      <c r="N328" s="5">
        <v>3</v>
      </c>
      <c r="O328" s="5">
        <v>27</v>
      </c>
      <c r="P328" s="5">
        <v>30</v>
      </c>
    </row>
    <row r="329" spans="1:16">
      <c r="A329" s="5">
        <v>947</v>
      </c>
      <c r="B329" s="6">
        <v>40586</v>
      </c>
      <c r="C329" s="5">
        <v>1</v>
      </c>
      <c r="D329" s="5">
        <v>0</v>
      </c>
      <c r="E329" s="5">
        <v>2</v>
      </c>
      <c r="F329" s="5">
        <v>1</v>
      </c>
      <c r="G329" s="5" t="b">
        <v>0</v>
      </c>
      <c r="H329" s="5">
        <v>6</v>
      </c>
      <c r="I329" s="5">
        <v>1</v>
      </c>
      <c r="J329" s="5">
        <v>0.14000000000000001</v>
      </c>
      <c r="K329" s="5">
        <v>0.21210000000000001</v>
      </c>
      <c r="L329" s="5">
        <v>0.86</v>
      </c>
      <c r="M329" s="5">
        <v>0</v>
      </c>
      <c r="N329" s="5">
        <v>2</v>
      </c>
      <c r="O329" s="5">
        <v>22</v>
      </c>
      <c r="P329" s="5">
        <v>24</v>
      </c>
    </row>
    <row r="330" spans="1:16">
      <c r="A330" s="5">
        <v>948</v>
      </c>
      <c r="B330" s="6">
        <v>40586</v>
      </c>
      <c r="C330" s="5">
        <v>1</v>
      </c>
      <c r="D330" s="5">
        <v>0</v>
      </c>
      <c r="E330" s="5">
        <v>2</v>
      </c>
      <c r="F330" s="5">
        <v>2</v>
      </c>
      <c r="G330" s="5" t="b">
        <v>0</v>
      </c>
      <c r="H330" s="5">
        <v>6</v>
      </c>
      <c r="I330" s="5">
        <v>1</v>
      </c>
      <c r="J330" s="5">
        <v>0.14000000000000001</v>
      </c>
      <c r="K330" s="5">
        <v>0.21210000000000001</v>
      </c>
      <c r="L330" s="5">
        <v>0.8</v>
      </c>
      <c r="M330" s="5">
        <v>0</v>
      </c>
      <c r="N330" s="5">
        <v>2</v>
      </c>
      <c r="O330" s="5">
        <v>13</v>
      </c>
      <c r="P330" s="5">
        <v>15</v>
      </c>
    </row>
    <row r="331" spans="1:16">
      <c r="A331" s="5">
        <v>949</v>
      </c>
      <c r="B331" s="6">
        <v>40586</v>
      </c>
      <c r="C331" s="5">
        <v>1</v>
      </c>
      <c r="D331" s="5">
        <v>0</v>
      </c>
      <c r="E331" s="5">
        <v>2</v>
      </c>
      <c r="F331" s="5">
        <v>3</v>
      </c>
      <c r="G331" s="5" t="b">
        <v>0</v>
      </c>
      <c r="H331" s="5">
        <v>6</v>
      </c>
      <c r="I331" s="5">
        <v>1</v>
      </c>
      <c r="J331" s="5">
        <v>0.12</v>
      </c>
      <c r="K331" s="5">
        <v>0.19700000000000001</v>
      </c>
      <c r="L331" s="5">
        <v>0.8</v>
      </c>
      <c r="M331" s="5">
        <v>0</v>
      </c>
      <c r="N331" s="5">
        <v>3</v>
      </c>
      <c r="O331" s="5">
        <v>7</v>
      </c>
      <c r="P331" s="5">
        <v>10</v>
      </c>
    </row>
    <row r="332" spans="1:16">
      <c r="A332" s="5">
        <v>950</v>
      </c>
      <c r="B332" s="6">
        <v>40586</v>
      </c>
      <c r="C332" s="5">
        <v>1</v>
      </c>
      <c r="D332" s="5">
        <v>0</v>
      </c>
      <c r="E332" s="5">
        <v>2</v>
      </c>
      <c r="F332" s="5">
        <v>4</v>
      </c>
      <c r="G332" s="5" t="b">
        <v>0</v>
      </c>
      <c r="H332" s="5">
        <v>6</v>
      </c>
      <c r="I332" s="5">
        <v>1</v>
      </c>
      <c r="J332" s="5">
        <v>0.12</v>
      </c>
      <c r="K332" s="5">
        <v>0.16669999999999999</v>
      </c>
      <c r="L332" s="5">
        <v>0.74</v>
      </c>
      <c r="M332" s="5">
        <v>8.9599999999999999E-2</v>
      </c>
      <c r="N332" s="5">
        <v>0</v>
      </c>
      <c r="O332" s="5">
        <v>4</v>
      </c>
      <c r="P332" s="5">
        <v>4</v>
      </c>
    </row>
    <row r="333" spans="1:16">
      <c r="A333" s="5">
        <v>951</v>
      </c>
      <c r="B333" s="6">
        <v>40586</v>
      </c>
      <c r="C333" s="5">
        <v>1</v>
      </c>
      <c r="D333" s="5">
        <v>0</v>
      </c>
      <c r="E333" s="5">
        <v>2</v>
      </c>
      <c r="F333" s="5">
        <v>5</v>
      </c>
      <c r="G333" s="5" t="b">
        <v>0</v>
      </c>
      <c r="H333" s="5">
        <v>6</v>
      </c>
      <c r="I333" s="5">
        <v>1</v>
      </c>
      <c r="J333" s="5">
        <v>0.12</v>
      </c>
      <c r="K333" s="5">
        <v>0.16669999999999999</v>
      </c>
      <c r="L333" s="5">
        <v>0.74</v>
      </c>
      <c r="M333" s="5">
        <v>8.9599999999999999E-2</v>
      </c>
      <c r="N333" s="5">
        <v>0</v>
      </c>
      <c r="O333" s="5">
        <v>1</v>
      </c>
      <c r="P333" s="5">
        <v>1</v>
      </c>
    </row>
    <row r="334" spans="1:16">
      <c r="A334" s="5">
        <v>952</v>
      </c>
      <c r="B334" s="6">
        <v>40586</v>
      </c>
      <c r="C334" s="5">
        <v>1</v>
      </c>
      <c r="D334" s="5">
        <v>0</v>
      </c>
      <c r="E334" s="5">
        <v>2</v>
      </c>
      <c r="F334" s="5">
        <v>6</v>
      </c>
      <c r="G334" s="5" t="b">
        <v>0</v>
      </c>
      <c r="H334" s="5">
        <v>6</v>
      </c>
      <c r="I334" s="5">
        <v>1</v>
      </c>
      <c r="J334" s="5">
        <v>0.12</v>
      </c>
      <c r="K334" s="5">
        <v>0.13639999999999999</v>
      </c>
      <c r="L334" s="5">
        <v>0.93</v>
      </c>
      <c r="M334" s="5">
        <v>0.19400000000000001</v>
      </c>
      <c r="N334" s="5">
        <v>1</v>
      </c>
      <c r="O334" s="5">
        <v>1</v>
      </c>
      <c r="P334" s="5">
        <v>2</v>
      </c>
    </row>
    <row r="335" spans="1:16">
      <c r="A335" s="5">
        <v>953</v>
      </c>
      <c r="B335" s="6">
        <v>40586</v>
      </c>
      <c r="C335" s="5">
        <v>1</v>
      </c>
      <c r="D335" s="5">
        <v>0</v>
      </c>
      <c r="E335" s="5">
        <v>2</v>
      </c>
      <c r="F335" s="5">
        <v>7</v>
      </c>
      <c r="G335" s="5" t="b">
        <v>0</v>
      </c>
      <c r="H335" s="5">
        <v>6</v>
      </c>
      <c r="I335" s="5">
        <v>1</v>
      </c>
      <c r="J335" s="5">
        <v>0.12</v>
      </c>
      <c r="K335" s="5">
        <v>0.1515</v>
      </c>
      <c r="L335" s="5">
        <v>0.8</v>
      </c>
      <c r="M335" s="5">
        <v>0.1045</v>
      </c>
      <c r="N335" s="5">
        <v>2</v>
      </c>
      <c r="O335" s="5">
        <v>9</v>
      </c>
      <c r="P335" s="5">
        <v>11</v>
      </c>
    </row>
    <row r="336" spans="1:16">
      <c r="A336" s="5">
        <v>954</v>
      </c>
      <c r="B336" s="6">
        <v>40586</v>
      </c>
      <c r="C336" s="5">
        <v>1</v>
      </c>
      <c r="D336" s="5">
        <v>0</v>
      </c>
      <c r="E336" s="5">
        <v>2</v>
      </c>
      <c r="F336" s="5">
        <v>8</v>
      </c>
      <c r="G336" s="5" t="b">
        <v>0</v>
      </c>
      <c r="H336" s="5">
        <v>6</v>
      </c>
      <c r="I336" s="5">
        <v>1</v>
      </c>
      <c r="J336" s="5">
        <v>0.14000000000000001</v>
      </c>
      <c r="K336" s="5">
        <v>0.1515</v>
      </c>
      <c r="L336" s="5">
        <v>0.86</v>
      </c>
      <c r="M336" s="5">
        <v>0.1343</v>
      </c>
      <c r="N336" s="5">
        <v>2</v>
      </c>
      <c r="O336" s="5">
        <v>28</v>
      </c>
      <c r="P336" s="5">
        <v>30</v>
      </c>
    </row>
    <row r="337" spans="1:16">
      <c r="A337" s="5">
        <v>955</v>
      </c>
      <c r="B337" s="6">
        <v>40586</v>
      </c>
      <c r="C337" s="5">
        <v>1</v>
      </c>
      <c r="D337" s="5">
        <v>0</v>
      </c>
      <c r="E337" s="5">
        <v>2</v>
      </c>
      <c r="F337" s="5">
        <v>9</v>
      </c>
      <c r="G337" s="5" t="b">
        <v>0</v>
      </c>
      <c r="H337" s="5">
        <v>6</v>
      </c>
      <c r="I337" s="5">
        <v>1</v>
      </c>
      <c r="J337" s="5">
        <v>0.16</v>
      </c>
      <c r="K337" s="5">
        <v>0.18179999999999999</v>
      </c>
      <c r="L337" s="5">
        <v>0.64</v>
      </c>
      <c r="M337" s="5">
        <v>0.1343</v>
      </c>
      <c r="N337" s="5">
        <v>5</v>
      </c>
      <c r="O337" s="5">
        <v>38</v>
      </c>
      <c r="P337" s="5">
        <v>43</v>
      </c>
    </row>
    <row r="338" spans="1:16">
      <c r="A338" s="5">
        <v>956</v>
      </c>
      <c r="B338" s="6">
        <v>40586</v>
      </c>
      <c r="C338" s="5">
        <v>1</v>
      </c>
      <c r="D338" s="5">
        <v>0</v>
      </c>
      <c r="E338" s="5">
        <v>2</v>
      </c>
      <c r="F338" s="5">
        <v>10</v>
      </c>
      <c r="G338" s="5" t="b">
        <v>0</v>
      </c>
      <c r="H338" s="5">
        <v>6</v>
      </c>
      <c r="I338" s="5">
        <v>1</v>
      </c>
      <c r="J338" s="5">
        <v>0.22</v>
      </c>
      <c r="K338" s="5">
        <v>0.21210000000000001</v>
      </c>
      <c r="L338" s="5">
        <v>0.41</v>
      </c>
      <c r="M338" s="5">
        <v>0.25369999999999998</v>
      </c>
      <c r="N338" s="5">
        <v>13</v>
      </c>
      <c r="O338" s="5">
        <v>71</v>
      </c>
      <c r="P338" s="5">
        <v>84</v>
      </c>
    </row>
    <row r="339" spans="1:16">
      <c r="A339" s="5">
        <v>957</v>
      </c>
      <c r="B339" s="6">
        <v>40586</v>
      </c>
      <c r="C339" s="5">
        <v>1</v>
      </c>
      <c r="D339" s="5">
        <v>0</v>
      </c>
      <c r="E339" s="5">
        <v>2</v>
      </c>
      <c r="F339" s="5">
        <v>11</v>
      </c>
      <c r="G339" s="5" t="b">
        <v>0</v>
      </c>
      <c r="H339" s="5">
        <v>6</v>
      </c>
      <c r="I339" s="5">
        <v>1</v>
      </c>
      <c r="J339" s="5">
        <v>0.3</v>
      </c>
      <c r="K339" s="5">
        <v>0.2727</v>
      </c>
      <c r="L339" s="5">
        <v>0.28000000000000003</v>
      </c>
      <c r="M339" s="5">
        <v>0.32840000000000003</v>
      </c>
      <c r="N339" s="5">
        <v>30</v>
      </c>
      <c r="O339" s="5">
        <v>84</v>
      </c>
      <c r="P339" s="5">
        <v>114</v>
      </c>
    </row>
    <row r="340" spans="1:16">
      <c r="A340" s="5">
        <v>958</v>
      </c>
      <c r="B340" s="6">
        <v>40586</v>
      </c>
      <c r="C340" s="5">
        <v>1</v>
      </c>
      <c r="D340" s="5">
        <v>0</v>
      </c>
      <c r="E340" s="5">
        <v>2</v>
      </c>
      <c r="F340" s="5">
        <v>12</v>
      </c>
      <c r="G340" s="5" t="b">
        <v>0</v>
      </c>
      <c r="H340" s="5">
        <v>6</v>
      </c>
      <c r="I340" s="5">
        <v>1</v>
      </c>
      <c r="J340" s="5">
        <v>0.3</v>
      </c>
      <c r="K340" s="5">
        <v>0.2727</v>
      </c>
      <c r="L340" s="5">
        <v>0.39</v>
      </c>
      <c r="M340" s="5">
        <v>0.4627</v>
      </c>
      <c r="N340" s="5">
        <v>27</v>
      </c>
      <c r="O340" s="5">
        <v>93</v>
      </c>
      <c r="P340" s="5">
        <v>120</v>
      </c>
    </row>
    <row r="341" spans="1:16">
      <c r="A341" s="5">
        <v>959</v>
      </c>
      <c r="B341" s="6">
        <v>40586</v>
      </c>
      <c r="C341" s="5">
        <v>1</v>
      </c>
      <c r="D341" s="5">
        <v>0</v>
      </c>
      <c r="E341" s="5">
        <v>2</v>
      </c>
      <c r="F341" s="5">
        <v>13</v>
      </c>
      <c r="G341" s="5" t="b">
        <v>0</v>
      </c>
      <c r="H341" s="5">
        <v>6</v>
      </c>
      <c r="I341" s="5">
        <v>1</v>
      </c>
      <c r="J341" s="5">
        <v>0.3</v>
      </c>
      <c r="K341" s="5">
        <v>0.2727</v>
      </c>
      <c r="L341" s="5">
        <v>0.39</v>
      </c>
      <c r="M341" s="5">
        <v>0.41789999999999999</v>
      </c>
      <c r="N341" s="5">
        <v>32</v>
      </c>
      <c r="O341" s="5">
        <v>103</v>
      </c>
      <c r="P341" s="5">
        <v>135</v>
      </c>
    </row>
    <row r="342" spans="1:16">
      <c r="A342" s="5">
        <v>960</v>
      </c>
      <c r="B342" s="6">
        <v>40586</v>
      </c>
      <c r="C342" s="5">
        <v>1</v>
      </c>
      <c r="D342" s="5">
        <v>0</v>
      </c>
      <c r="E342" s="5">
        <v>2</v>
      </c>
      <c r="F342" s="5">
        <v>14</v>
      </c>
      <c r="G342" s="5" t="b">
        <v>0</v>
      </c>
      <c r="H342" s="5">
        <v>6</v>
      </c>
      <c r="I342" s="5">
        <v>1</v>
      </c>
      <c r="J342" s="5">
        <v>0.34</v>
      </c>
      <c r="K342" s="5">
        <v>0.31819999999999998</v>
      </c>
      <c r="L342" s="5">
        <v>0.31</v>
      </c>
      <c r="M342" s="5">
        <v>0.28360000000000002</v>
      </c>
      <c r="N342" s="5">
        <v>30</v>
      </c>
      <c r="O342" s="5">
        <v>90</v>
      </c>
      <c r="P342" s="5">
        <v>120</v>
      </c>
    </row>
    <row r="343" spans="1:16">
      <c r="A343" s="5">
        <v>961</v>
      </c>
      <c r="B343" s="6">
        <v>40586</v>
      </c>
      <c r="C343" s="5">
        <v>1</v>
      </c>
      <c r="D343" s="5">
        <v>0</v>
      </c>
      <c r="E343" s="5">
        <v>2</v>
      </c>
      <c r="F343" s="5">
        <v>15</v>
      </c>
      <c r="G343" s="5" t="b">
        <v>0</v>
      </c>
      <c r="H343" s="5">
        <v>6</v>
      </c>
      <c r="I343" s="5">
        <v>1</v>
      </c>
      <c r="J343" s="5">
        <v>0.34</v>
      </c>
      <c r="K343" s="5">
        <v>0.30299999999999999</v>
      </c>
      <c r="L343" s="5">
        <v>0.28999999999999998</v>
      </c>
      <c r="M343" s="5">
        <v>0.41789999999999999</v>
      </c>
      <c r="N343" s="5">
        <v>47</v>
      </c>
      <c r="O343" s="5">
        <v>127</v>
      </c>
      <c r="P343" s="5">
        <v>174</v>
      </c>
    </row>
    <row r="344" spans="1:16">
      <c r="A344" s="5">
        <v>962</v>
      </c>
      <c r="B344" s="6">
        <v>40586</v>
      </c>
      <c r="C344" s="5">
        <v>1</v>
      </c>
      <c r="D344" s="5">
        <v>0</v>
      </c>
      <c r="E344" s="5">
        <v>2</v>
      </c>
      <c r="F344" s="5">
        <v>16</v>
      </c>
      <c r="G344" s="5" t="b">
        <v>0</v>
      </c>
      <c r="H344" s="5">
        <v>6</v>
      </c>
      <c r="I344" s="5">
        <v>1</v>
      </c>
      <c r="J344" s="5">
        <v>0.34</v>
      </c>
      <c r="K344" s="5">
        <v>0.30299999999999999</v>
      </c>
      <c r="L344" s="5">
        <v>0.28999999999999998</v>
      </c>
      <c r="M344" s="5">
        <v>0.41789999999999999</v>
      </c>
      <c r="N344" s="5">
        <v>42</v>
      </c>
      <c r="O344" s="5">
        <v>103</v>
      </c>
      <c r="P344" s="5">
        <v>145</v>
      </c>
    </row>
    <row r="345" spans="1:16">
      <c r="A345" s="5">
        <v>963</v>
      </c>
      <c r="B345" s="6">
        <v>40586</v>
      </c>
      <c r="C345" s="5">
        <v>1</v>
      </c>
      <c r="D345" s="5">
        <v>0</v>
      </c>
      <c r="E345" s="5">
        <v>2</v>
      </c>
      <c r="F345" s="5">
        <v>17</v>
      </c>
      <c r="G345" s="5" t="b">
        <v>0</v>
      </c>
      <c r="H345" s="5">
        <v>6</v>
      </c>
      <c r="I345" s="5">
        <v>1</v>
      </c>
      <c r="J345" s="5">
        <v>0.32</v>
      </c>
      <c r="K345" s="5">
        <v>0.28789999999999999</v>
      </c>
      <c r="L345" s="5">
        <v>0.31</v>
      </c>
      <c r="M345" s="5">
        <v>0.52239999999999998</v>
      </c>
      <c r="N345" s="5">
        <v>24</v>
      </c>
      <c r="O345" s="5">
        <v>113</v>
      </c>
      <c r="P345" s="5">
        <v>137</v>
      </c>
    </row>
    <row r="346" spans="1:16">
      <c r="A346" s="5">
        <v>964</v>
      </c>
      <c r="B346" s="6">
        <v>40586</v>
      </c>
      <c r="C346" s="5">
        <v>1</v>
      </c>
      <c r="D346" s="5">
        <v>0</v>
      </c>
      <c r="E346" s="5">
        <v>2</v>
      </c>
      <c r="F346" s="5">
        <v>18</v>
      </c>
      <c r="G346" s="5" t="b">
        <v>0</v>
      </c>
      <c r="H346" s="5">
        <v>6</v>
      </c>
      <c r="I346" s="5">
        <v>1</v>
      </c>
      <c r="J346" s="5">
        <v>0.28000000000000003</v>
      </c>
      <c r="K346" s="5">
        <v>0.2576</v>
      </c>
      <c r="L346" s="5">
        <v>0.38</v>
      </c>
      <c r="M346" s="5">
        <v>0.32840000000000003</v>
      </c>
      <c r="N346" s="5">
        <v>4</v>
      </c>
      <c r="O346" s="5">
        <v>60</v>
      </c>
      <c r="P346" s="5">
        <v>64</v>
      </c>
    </row>
    <row r="347" spans="1:16">
      <c r="A347" s="5">
        <v>965</v>
      </c>
      <c r="B347" s="6">
        <v>40586</v>
      </c>
      <c r="C347" s="5">
        <v>1</v>
      </c>
      <c r="D347" s="5">
        <v>0</v>
      </c>
      <c r="E347" s="5">
        <v>2</v>
      </c>
      <c r="F347" s="5">
        <v>19</v>
      </c>
      <c r="G347" s="5" t="b">
        <v>0</v>
      </c>
      <c r="H347" s="5">
        <v>6</v>
      </c>
      <c r="I347" s="5">
        <v>1</v>
      </c>
      <c r="J347" s="5">
        <v>0.28000000000000003</v>
      </c>
      <c r="K347" s="5">
        <v>0.2727</v>
      </c>
      <c r="L347" s="5">
        <v>0.38</v>
      </c>
      <c r="M347" s="5">
        <v>0.16420000000000001</v>
      </c>
      <c r="N347" s="5">
        <v>2</v>
      </c>
      <c r="O347" s="5">
        <v>39</v>
      </c>
      <c r="P347" s="5">
        <v>41</v>
      </c>
    </row>
    <row r="348" spans="1:16">
      <c r="A348" s="5">
        <v>966</v>
      </c>
      <c r="B348" s="6">
        <v>40586</v>
      </c>
      <c r="C348" s="5">
        <v>1</v>
      </c>
      <c r="D348" s="5">
        <v>0</v>
      </c>
      <c r="E348" s="5">
        <v>2</v>
      </c>
      <c r="F348" s="5">
        <v>20</v>
      </c>
      <c r="G348" s="5" t="b">
        <v>0</v>
      </c>
      <c r="H348" s="5">
        <v>6</v>
      </c>
      <c r="I348" s="5">
        <v>1</v>
      </c>
      <c r="J348" s="5">
        <v>0.26</v>
      </c>
      <c r="K348" s="5">
        <v>0.2576</v>
      </c>
      <c r="L348" s="5">
        <v>0.41</v>
      </c>
      <c r="M348" s="5">
        <v>0.22389999999999999</v>
      </c>
      <c r="N348" s="5">
        <v>1</v>
      </c>
      <c r="O348" s="5">
        <v>39</v>
      </c>
      <c r="P348" s="5">
        <v>40</v>
      </c>
    </row>
    <row r="349" spans="1:16">
      <c r="A349" s="5">
        <v>967</v>
      </c>
      <c r="B349" s="6">
        <v>40586</v>
      </c>
      <c r="C349" s="5">
        <v>1</v>
      </c>
      <c r="D349" s="5">
        <v>0</v>
      </c>
      <c r="E349" s="5">
        <v>2</v>
      </c>
      <c r="F349" s="5">
        <v>21</v>
      </c>
      <c r="G349" s="5" t="b">
        <v>0</v>
      </c>
      <c r="H349" s="5">
        <v>6</v>
      </c>
      <c r="I349" s="5">
        <v>1</v>
      </c>
      <c r="J349" s="5">
        <v>0.26</v>
      </c>
      <c r="K349" s="5">
        <v>0.30299999999999999</v>
      </c>
      <c r="L349" s="5">
        <v>0.41</v>
      </c>
      <c r="M349" s="5">
        <v>0</v>
      </c>
      <c r="N349" s="5">
        <v>9</v>
      </c>
      <c r="O349" s="5">
        <v>42</v>
      </c>
      <c r="P349" s="5">
        <v>51</v>
      </c>
    </row>
    <row r="350" spans="1:16">
      <c r="A350" s="5">
        <v>968</v>
      </c>
      <c r="B350" s="6">
        <v>40586</v>
      </c>
      <c r="C350" s="5">
        <v>1</v>
      </c>
      <c r="D350" s="5">
        <v>0</v>
      </c>
      <c r="E350" s="5">
        <v>2</v>
      </c>
      <c r="F350" s="5">
        <v>22</v>
      </c>
      <c r="G350" s="5" t="b">
        <v>0</v>
      </c>
      <c r="H350" s="5">
        <v>6</v>
      </c>
      <c r="I350" s="5">
        <v>1</v>
      </c>
      <c r="J350" s="5">
        <v>0.24</v>
      </c>
      <c r="K350" s="5">
        <v>0.2576</v>
      </c>
      <c r="L350" s="5">
        <v>0.44</v>
      </c>
      <c r="M350" s="5">
        <v>8.9599999999999999E-2</v>
      </c>
      <c r="N350" s="5">
        <v>6</v>
      </c>
      <c r="O350" s="5">
        <v>39</v>
      </c>
      <c r="P350" s="5">
        <v>45</v>
      </c>
    </row>
    <row r="351" spans="1:16">
      <c r="A351" s="5">
        <v>969</v>
      </c>
      <c r="B351" s="6">
        <v>40586</v>
      </c>
      <c r="C351" s="5">
        <v>1</v>
      </c>
      <c r="D351" s="5">
        <v>0</v>
      </c>
      <c r="E351" s="5">
        <v>2</v>
      </c>
      <c r="F351" s="5">
        <v>23</v>
      </c>
      <c r="G351" s="5" t="b">
        <v>0</v>
      </c>
      <c r="H351" s="5">
        <v>6</v>
      </c>
      <c r="I351" s="5">
        <v>1</v>
      </c>
      <c r="J351" s="5">
        <v>0.22</v>
      </c>
      <c r="K351" s="5">
        <v>0.2273</v>
      </c>
      <c r="L351" s="5">
        <v>0.51</v>
      </c>
      <c r="M351" s="5">
        <v>0.1343</v>
      </c>
      <c r="N351" s="5">
        <v>1</v>
      </c>
      <c r="O351" s="5">
        <v>31</v>
      </c>
      <c r="P351" s="5">
        <v>32</v>
      </c>
    </row>
    <row r="352" spans="1:16">
      <c r="A352" s="5">
        <v>970</v>
      </c>
      <c r="B352" s="6">
        <v>40587</v>
      </c>
      <c r="C352" s="5">
        <v>1</v>
      </c>
      <c r="D352" s="5">
        <v>0</v>
      </c>
      <c r="E352" s="5">
        <v>2</v>
      </c>
      <c r="F352" s="5">
        <v>0</v>
      </c>
      <c r="G352" s="5" t="b">
        <v>0</v>
      </c>
      <c r="H352" s="5">
        <v>0</v>
      </c>
      <c r="I352" s="5">
        <v>1</v>
      </c>
      <c r="J352" s="5">
        <v>0.2</v>
      </c>
      <c r="K352" s="5">
        <v>0.2273</v>
      </c>
      <c r="L352" s="5">
        <v>0.64</v>
      </c>
      <c r="M352" s="5">
        <v>0.1045</v>
      </c>
      <c r="N352" s="5">
        <v>5</v>
      </c>
      <c r="O352" s="5">
        <v>34</v>
      </c>
      <c r="P352" s="5">
        <v>39</v>
      </c>
    </row>
    <row r="353" spans="1:16">
      <c r="A353" s="5">
        <v>971</v>
      </c>
      <c r="B353" s="6">
        <v>40587</v>
      </c>
      <c r="C353" s="5">
        <v>1</v>
      </c>
      <c r="D353" s="5">
        <v>0</v>
      </c>
      <c r="E353" s="5">
        <v>2</v>
      </c>
      <c r="F353" s="5">
        <v>1</v>
      </c>
      <c r="G353" s="5" t="b">
        <v>0</v>
      </c>
      <c r="H353" s="5">
        <v>0</v>
      </c>
      <c r="I353" s="5">
        <v>1</v>
      </c>
      <c r="J353" s="5">
        <v>0.2</v>
      </c>
      <c r="K353" s="5">
        <v>0.2273</v>
      </c>
      <c r="L353" s="5">
        <v>0.59</v>
      </c>
      <c r="M353" s="5">
        <v>8.9599999999999999E-2</v>
      </c>
      <c r="N353" s="5">
        <v>1</v>
      </c>
      <c r="O353" s="5">
        <v>23</v>
      </c>
      <c r="P353" s="5">
        <v>24</v>
      </c>
    </row>
    <row r="354" spans="1:16">
      <c r="A354" s="5">
        <v>972</v>
      </c>
      <c r="B354" s="6">
        <v>40587</v>
      </c>
      <c r="C354" s="5">
        <v>1</v>
      </c>
      <c r="D354" s="5">
        <v>0</v>
      </c>
      <c r="E354" s="5">
        <v>2</v>
      </c>
      <c r="F354" s="5">
        <v>2</v>
      </c>
      <c r="G354" s="5" t="b">
        <v>0</v>
      </c>
      <c r="H354" s="5">
        <v>0</v>
      </c>
      <c r="I354" s="5">
        <v>2</v>
      </c>
      <c r="J354" s="5">
        <v>0.2</v>
      </c>
      <c r="K354" s="5">
        <v>0.2273</v>
      </c>
      <c r="L354" s="5">
        <v>0.75</v>
      </c>
      <c r="M354" s="5">
        <v>8.9599999999999999E-2</v>
      </c>
      <c r="N354" s="5">
        <v>1</v>
      </c>
      <c r="O354" s="5">
        <v>19</v>
      </c>
      <c r="P354" s="5">
        <v>20</v>
      </c>
    </row>
    <row r="355" spans="1:16">
      <c r="A355" s="5">
        <v>973</v>
      </c>
      <c r="B355" s="6">
        <v>40587</v>
      </c>
      <c r="C355" s="5">
        <v>1</v>
      </c>
      <c r="D355" s="5">
        <v>0</v>
      </c>
      <c r="E355" s="5">
        <v>2</v>
      </c>
      <c r="F355" s="5">
        <v>3</v>
      </c>
      <c r="G355" s="5" t="b">
        <v>0</v>
      </c>
      <c r="H355" s="5">
        <v>0</v>
      </c>
      <c r="I355" s="5">
        <v>2</v>
      </c>
      <c r="J355" s="5">
        <v>0.2</v>
      </c>
      <c r="K355" s="5">
        <v>0.2273</v>
      </c>
      <c r="L355" s="5">
        <v>0.69</v>
      </c>
      <c r="M355" s="5">
        <v>0.1045</v>
      </c>
      <c r="N355" s="5">
        <v>4</v>
      </c>
      <c r="O355" s="5">
        <v>8</v>
      </c>
      <c r="P355" s="5">
        <v>12</v>
      </c>
    </row>
    <row r="356" spans="1:16">
      <c r="A356" s="5">
        <v>974</v>
      </c>
      <c r="B356" s="6">
        <v>40587</v>
      </c>
      <c r="C356" s="5">
        <v>1</v>
      </c>
      <c r="D356" s="5">
        <v>0</v>
      </c>
      <c r="E356" s="5">
        <v>2</v>
      </c>
      <c r="F356" s="5">
        <v>4</v>
      </c>
      <c r="G356" s="5" t="b">
        <v>0</v>
      </c>
      <c r="H356" s="5">
        <v>0</v>
      </c>
      <c r="I356" s="5">
        <v>2</v>
      </c>
      <c r="J356" s="5">
        <v>0.2</v>
      </c>
      <c r="K356" s="5">
        <v>0.21210000000000001</v>
      </c>
      <c r="L356" s="5">
        <v>0.69</v>
      </c>
      <c r="M356" s="5">
        <v>0.16420000000000001</v>
      </c>
      <c r="N356" s="5">
        <v>0</v>
      </c>
      <c r="O356" s="5">
        <v>2</v>
      </c>
      <c r="P356" s="5">
        <v>2</v>
      </c>
    </row>
    <row r="357" spans="1:16">
      <c r="A357" s="5">
        <v>975</v>
      </c>
      <c r="B357" s="6">
        <v>40587</v>
      </c>
      <c r="C357" s="5">
        <v>1</v>
      </c>
      <c r="D357" s="5">
        <v>0</v>
      </c>
      <c r="E357" s="5">
        <v>2</v>
      </c>
      <c r="F357" s="5">
        <v>6</v>
      </c>
      <c r="G357" s="5" t="b">
        <v>0</v>
      </c>
      <c r="H357" s="5">
        <v>0</v>
      </c>
      <c r="I357" s="5">
        <v>2</v>
      </c>
      <c r="J357" s="5">
        <v>0.2</v>
      </c>
      <c r="K357" s="5">
        <v>0.21210000000000001</v>
      </c>
      <c r="L357" s="5">
        <v>0.69</v>
      </c>
      <c r="M357" s="5">
        <v>0.1343</v>
      </c>
      <c r="N357" s="5">
        <v>2</v>
      </c>
      <c r="O357" s="5">
        <v>3</v>
      </c>
      <c r="P357" s="5">
        <v>5</v>
      </c>
    </row>
    <row r="358" spans="1:16">
      <c r="A358" s="5">
        <v>976</v>
      </c>
      <c r="B358" s="6">
        <v>40587</v>
      </c>
      <c r="C358" s="5">
        <v>1</v>
      </c>
      <c r="D358" s="5">
        <v>0</v>
      </c>
      <c r="E358" s="5">
        <v>2</v>
      </c>
      <c r="F358" s="5">
        <v>7</v>
      </c>
      <c r="G358" s="5" t="b">
        <v>0</v>
      </c>
      <c r="H358" s="5">
        <v>0</v>
      </c>
      <c r="I358" s="5">
        <v>2</v>
      </c>
      <c r="J358" s="5">
        <v>0.22</v>
      </c>
      <c r="K358" s="5">
        <v>0.2727</v>
      </c>
      <c r="L358" s="5">
        <v>0.55000000000000004</v>
      </c>
      <c r="M358" s="5">
        <v>0</v>
      </c>
      <c r="N358" s="5">
        <v>0</v>
      </c>
      <c r="O358" s="5">
        <v>3</v>
      </c>
      <c r="P358" s="5">
        <v>3</v>
      </c>
    </row>
    <row r="359" spans="1:16">
      <c r="A359" s="5">
        <v>977</v>
      </c>
      <c r="B359" s="6">
        <v>40587</v>
      </c>
      <c r="C359" s="5">
        <v>1</v>
      </c>
      <c r="D359" s="5">
        <v>0</v>
      </c>
      <c r="E359" s="5">
        <v>2</v>
      </c>
      <c r="F359" s="5">
        <v>8</v>
      </c>
      <c r="G359" s="5" t="b">
        <v>0</v>
      </c>
      <c r="H359" s="5">
        <v>0</v>
      </c>
      <c r="I359" s="5">
        <v>2</v>
      </c>
      <c r="J359" s="5">
        <v>0.22</v>
      </c>
      <c r="K359" s="5">
        <v>0.2273</v>
      </c>
      <c r="L359" s="5">
        <v>0.64</v>
      </c>
      <c r="M359" s="5">
        <v>0.19400000000000001</v>
      </c>
      <c r="N359" s="5">
        <v>1</v>
      </c>
      <c r="O359" s="5">
        <v>11</v>
      </c>
      <c r="P359" s="5">
        <v>12</v>
      </c>
    </row>
    <row r="360" spans="1:16">
      <c r="A360" s="5">
        <v>978</v>
      </c>
      <c r="B360" s="6">
        <v>40587</v>
      </c>
      <c r="C360" s="5">
        <v>1</v>
      </c>
      <c r="D360" s="5">
        <v>0</v>
      </c>
      <c r="E360" s="5">
        <v>2</v>
      </c>
      <c r="F360" s="5">
        <v>9</v>
      </c>
      <c r="G360" s="5" t="b">
        <v>0</v>
      </c>
      <c r="H360" s="5">
        <v>0</v>
      </c>
      <c r="I360" s="5">
        <v>2</v>
      </c>
      <c r="J360" s="5">
        <v>0.24</v>
      </c>
      <c r="K360" s="5">
        <v>0.2273</v>
      </c>
      <c r="L360" s="5">
        <v>0.6</v>
      </c>
      <c r="M360" s="5">
        <v>0.22389999999999999</v>
      </c>
      <c r="N360" s="5">
        <v>12</v>
      </c>
      <c r="O360" s="5">
        <v>35</v>
      </c>
      <c r="P360" s="5">
        <v>47</v>
      </c>
    </row>
    <row r="361" spans="1:16">
      <c r="A361" s="5">
        <v>979</v>
      </c>
      <c r="B361" s="6">
        <v>40587</v>
      </c>
      <c r="C361" s="5">
        <v>1</v>
      </c>
      <c r="D361" s="5">
        <v>0</v>
      </c>
      <c r="E361" s="5">
        <v>2</v>
      </c>
      <c r="F361" s="5">
        <v>10</v>
      </c>
      <c r="G361" s="5" t="b">
        <v>0</v>
      </c>
      <c r="H361" s="5">
        <v>0</v>
      </c>
      <c r="I361" s="5">
        <v>1</v>
      </c>
      <c r="J361" s="5">
        <v>0.3</v>
      </c>
      <c r="K361" s="5">
        <v>0.2727</v>
      </c>
      <c r="L361" s="5">
        <v>0.45</v>
      </c>
      <c r="M361" s="5">
        <v>0.32840000000000003</v>
      </c>
      <c r="N361" s="5">
        <v>19</v>
      </c>
      <c r="O361" s="5">
        <v>86</v>
      </c>
      <c r="P361" s="5">
        <v>105</v>
      </c>
    </row>
    <row r="362" spans="1:16">
      <c r="A362" s="5">
        <v>980</v>
      </c>
      <c r="B362" s="6">
        <v>40587</v>
      </c>
      <c r="C362" s="5">
        <v>1</v>
      </c>
      <c r="D362" s="5">
        <v>0</v>
      </c>
      <c r="E362" s="5">
        <v>2</v>
      </c>
      <c r="F362" s="5">
        <v>11</v>
      </c>
      <c r="G362" s="5" t="b">
        <v>0</v>
      </c>
      <c r="H362" s="5">
        <v>0</v>
      </c>
      <c r="I362" s="5">
        <v>1</v>
      </c>
      <c r="J362" s="5">
        <v>0.32</v>
      </c>
      <c r="K362" s="5">
        <v>0.28789999999999999</v>
      </c>
      <c r="L362" s="5">
        <v>0.39</v>
      </c>
      <c r="M362" s="5">
        <v>0.44779999999999998</v>
      </c>
      <c r="N362" s="5">
        <v>26</v>
      </c>
      <c r="O362" s="5">
        <v>86</v>
      </c>
      <c r="P362" s="5">
        <v>112</v>
      </c>
    </row>
    <row r="363" spans="1:16">
      <c r="A363" s="5">
        <v>981</v>
      </c>
      <c r="B363" s="6">
        <v>40587</v>
      </c>
      <c r="C363" s="5">
        <v>1</v>
      </c>
      <c r="D363" s="5">
        <v>0</v>
      </c>
      <c r="E363" s="5">
        <v>2</v>
      </c>
      <c r="F363" s="5">
        <v>12</v>
      </c>
      <c r="G363" s="5" t="b">
        <v>0</v>
      </c>
      <c r="H363" s="5">
        <v>0</v>
      </c>
      <c r="I363" s="5">
        <v>1</v>
      </c>
      <c r="J363" s="5">
        <v>0.36</v>
      </c>
      <c r="K363" s="5">
        <v>0.31819999999999998</v>
      </c>
      <c r="L363" s="5">
        <v>0.32</v>
      </c>
      <c r="M363" s="5">
        <v>0.4627</v>
      </c>
      <c r="N363" s="5">
        <v>58</v>
      </c>
      <c r="O363" s="5">
        <v>94</v>
      </c>
      <c r="P363" s="5">
        <v>152</v>
      </c>
    </row>
    <row r="364" spans="1:16">
      <c r="A364" s="5">
        <v>982</v>
      </c>
      <c r="B364" s="6">
        <v>40587</v>
      </c>
      <c r="C364" s="5">
        <v>1</v>
      </c>
      <c r="D364" s="5">
        <v>0</v>
      </c>
      <c r="E364" s="5">
        <v>2</v>
      </c>
      <c r="F364" s="5">
        <v>13</v>
      </c>
      <c r="G364" s="5" t="b">
        <v>0</v>
      </c>
      <c r="H364" s="5">
        <v>0</v>
      </c>
      <c r="I364" s="5">
        <v>1</v>
      </c>
      <c r="J364" s="5">
        <v>0.38</v>
      </c>
      <c r="K364" s="5">
        <v>0.39389999999999997</v>
      </c>
      <c r="L364" s="5">
        <v>0.28999999999999998</v>
      </c>
      <c r="M364" s="5">
        <v>0.35820000000000002</v>
      </c>
      <c r="N364" s="5">
        <v>62</v>
      </c>
      <c r="O364" s="5">
        <v>92</v>
      </c>
      <c r="P364" s="5">
        <v>154</v>
      </c>
    </row>
    <row r="365" spans="1:16">
      <c r="A365" s="5">
        <v>983</v>
      </c>
      <c r="B365" s="6">
        <v>40587</v>
      </c>
      <c r="C365" s="5">
        <v>1</v>
      </c>
      <c r="D365" s="5">
        <v>0</v>
      </c>
      <c r="E365" s="5">
        <v>2</v>
      </c>
      <c r="F365" s="5">
        <v>14</v>
      </c>
      <c r="G365" s="5" t="b">
        <v>0</v>
      </c>
      <c r="H365" s="5">
        <v>0</v>
      </c>
      <c r="I365" s="5">
        <v>2</v>
      </c>
      <c r="J365" s="5">
        <v>0.4</v>
      </c>
      <c r="K365" s="5">
        <v>0.40910000000000002</v>
      </c>
      <c r="L365" s="5">
        <v>0.3</v>
      </c>
      <c r="M365" s="5">
        <v>0.41789999999999999</v>
      </c>
      <c r="N365" s="5">
        <v>51</v>
      </c>
      <c r="O365" s="5">
        <v>110</v>
      </c>
      <c r="P365" s="5">
        <v>161</v>
      </c>
    </row>
    <row r="366" spans="1:16">
      <c r="A366" s="5">
        <v>984</v>
      </c>
      <c r="B366" s="6">
        <v>40587</v>
      </c>
      <c r="C366" s="5">
        <v>1</v>
      </c>
      <c r="D366" s="5">
        <v>0</v>
      </c>
      <c r="E366" s="5">
        <v>2</v>
      </c>
      <c r="F366" s="5">
        <v>15</v>
      </c>
      <c r="G366" s="5" t="b">
        <v>0</v>
      </c>
      <c r="H366" s="5">
        <v>0</v>
      </c>
      <c r="I366" s="5">
        <v>2</v>
      </c>
      <c r="J366" s="5">
        <v>0.4</v>
      </c>
      <c r="K366" s="5">
        <v>0.40910000000000002</v>
      </c>
      <c r="L366" s="5">
        <v>0.3</v>
      </c>
      <c r="M366" s="5">
        <v>0.29849999999999999</v>
      </c>
      <c r="N366" s="5">
        <v>40</v>
      </c>
      <c r="O366" s="5">
        <v>122</v>
      </c>
      <c r="P366" s="5">
        <v>162</v>
      </c>
    </row>
    <row r="367" spans="1:16">
      <c r="A367" s="5">
        <v>985</v>
      </c>
      <c r="B367" s="6">
        <v>40587</v>
      </c>
      <c r="C367" s="5">
        <v>1</v>
      </c>
      <c r="D367" s="5">
        <v>0</v>
      </c>
      <c r="E367" s="5">
        <v>2</v>
      </c>
      <c r="F367" s="5">
        <v>16</v>
      </c>
      <c r="G367" s="5" t="b">
        <v>0</v>
      </c>
      <c r="H367" s="5">
        <v>0</v>
      </c>
      <c r="I367" s="5">
        <v>2</v>
      </c>
      <c r="J367" s="5">
        <v>0.42</v>
      </c>
      <c r="K367" s="5">
        <v>0.42420000000000002</v>
      </c>
      <c r="L367" s="5">
        <v>0.28000000000000003</v>
      </c>
      <c r="M367" s="5">
        <v>0.32840000000000003</v>
      </c>
      <c r="N367" s="5">
        <v>28</v>
      </c>
      <c r="O367" s="5">
        <v>106</v>
      </c>
      <c r="P367" s="5">
        <v>134</v>
      </c>
    </row>
    <row r="368" spans="1:16">
      <c r="A368" s="5">
        <v>986</v>
      </c>
      <c r="B368" s="6">
        <v>40587</v>
      </c>
      <c r="C368" s="5">
        <v>1</v>
      </c>
      <c r="D368" s="5">
        <v>0</v>
      </c>
      <c r="E368" s="5">
        <v>2</v>
      </c>
      <c r="F368" s="5">
        <v>17</v>
      </c>
      <c r="G368" s="5" t="b">
        <v>0</v>
      </c>
      <c r="H368" s="5">
        <v>0</v>
      </c>
      <c r="I368" s="5">
        <v>1</v>
      </c>
      <c r="J368" s="5">
        <v>0.42</v>
      </c>
      <c r="K368" s="5">
        <v>0.42420000000000002</v>
      </c>
      <c r="L368" s="5">
        <v>0.28000000000000003</v>
      </c>
      <c r="M368" s="5">
        <v>0.32840000000000003</v>
      </c>
      <c r="N368" s="5">
        <v>30</v>
      </c>
      <c r="O368" s="5">
        <v>95</v>
      </c>
      <c r="P368" s="5">
        <v>125</v>
      </c>
    </row>
    <row r="369" spans="1:16">
      <c r="A369" s="5">
        <v>987</v>
      </c>
      <c r="B369" s="6">
        <v>40587</v>
      </c>
      <c r="C369" s="5">
        <v>1</v>
      </c>
      <c r="D369" s="5">
        <v>0</v>
      </c>
      <c r="E369" s="5">
        <v>2</v>
      </c>
      <c r="F369" s="5">
        <v>18</v>
      </c>
      <c r="G369" s="5" t="b">
        <v>0</v>
      </c>
      <c r="H369" s="5">
        <v>0</v>
      </c>
      <c r="I369" s="5">
        <v>1</v>
      </c>
      <c r="J369" s="5">
        <v>0.4</v>
      </c>
      <c r="K369" s="5">
        <v>0.40910000000000002</v>
      </c>
      <c r="L369" s="5">
        <v>0.32</v>
      </c>
      <c r="M369" s="5">
        <v>0.29849999999999999</v>
      </c>
      <c r="N369" s="5">
        <v>17</v>
      </c>
      <c r="O369" s="5">
        <v>78</v>
      </c>
      <c r="P369" s="5">
        <v>95</v>
      </c>
    </row>
    <row r="370" spans="1:16">
      <c r="A370" s="5">
        <v>988</v>
      </c>
      <c r="B370" s="6">
        <v>40587</v>
      </c>
      <c r="C370" s="5">
        <v>1</v>
      </c>
      <c r="D370" s="5">
        <v>0</v>
      </c>
      <c r="E370" s="5">
        <v>2</v>
      </c>
      <c r="F370" s="5">
        <v>19</v>
      </c>
      <c r="G370" s="5" t="b">
        <v>0</v>
      </c>
      <c r="H370" s="5">
        <v>0</v>
      </c>
      <c r="I370" s="5">
        <v>1</v>
      </c>
      <c r="J370" s="5">
        <v>0.4</v>
      </c>
      <c r="K370" s="5">
        <v>0.40910000000000002</v>
      </c>
      <c r="L370" s="5">
        <v>0.35</v>
      </c>
      <c r="M370" s="5">
        <v>0.28360000000000002</v>
      </c>
      <c r="N370" s="5">
        <v>11</v>
      </c>
      <c r="O370" s="5">
        <v>50</v>
      </c>
      <c r="P370" s="5">
        <v>61</v>
      </c>
    </row>
    <row r="371" spans="1:16">
      <c r="A371" s="5">
        <v>989</v>
      </c>
      <c r="B371" s="6">
        <v>40587</v>
      </c>
      <c r="C371" s="5">
        <v>1</v>
      </c>
      <c r="D371" s="5">
        <v>0</v>
      </c>
      <c r="E371" s="5">
        <v>2</v>
      </c>
      <c r="F371" s="5">
        <v>20</v>
      </c>
      <c r="G371" s="5" t="b">
        <v>0</v>
      </c>
      <c r="H371" s="5">
        <v>0</v>
      </c>
      <c r="I371" s="5">
        <v>1</v>
      </c>
      <c r="J371" s="5">
        <v>0.4</v>
      </c>
      <c r="K371" s="5">
        <v>0.40910000000000002</v>
      </c>
      <c r="L371" s="5">
        <v>0.35</v>
      </c>
      <c r="M371" s="5">
        <v>0.32840000000000003</v>
      </c>
      <c r="N371" s="5">
        <v>15</v>
      </c>
      <c r="O371" s="5">
        <v>32</v>
      </c>
      <c r="P371" s="5">
        <v>47</v>
      </c>
    </row>
    <row r="372" spans="1:16">
      <c r="A372" s="5">
        <v>990</v>
      </c>
      <c r="B372" s="6">
        <v>40587</v>
      </c>
      <c r="C372" s="5">
        <v>1</v>
      </c>
      <c r="D372" s="5">
        <v>0</v>
      </c>
      <c r="E372" s="5">
        <v>2</v>
      </c>
      <c r="F372" s="5">
        <v>21</v>
      </c>
      <c r="G372" s="5" t="b">
        <v>0</v>
      </c>
      <c r="H372" s="5">
        <v>0</v>
      </c>
      <c r="I372" s="5">
        <v>1</v>
      </c>
      <c r="J372" s="5">
        <v>0.4</v>
      </c>
      <c r="K372" s="5">
        <v>0.40910000000000002</v>
      </c>
      <c r="L372" s="5">
        <v>0.35</v>
      </c>
      <c r="M372" s="5">
        <v>0.35820000000000002</v>
      </c>
      <c r="N372" s="5">
        <v>6</v>
      </c>
      <c r="O372" s="5">
        <v>45</v>
      </c>
      <c r="P372" s="5">
        <v>51</v>
      </c>
    </row>
    <row r="373" spans="1:16">
      <c r="A373" s="5">
        <v>991</v>
      </c>
      <c r="B373" s="6">
        <v>40587</v>
      </c>
      <c r="C373" s="5">
        <v>1</v>
      </c>
      <c r="D373" s="5">
        <v>0</v>
      </c>
      <c r="E373" s="5">
        <v>2</v>
      </c>
      <c r="F373" s="5">
        <v>22</v>
      </c>
      <c r="G373" s="5" t="b">
        <v>0</v>
      </c>
      <c r="H373" s="5">
        <v>0</v>
      </c>
      <c r="I373" s="5">
        <v>1</v>
      </c>
      <c r="J373" s="5">
        <v>0.4</v>
      </c>
      <c r="K373" s="5">
        <v>0.40910000000000002</v>
      </c>
      <c r="L373" s="5">
        <v>0.35</v>
      </c>
      <c r="M373" s="5">
        <v>0.29849999999999999</v>
      </c>
      <c r="N373" s="5">
        <v>5</v>
      </c>
      <c r="O373" s="5">
        <v>31</v>
      </c>
      <c r="P373" s="5">
        <v>36</v>
      </c>
    </row>
    <row r="374" spans="1:16">
      <c r="A374" s="5">
        <v>992</v>
      </c>
      <c r="B374" s="6">
        <v>40587</v>
      </c>
      <c r="C374" s="5">
        <v>1</v>
      </c>
      <c r="D374" s="5">
        <v>0</v>
      </c>
      <c r="E374" s="5">
        <v>2</v>
      </c>
      <c r="F374" s="5">
        <v>23</v>
      </c>
      <c r="G374" s="5" t="b">
        <v>0</v>
      </c>
      <c r="H374" s="5">
        <v>0</v>
      </c>
      <c r="I374" s="5">
        <v>1</v>
      </c>
      <c r="J374" s="5">
        <v>0.4</v>
      </c>
      <c r="K374" s="5">
        <v>0.40910000000000002</v>
      </c>
      <c r="L374" s="5">
        <v>0.35</v>
      </c>
      <c r="M374" s="5">
        <v>0.35820000000000002</v>
      </c>
      <c r="N374" s="5">
        <v>3</v>
      </c>
      <c r="O374" s="5">
        <v>27</v>
      </c>
      <c r="P374" s="5">
        <v>30</v>
      </c>
    </row>
    <row r="375" spans="1:16">
      <c r="A375" s="5">
        <v>993</v>
      </c>
      <c r="B375" s="6">
        <v>40588</v>
      </c>
      <c r="C375" s="5">
        <v>1</v>
      </c>
      <c r="D375" s="5">
        <v>0</v>
      </c>
      <c r="E375" s="5">
        <v>2</v>
      </c>
      <c r="F375" s="5">
        <v>0</v>
      </c>
      <c r="G375" s="5" t="b">
        <v>0</v>
      </c>
      <c r="H375" s="5">
        <v>1</v>
      </c>
      <c r="I375" s="5">
        <v>1</v>
      </c>
      <c r="J375" s="5">
        <v>0.38</v>
      </c>
      <c r="K375" s="5">
        <v>0.39389999999999997</v>
      </c>
      <c r="L375" s="5">
        <v>0.37</v>
      </c>
      <c r="M375" s="5">
        <v>0.35820000000000002</v>
      </c>
      <c r="N375" s="5">
        <v>3</v>
      </c>
      <c r="O375" s="5">
        <v>8</v>
      </c>
      <c r="P375" s="5">
        <v>11</v>
      </c>
    </row>
    <row r="376" spans="1:16">
      <c r="A376" s="5">
        <v>994</v>
      </c>
      <c r="B376" s="6">
        <v>40588</v>
      </c>
      <c r="C376" s="5">
        <v>1</v>
      </c>
      <c r="D376" s="5">
        <v>0</v>
      </c>
      <c r="E376" s="5">
        <v>2</v>
      </c>
      <c r="F376" s="5">
        <v>1</v>
      </c>
      <c r="G376" s="5" t="b">
        <v>0</v>
      </c>
      <c r="H376" s="5">
        <v>1</v>
      </c>
      <c r="I376" s="5">
        <v>1</v>
      </c>
      <c r="J376" s="5">
        <v>0.38</v>
      </c>
      <c r="K376" s="5">
        <v>0.39389999999999997</v>
      </c>
      <c r="L376" s="5">
        <v>0.37</v>
      </c>
      <c r="M376" s="5">
        <v>0.35820000000000002</v>
      </c>
      <c r="N376" s="5">
        <v>1</v>
      </c>
      <c r="O376" s="5">
        <v>6</v>
      </c>
      <c r="P376" s="5">
        <v>7</v>
      </c>
    </row>
    <row r="377" spans="1:16">
      <c r="A377" s="5">
        <v>995</v>
      </c>
      <c r="B377" s="6">
        <v>40588</v>
      </c>
      <c r="C377" s="5">
        <v>1</v>
      </c>
      <c r="D377" s="5">
        <v>0</v>
      </c>
      <c r="E377" s="5">
        <v>2</v>
      </c>
      <c r="F377" s="5">
        <v>2</v>
      </c>
      <c r="G377" s="5" t="b">
        <v>0</v>
      </c>
      <c r="H377" s="5">
        <v>1</v>
      </c>
      <c r="I377" s="5">
        <v>1</v>
      </c>
      <c r="J377" s="5">
        <v>0.36</v>
      </c>
      <c r="K377" s="5">
        <v>0.33329999999999999</v>
      </c>
      <c r="L377" s="5">
        <v>0.4</v>
      </c>
      <c r="M377" s="5">
        <v>0.29849999999999999</v>
      </c>
      <c r="N377" s="5">
        <v>0</v>
      </c>
      <c r="O377" s="5">
        <v>2</v>
      </c>
      <c r="P377" s="5">
        <v>2</v>
      </c>
    </row>
    <row r="378" spans="1:16">
      <c r="A378" s="5">
        <v>996</v>
      </c>
      <c r="B378" s="6">
        <v>40588</v>
      </c>
      <c r="C378" s="5">
        <v>1</v>
      </c>
      <c r="D378" s="5">
        <v>0</v>
      </c>
      <c r="E378" s="5">
        <v>2</v>
      </c>
      <c r="F378" s="5">
        <v>3</v>
      </c>
      <c r="G378" s="5" t="b">
        <v>0</v>
      </c>
      <c r="H378" s="5">
        <v>1</v>
      </c>
      <c r="I378" s="5">
        <v>1</v>
      </c>
      <c r="J378" s="5">
        <v>0.34</v>
      </c>
      <c r="K378" s="5">
        <v>0.31819999999999998</v>
      </c>
      <c r="L378" s="5">
        <v>0.46</v>
      </c>
      <c r="M378" s="5">
        <v>0.22389999999999999</v>
      </c>
      <c r="N378" s="5">
        <v>1</v>
      </c>
      <c r="O378" s="5">
        <v>1</v>
      </c>
      <c r="P378" s="5">
        <v>2</v>
      </c>
    </row>
    <row r="379" spans="1:16">
      <c r="A379" s="5">
        <v>997</v>
      </c>
      <c r="B379" s="6">
        <v>40588</v>
      </c>
      <c r="C379" s="5">
        <v>1</v>
      </c>
      <c r="D379" s="5">
        <v>0</v>
      </c>
      <c r="E379" s="5">
        <v>2</v>
      </c>
      <c r="F379" s="5">
        <v>4</v>
      </c>
      <c r="G379" s="5" t="b">
        <v>0</v>
      </c>
      <c r="H379" s="5">
        <v>1</v>
      </c>
      <c r="I379" s="5">
        <v>1</v>
      </c>
      <c r="J379" s="5">
        <v>0.32</v>
      </c>
      <c r="K379" s="5">
        <v>0.30299999999999999</v>
      </c>
      <c r="L379" s="5">
        <v>0.53</v>
      </c>
      <c r="M379" s="5">
        <v>0.28360000000000002</v>
      </c>
      <c r="N379" s="5">
        <v>0</v>
      </c>
      <c r="O379" s="5">
        <v>2</v>
      </c>
      <c r="P379" s="5">
        <v>2</v>
      </c>
    </row>
    <row r="380" spans="1:16">
      <c r="A380" s="5">
        <v>998</v>
      </c>
      <c r="B380" s="6">
        <v>40588</v>
      </c>
      <c r="C380" s="5">
        <v>1</v>
      </c>
      <c r="D380" s="5">
        <v>0</v>
      </c>
      <c r="E380" s="5">
        <v>2</v>
      </c>
      <c r="F380" s="5">
        <v>5</v>
      </c>
      <c r="G380" s="5" t="b">
        <v>0</v>
      </c>
      <c r="H380" s="5">
        <v>1</v>
      </c>
      <c r="I380" s="5">
        <v>1</v>
      </c>
      <c r="J380" s="5">
        <v>0.32</v>
      </c>
      <c r="K380" s="5">
        <v>0.30299999999999999</v>
      </c>
      <c r="L380" s="5">
        <v>0.53</v>
      </c>
      <c r="M380" s="5">
        <v>0.28360000000000002</v>
      </c>
      <c r="N380" s="5">
        <v>0</v>
      </c>
      <c r="O380" s="5">
        <v>3</v>
      </c>
      <c r="P380" s="5">
        <v>3</v>
      </c>
    </row>
    <row r="381" spans="1:16">
      <c r="A381" s="5">
        <v>999</v>
      </c>
      <c r="B381" s="6">
        <v>40588</v>
      </c>
      <c r="C381" s="5">
        <v>1</v>
      </c>
      <c r="D381" s="5">
        <v>0</v>
      </c>
      <c r="E381" s="5">
        <v>2</v>
      </c>
      <c r="F381" s="5">
        <v>6</v>
      </c>
      <c r="G381" s="5" t="b">
        <v>0</v>
      </c>
      <c r="H381" s="5">
        <v>1</v>
      </c>
      <c r="I381" s="5">
        <v>1</v>
      </c>
      <c r="J381" s="5">
        <v>0.34</v>
      </c>
      <c r="K381" s="5">
        <v>0.30299999999999999</v>
      </c>
      <c r="L381" s="5">
        <v>0.46</v>
      </c>
      <c r="M381" s="5">
        <v>0.29849999999999999</v>
      </c>
      <c r="N381" s="5">
        <v>1</v>
      </c>
      <c r="O381" s="5">
        <v>25</v>
      </c>
      <c r="P381" s="5">
        <v>26</v>
      </c>
    </row>
    <row r="382" spans="1:16">
      <c r="A382" s="5">
        <v>1000</v>
      </c>
      <c r="B382" s="6">
        <v>40588</v>
      </c>
      <c r="C382" s="5">
        <v>1</v>
      </c>
      <c r="D382" s="5">
        <v>0</v>
      </c>
      <c r="E382" s="5">
        <v>2</v>
      </c>
      <c r="F382" s="5">
        <v>7</v>
      </c>
      <c r="G382" s="5" t="b">
        <v>0</v>
      </c>
      <c r="H382" s="5">
        <v>1</v>
      </c>
      <c r="I382" s="5">
        <v>1</v>
      </c>
      <c r="J382" s="5">
        <v>0.34</v>
      </c>
      <c r="K382" s="5">
        <v>0.30299999999999999</v>
      </c>
      <c r="L382" s="5">
        <v>0.46</v>
      </c>
      <c r="M382" s="5">
        <v>0.29849999999999999</v>
      </c>
      <c r="N382" s="5">
        <v>2</v>
      </c>
      <c r="O382" s="5">
        <v>96</v>
      </c>
      <c r="P382" s="5">
        <v>98</v>
      </c>
    </row>
    <row r="383" spans="1:16">
      <c r="A383" s="5">
        <v>611</v>
      </c>
      <c r="B383" s="6">
        <v>40571</v>
      </c>
      <c r="C383" s="5">
        <v>1</v>
      </c>
      <c r="D383" s="5">
        <v>0</v>
      </c>
      <c r="E383" s="5">
        <v>1</v>
      </c>
      <c r="F383" s="5">
        <v>16</v>
      </c>
      <c r="G383" s="5" t="b">
        <v>0</v>
      </c>
      <c r="H383" s="5">
        <v>5</v>
      </c>
      <c r="I383" s="5">
        <v>1</v>
      </c>
      <c r="J383" s="5">
        <v>0.22</v>
      </c>
      <c r="K383" s="5">
        <v>0.2727</v>
      </c>
      <c r="L383" s="5">
        <v>0.8</v>
      </c>
      <c r="M383" s="5">
        <v>0</v>
      </c>
      <c r="N383" s="5">
        <v>10</v>
      </c>
      <c r="O383" s="5">
        <v>70</v>
      </c>
      <c r="P383" s="5">
        <v>80</v>
      </c>
    </row>
    <row r="384" spans="1:16">
      <c r="A384" s="5">
        <v>612</v>
      </c>
      <c r="B384" s="6">
        <v>40571</v>
      </c>
      <c r="C384" s="5">
        <v>1</v>
      </c>
      <c r="D384" s="5">
        <v>0</v>
      </c>
      <c r="E384" s="5">
        <v>1</v>
      </c>
      <c r="F384" s="5">
        <v>17</v>
      </c>
      <c r="G384" s="5" t="b">
        <v>0</v>
      </c>
      <c r="H384" s="5">
        <v>5</v>
      </c>
      <c r="I384" s="5">
        <v>1</v>
      </c>
      <c r="J384" s="5">
        <v>0.24</v>
      </c>
      <c r="K384" s="5">
        <v>0.2424</v>
      </c>
      <c r="L384" s="5">
        <v>0.75</v>
      </c>
      <c r="M384" s="5">
        <v>0.1343</v>
      </c>
      <c r="N384" s="5">
        <v>2</v>
      </c>
      <c r="O384" s="5">
        <v>147</v>
      </c>
      <c r="P384" s="5">
        <v>149</v>
      </c>
    </row>
    <row r="385" spans="1:16">
      <c r="A385" s="5">
        <v>613</v>
      </c>
      <c r="B385" s="6">
        <v>40571</v>
      </c>
      <c r="C385" s="5">
        <v>1</v>
      </c>
      <c r="D385" s="5">
        <v>0</v>
      </c>
      <c r="E385" s="5">
        <v>1</v>
      </c>
      <c r="F385" s="5">
        <v>18</v>
      </c>
      <c r="G385" s="5" t="b">
        <v>0</v>
      </c>
      <c r="H385" s="5">
        <v>5</v>
      </c>
      <c r="I385" s="5">
        <v>1</v>
      </c>
      <c r="J385" s="5">
        <v>0.24</v>
      </c>
      <c r="K385" s="5">
        <v>0.2273</v>
      </c>
      <c r="L385" s="5">
        <v>0.75</v>
      </c>
      <c r="M385" s="5">
        <v>0.19400000000000001</v>
      </c>
      <c r="N385" s="5">
        <v>2</v>
      </c>
      <c r="O385" s="5">
        <v>107</v>
      </c>
      <c r="P385" s="5">
        <v>109</v>
      </c>
    </row>
    <row r="386" spans="1:16">
      <c r="A386" s="5">
        <v>614</v>
      </c>
      <c r="B386" s="6">
        <v>40571</v>
      </c>
      <c r="C386" s="5">
        <v>1</v>
      </c>
      <c r="D386" s="5">
        <v>0</v>
      </c>
      <c r="E386" s="5">
        <v>1</v>
      </c>
      <c r="F386" s="5">
        <v>19</v>
      </c>
      <c r="G386" s="5" t="b">
        <v>0</v>
      </c>
      <c r="H386" s="5">
        <v>5</v>
      </c>
      <c r="I386" s="5">
        <v>2</v>
      </c>
      <c r="J386" s="5">
        <v>0.24</v>
      </c>
      <c r="K386" s="5">
        <v>0.2424</v>
      </c>
      <c r="L386" s="5">
        <v>0.75</v>
      </c>
      <c r="M386" s="5">
        <v>0.1343</v>
      </c>
      <c r="N386" s="5">
        <v>5</v>
      </c>
      <c r="O386" s="5">
        <v>84</v>
      </c>
      <c r="P386" s="5">
        <v>89</v>
      </c>
    </row>
    <row r="387" spans="1:16">
      <c r="A387" s="5">
        <v>615</v>
      </c>
      <c r="B387" s="6">
        <v>40571</v>
      </c>
      <c r="C387" s="5">
        <v>1</v>
      </c>
      <c r="D387" s="5">
        <v>0</v>
      </c>
      <c r="E387" s="5">
        <v>1</v>
      </c>
      <c r="F387" s="5">
        <v>20</v>
      </c>
      <c r="G387" s="5" t="b">
        <v>0</v>
      </c>
      <c r="H387" s="5">
        <v>5</v>
      </c>
      <c r="I387" s="5">
        <v>2</v>
      </c>
      <c r="J387" s="5">
        <v>0.24</v>
      </c>
      <c r="K387" s="5">
        <v>0.2273</v>
      </c>
      <c r="L387" s="5">
        <v>0.7</v>
      </c>
      <c r="M387" s="5">
        <v>0.19400000000000001</v>
      </c>
      <c r="N387" s="5">
        <v>1</v>
      </c>
      <c r="O387" s="5">
        <v>61</v>
      </c>
      <c r="P387" s="5">
        <v>62</v>
      </c>
    </row>
    <row r="388" spans="1:16">
      <c r="A388" s="5">
        <v>616</v>
      </c>
      <c r="B388" s="6">
        <v>40571</v>
      </c>
      <c r="C388" s="5">
        <v>1</v>
      </c>
      <c r="D388" s="5">
        <v>0</v>
      </c>
      <c r="E388" s="5">
        <v>1</v>
      </c>
      <c r="F388" s="5">
        <v>21</v>
      </c>
      <c r="G388" s="5" t="b">
        <v>0</v>
      </c>
      <c r="H388" s="5">
        <v>5</v>
      </c>
      <c r="I388" s="5">
        <v>2</v>
      </c>
      <c r="J388" s="5">
        <v>0.22</v>
      </c>
      <c r="K388" s="5">
        <v>0.2273</v>
      </c>
      <c r="L388" s="5">
        <v>0.75</v>
      </c>
      <c r="M388" s="5">
        <v>0.1343</v>
      </c>
      <c r="N388" s="5">
        <v>1</v>
      </c>
      <c r="O388" s="5">
        <v>57</v>
      </c>
      <c r="P388" s="5">
        <v>58</v>
      </c>
    </row>
    <row r="389" spans="1:16">
      <c r="A389" s="5">
        <v>617</v>
      </c>
      <c r="B389" s="6">
        <v>40571</v>
      </c>
      <c r="C389" s="5">
        <v>1</v>
      </c>
      <c r="D389" s="5">
        <v>0</v>
      </c>
      <c r="E389" s="5">
        <v>1</v>
      </c>
      <c r="F389" s="5">
        <v>22</v>
      </c>
      <c r="G389" s="5" t="b">
        <v>0</v>
      </c>
      <c r="H389" s="5">
        <v>5</v>
      </c>
      <c r="I389" s="5">
        <v>1</v>
      </c>
      <c r="J389" s="5">
        <v>0.24</v>
      </c>
      <c r="K389" s="5">
        <v>0.21210000000000001</v>
      </c>
      <c r="L389" s="5">
        <v>0.65</v>
      </c>
      <c r="M389" s="5">
        <v>0.35820000000000002</v>
      </c>
      <c r="N389" s="5">
        <v>0</v>
      </c>
      <c r="O389" s="5">
        <v>26</v>
      </c>
      <c r="P389" s="5">
        <v>26</v>
      </c>
    </row>
    <row r="390" spans="1:16">
      <c r="A390" s="5">
        <v>618</v>
      </c>
      <c r="B390" s="6">
        <v>40571</v>
      </c>
      <c r="C390" s="5">
        <v>1</v>
      </c>
      <c r="D390" s="5">
        <v>0</v>
      </c>
      <c r="E390" s="5">
        <v>1</v>
      </c>
      <c r="F390" s="5">
        <v>23</v>
      </c>
      <c r="G390" s="5" t="b">
        <v>0</v>
      </c>
      <c r="H390" s="5">
        <v>5</v>
      </c>
      <c r="I390" s="5">
        <v>1</v>
      </c>
      <c r="J390" s="5">
        <v>0.24</v>
      </c>
      <c r="K390" s="5">
        <v>0.2273</v>
      </c>
      <c r="L390" s="5">
        <v>0.6</v>
      </c>
      <c r="M390" s="5">
        <v>0.22389999999999999</v>
      </c>
      <c r="N390" s="5">
        <v>1</v>
      </c>
      <c r="O390" s="5">
        <v>22</v>
      </c>
      <c r="P390" s="5">
        <v>23</v>
      </c>
    </row>
    <row r="391" spans="1:16">
      <c r="A391" s="5">
        <v>619</v>
      </c>
      <c r="B391" s="6">
        <v>40572</v>
      </c>
      <c r="C391" s="5">
        <v>1</v>
      </c>
      <c r="D391" s="5">
        <v>0</v>
      </c>
      <c r="E391" s="5">
        <v>1</v>
      </c>
      <c r="F391" s="5">
        <v>0</v>
      </c>
      <c r="G391" s="5" t="b">
        <v>0</v>
      </c>
      <c r="H391" s="5">
        <v>6</v>
      </c>
      <c r="I391" s="5">
        <v>1</v>
      </c>
      <c r="J391" s="5">
        <v>0.22</v>
      </c>
      <c r="K391" s="5">
        <v>0.19700000000000001</v>
      </c>
      <c r="L391" s="5">
        <v>0.64</v>
      </c>
      <c r="M391" s="5">
        <v>0.35820000000000002</v>
      </c>
      <c r="N391" s="5">
        <v>2</v>
      </c>
      <c r="O391" s="5">
        <v>26</v>
      </c>
      <c r="P391" s="5">
        <v>28</v>
      </c>
    </row>
  </sheetData>
  <mergeCells count="2">
    <mergeCell ref="T2:U2"/>
    <mergeCell ref="T19:U19"/>
  </mergeCells>
  <pageMargins left="0.7" right="0.7" top="0.75" bottom="0.75" header="0.3" footer="0.3"/>
  <pageSetup orientation="portrait" r:id="rId1"/>
  <tableParts count="3">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01"/>
  <sheetViews>
    <sheetView topLeftCell="C1" zoomScaleNormal="100" workbookViewId="0">
      <selection activeCell="N4" sqref="N4"/>
    </sheetView>
  </sheetViews>
  <sheetFormatPr defaultRowHeight="14.5"/>
  <cols>
    <col min="1" max="1" width="6" customWidth="1"/>
    <col min="2" max="2" width="10.90625" bestFit="1" customWidth="1"/>
    <col min="3" max="3" width="7.26953125" customWidth="1"/>
    <col min="4" max="4" width="9.36328125" customWidth="1"/>
    <col min="5" max="5" width="10.90625" customWidth="1"/>
    <col min="6" max="6" width="12.453125" customWidth="1"/>
    <col min="7" max="7" width="14.08984375" customWidth="1"/>
    <col min="8" max="8" width="16.26953125" customWidth="1"/>
    <col min="9" max="9" width="10.54296875" customWidth="1"/>
    <col min="10" max="10" width="12.54296875" customWidth="1"/>
    <col min="11" max="11" width="8.54296875" customWidth="1"/>
    <col min="12" max="12" width="11.90625" customWidth="1"/>
    <col min="13" max="13" width="8.1796875" customWidth="1"/>
    <col min="14" max="14" width="10.453125" bestFit="1" customWidth="1"/>
    <col min="15" max="15" width="27.26953125" bestFit="1" customWidth="1"/>
    <col min="16" max="16" width="24.26953125" bestFit="1" customWidth="1"/>
    <col min="17" max="17" width="15.1796875" bestFit="1" customWidth="1"/>
    <col min="18" max="18" width="24.453125" bestFit="1" customWidth="1"/>
    <col min="19" max="19" width="61.81640625" bestFit="1" customWidth="1"/>
    <col min="20" max="20" width="15.1796875" bestFit="1" customWidth="1"/>
    <col min="21" max="21" width="26.36328125" bestFit="1" customWidth="1"/>
    <col min="22" max="23" width="10.26953125" customWidth="1"/>
    <col min="24" max="24" width="26.453125" bestFit="1" customWidth="1"/>
    <col min="25" max="25" width="10.453125" customWidth="1"/>
  </cols>
  <sheetData>
    <row r="1" spans="1:22" ht="15" thickBot="1">
      <c r="A1" s="22" t="s">
        <v>29</v>
      </c>
      <c r="B1" s="22" t="s">
        <v>30</v>
      </c>
      <c r="C1" s="22" t="s">
        <v>19</v>
      </c>
      <c r="D1" s="22" t="s">
        <v>18</v>
      </c>
      <c r="E1" s="22" t="s">
        <v>17</v>
      </c>
      <c r="F1" s="22" t="s">
        <v>16</v>
      </c>
      <c r="G1" s="22" t="s">
        <v>31</v>
      </c>
      <c r="H1" s="22" t="s">
        <v>32</v>
      </c>
      <c r="I1" s="22" t="s">
        <v>33</v>
      </c>
      <c r="J1" s="22" t="s">
        <v>25</v>
      </c>
      <c r="K1" s="22" t="s">
        <v>26</v>
      </c>
      <c r="L1" s="22" t="s">
        <v>27</v>
      </c>
      <c r="M1" s="22" t="s">
        <v>12</v>
      </c>
    </row>
    <row r="2" spans="1:22" ht="21.5" thickBot="1">
      <c r="A2" s="9">
        <v>1</v>
      </c>
      <c r="B2" s="10">
        <v>40544</v>
      </c>
      <c r="C2" s="9">
        <v>0</v>
      </c>
      <c r="D2" s="9" t="b">
        <v>0</v>
      </c>
      <c r="E2" s="9" t="str">
        <f>IF(WEEKDAY(B2,2)&gt;=6,"Weekend","Weekday")</f>
        <v>Weekend</v>
      </c>
      <c r="F2" s="9">
        <v>1</v>
      </c>
      <c r="G2" s="9">
        <v>0.24</v>
      </c>
      <c r="H2" s="9">
        <v>0.28789999999999999</v>
      </c>
      <c r="I2" s="9">
        <v>0.81</v>
      </c>
      <c r="J2" s="9">
        <v>0</v>
      </c>
      <c r="K2" s="9">
        <v>3</v>
      </c>
      <c r="L2" s="9">
        <v>13</v>
      </c>
      <c r="M2" s="9">
        <v>16</v>
      </c>
      <c r="P2" s="53" t="s">
        <v>77</v>
      </c>
      <c r="Q2" s="54"/>
      <c r="R2" s="55"/>
      <c r="S2" s="19"/>
      <c r="T2" s="19"/>
      <c r="U2" s="19"/>
      <c r="V2" s="20"/>
    </row>
    <row r="3" spans="1:22">
      <c r="A3" s="9">
        <v>2</v>
      </c>
      <c r="B3" s="10">
        <v>40544</v>
      </c>
      <c r="C3" s="9">
        <v>1</v>
      </c>
      <c r="D3" s="9" t="b">
        <v>0</v>
      </c>
      <c r="E3" s="9" t="str">
        <f t="shared" ref="E3:E66" si="0">IF(WEEKDAY(B3,2)&gt;=6,"Weekend","Weekday")</f>
        <v>Weekend</v>
      </c>
      <c r="F3" s="9">
        <v>1</v>
      </c>
      <c r="G3" s="9">
        <v>0.22</v>
      </c>
      <c r="H3" s="9">
        <v>0.2727</v>
      </c>
      <c r="I3" s="9">
        <v>0.8</v>
      </c>
      <c r="J3" s="9">
        <v>0</v>
      </c>
      <c r="K3" s="9">
        <v>8</v>
      </c>
      <c r="L3" s="9">
        <v>32</v>
      </c>
      <c r="M3" s="9">
        <v>40</v>
      </c>
    </row>
    <row r="4" spans="1:22">
      <c r="A4" s="9">
        <v>3</v>
      </c>
      <c r="B4" s="10">
        <v>40544</v>
      </c>
      <c r="C4" s="9">
        <v>2</v>
      </c>
      <c r="D4" s="9" t="b">
        <v>0</v>
      </c>
      <c r="E4" s="9" t="str">
        <f t="shared" si="0"/>
        <v>Weekend</v>
      </c>
      <c r="F4" s="9">
        <v>1</v>
      </c>
      <c r="G4" s="9">
        <v>0.22</v>
      </c>
      <c r="H4" s="9">
        <v>0.2727</v>
      </c>
      <c r="I4" s="9">
        <v>0.8</v>
      </c>
      <c r="J4" s="9">
        <v>0</v>
      </c>
      <c r="K4" s="9">
        <v>5</v>
      </c>
      <c r="L4" s="9">
        <v>27</v>
      </c>
      <c r="M4" s="9">
        <v>32</v>
      </c>
    </row>
    <row r="5" spans="1:22" ht="21">
      <c r="A5" s="9">
        <v>4</v>
      </c>
      <c r="B5" s="10">
        <v>40544</v>
      </c>
      <c r="C5" s="9">
        <v>3</v>
      </c>
      <c r="D5" s="9" t="b">
        <v>0</v>
      </c>
      <c r="E5" s="9" t="str">
        <f t="shared" si="0"/>
        <v>Weekend</v>
      </c>
      <c r="F5" s="9">
        <v>1</v>
      </c>
      <c r="G5" s="9">
        <v>0.24</v>
      </c>
      <c r="H5" s="9">
        <v>0.28789999999999999</v>
      </c>
      <c r="I5" s="9">
        <v>0.75</v>
      </c>
      <c r="J5" s="9">
        <v>0</v>
      </c>
      <c r="K5" s="9">
        <v>3</v>
      </c>
      <c r="L5" s="9">
        <v>10</v>
      </c>
      <c r="M5" s="9">
        <v>13</v>
      </c>
      <c r="O5" s="15" t="s">
        <v>62</v>
      </c>
      <c r="P5" t="s">
        <v>5</v>
      </c>
      <c r="R5" s="16" t="s">
        <v>78</v>
      </c>
      <c r="S5" s="18" t="s">
        <v>79</v>
      </c>
      <c r="T5" s="17" t="s">
        <v>80</v>
      </c>
    </row>
    <row r="6" spans="1:22" ht="15.5">
      <c r="A6" s="9">
        <v>5</v>
      </c>
      <c r="B6" s="10">
        <v>40544</v>
      </c>
      <c r="C6" s="9">
        <v>4</v>
      </c>
      <c r="D6" s="9" t="b">
        <v>0</v>
      </c>
      <c r="E6" s="9" t="str">
        <f t="shared" si="0"/>
        <v>Weekend</v>
      </c>
      <c r="F6" s="9">
        <v>1</v>
      </c>
      <c r="G6" s="9">
        <v>0.24</v>
      </c>
      <c r="H6" s="9">
        <v>0.28789999999999999</v>
      </c>
      <c r="I6" s="9">
        <v>0.75</v>
      </c>
      <c r="J6" s="9">
        <v>0</v>
      </c>
      <c r="K6" s="9">
        <v>0</v>
      </c>
      <c r="L6" s="9">
        <v>1</v>
      </c>
      <c r="M6" s="9">
        <v>1</v>
      </c>
      <c r="O6" s="12" t="s">
        <v>65</v>
      </c>
      <c r="P6">
        <f>SUM(Table5[Casual])</f>
        <v>4921</v>
      </c>
      <c r="R6" t="s">
        <v>81</v>
      </c>
      <c r="S6" t="s">
        <v>82</v>
      </c>
      <c r="T6">
        <f>COUNTIF(Table5[Count],"&gt;100")</f>
        <v>170</v>
      </c>
    </row>
    <row r="7" spans="1:22" ht="15.5">
      <c r="A7" s="9">
        <v>6</v>
      </c>
      <c r="B7" s="10">
        <v>40544</v>
      </c>
      <c r="C7" s="9">
        <v>5</v>
      </c>
      <c r="D7" s="9" t="b">
        <v>0</v>
      </c>
      <c r="E7" s="9" t="str">
        <f t="shared" si="0"/>
        <v>Weekend</v>
      </c>
      <c r="F7" s="9">
        <v>2</v>
      </c>
      <c r="G7" s="9">
        <v>0.24</v>
      </c>
      <c r="H7" s="9">
        <v>0.2576</v>
      </c>
      <c r="I7" s="9">
        <v>0.75</v>
      </c>
      <c r="J7" s="9">
        <v>8.9599999999999999E-2</v>
      </c>
      <c r="K7" s="9">
        <v>0</v>
      </c>
      <c r="L7" s="9">
        <v>1</v>
      </c>
      <c r="M7" s="9">
        <v>1</v>
      </c>
      <c r="O7" s="12" t="s">
        <v>66</v>
      </c>
      <c r="P7">
        <f>SUM(Table5[Registered])</f>
        <v>53383</v>
      </c>
      <c r="R7" t="s">
        <v>83</v>
      </c>
      <c r="S7" t="s">
        <v>84</v>
      </c>
      <c r="T7">
        <f>SUMIF(M2:M1001,"&gt;100",M2:M1001)</f>
        <v>25164</v>
      </c>
    </row>
    <row r="8" spans="1:22" ht="15.5">
      <c r="A8" s="9">
        <v>7</v>
      </c>
      <c r="B8" s="10">
        <v>40544</v>
      </c>
      <c r="C8" s="9">
        <v>6</v>
      </c>
      <c r="D8" s="9" t="b">
        <v>0</v>
      </c>
      <c r="E8" s="9" t="str">
        <f t="shared" si="0"/>
        <v>Weekend</v>
      </c>
      <c r="F8" s="9">
        <v>1</v>
      </c>
      <c r="G8" s="9">
        <v>0.22</v>
      </c>
      <c r="H8" s="9">
        <v>0.2727</v>
      </c>
      <c r="I8" s="9">
        <v>0.8</v>
      </c>
      <c r="J8" s="9">
        <v>0</v>
      </c>
      <c r="K8" s="9">
        <v>2</v>
      </c>
      <c r="L8" s="9">
        <v>0</v>
      </c>
      <c r="M8" s="9">
        <v>2</v>
      </c>
      <c r="O8" s="12" t="s">
        <v>61</v>
      </c>
      <c r="P8">
        <f>SUM(Table5[Count])</f>
        <v>58304</v>
      </c>
      <c r="R8" t="s">
        <v>85</v>
      </c>
      <c r="S8" t="s">
        <v>86</v>
      </c>
      <c r="T8">
        <f>_xlfn.STDEV.S(M2:M1001)</f>
        <v>50.985557867999354</v>
      </c>
    </row>
    <row r="9" spans="1:22">
      <c r="A9" s="9">
        <v>8</v>
      </c>
      <c r="B9" s="10">
        <v>40544</v>
      </c>
      <c r="C9" s="9">
        <v>7</v>
      </c>
      <c r="D9" s="9" t="b">
        <v>0</v>
      </c>
      <c r="E9" s="9" t="str">
        <f t="shared" si="0"/>
        <v>Weekend</v>
      </c>
      <c r="F9" s="9">
        <v>1</v>
      </c>
      <c r="G9" s="9">
        <v>0.2</v>
      </c>
      <c r="H9" s="9">
        <v>0.2576</v>
      </c>
      <c r="I9" s="9">
        <v>0.86</v>
      </c>
      <c r="J9" s="9">
        <v>0</v>
      </c>
      <c r="K9" s="9">
        <v>1</v>
      </c>
      <c r="L9" s="9">
        <v>2</v>
      </c>
      <c r="M9" s="9">
        <v>3</v>
      </c>
      <c r="R9" t="s">
        <v>87</v>
      </c>
      <c r="S9" t="s">
        <v>88</v>
      </c>
      <c r="T9">
        <f>CORREL(K2:K1001,L2:L1001)</f>
        <v>0.33770561189314979</v>
      </c>
    </row>
    <row r="10" spans="1:22">
      <c r="A10" s="9">
        <v>9</v>
      </c>
      <c r="B10" s="10">
        <v>40544</v>
      </c>
      <c r="C10" s="9">
        <v>8</v>
      </c>
      <c r="D10" s="9" t="b">
        <v>0</v>
      </c>
      <c r="E10" s="9" t="str">
        <f t="shared" si="0"/>
        <v>Weekend</v>
      </c>
      <c r="F10" s="9">
        <v>1</v>
      </c>
      <c r="G10" s="9">
        <v>0.24</v>
      </c>
      <c r="H10" s="44">
        <v>0</v>
      </c>
      <c r="I10" s="9">
        <v>0.75</v>
      </c>
      <c r="J10" s="9">
        <v>0</v>
      </c>
      <c r="K10" s="9">
        <v>1</v>
      </c>
      <c r="L10" s="9">
        <v>7</v>
      </c>
      <c r="M10" s="9">
        <v>8</v>
      </c>
    </row>
    <row r="11" spans="1:22">
      <c r="A11" s="9">
        <v>10</v>
      </c>
      <c r="B11" s="10">
        <v>40544</v>
      </c>
      <c r="C11" s="9">
        <v>9</v>
      </c>
      <c r="D11" s="9" t="b">
        <v>0</v>
      </c>
      <c r="E11" s="9" t="str">
        <f t="shared" si="0"/>
        <v>Weekend</v>
      </c>
      <c r="F11" s="9">
        <v>1</v>
      </c>
      <c r="G11" s="9">
        <v>0.32</v>
      </c>
      <c r="H11" s="9">
        <v>0.34849999999999998</v>
      </c>
      <c r="I11" s="9">
        <v>0.76</v>
      </c>
      <c r="J11" s="9">
        <v>0</v>
      </c>
      <c r="K11" s="9">
        <v>8</v>
      </c>
      <c r="L11" s="9">
        <v>6</v>
      </c>
      <c r="M11" s="9">
        <v>14</v>
      </c>
      <c r="O11" t="s">
        <v>68</v>
      </c>
      <c r="P11" t="s">
        <v>5</v>
      </c>
    </row>
    <row r="12" spans="1:22" ht="18.5">
      <c r="A12" s="9">
        <v>11</v>
      </c>
      <c r="B12" s="10">
        <v>40544</v>
      </c>
      <c r="C12" s="9">
        <v>10</v>
      </c>
      <c r="D12" s="9" t="b">
        <v>0</v>
      </c>
      <c r="E12" s="9" t="str">
        <f t="shared" si="0"/>
        <v>Weekend</v>
      </c>
      <c r="F12" s="9">
        <v>1</v>
      </c>
      <c r="G12" s="9">
        <v>0.38</v>
      </c>
      <c r="H12" s="9">
        <v>0.39389999999999997</v>
      </c>
      <c r="I12" s="9">
        <v>0.76</v>
      </c>
      <c r="J12" s="9">
        <v>0.25369999999999998</v>
      </c>
      <c r="K12" s="9">
        <v>12</v>
      </c>
      <c r="L12" s="9">
        <v>24</v>
      </c>
      <c r="M12" s="9">
        <v>36</v>
      </c>
      <c r="O12" s="12" t="s">
        <v>63</v>
      </c>
      <c r="P12">
        <f>AVERAGE(Table5[Casual])</f>
        <v>4.9210000000000003</v>
      </c>
      <c r="R12" s="18"/>
      <c r="S12" s="18"/>
    </row>
    <row r="13" spans="1:22" ht="15.5">
      <c r="A13" s="9">
        <v>12</v>
      </c>
      <c r="B13" s="10">
        <v>40544</v>
      </c>
      <c r="C13" s="9">
        <v>11</v>
      </c>
      <c r="D13" s="9" t="b">
        <v>0</v>
      </c>
      <c r="E13" s="9" t="str">
        <f t="shared" si="0"/>
        <v>Weekend</v>
      </c>
      <c r="F13" s="9">
        <v>1</v>
      </c>
      <c r="G13" s="9">
        <v>0.36</v>
      </c>
      <c r="H13" s="9">
        <v>0.33329999999999999</v>
      </c>
      <c r="I13" s="9">
        <v>0.81</v>
      </c>
      <c r="J13" s="9">
        <v>0.28360000000000002</v>
      </c>
      <c r="K13" s="9">
        <v>26</v>
      </c>
      <c r="L13" s="9">
        <v>30</v>
      </c>
      <c r="M13" s="9">
        <v>56</v>
      </c>
      <c r="O13" s="12" t="s">
        <v>64</v>
      </c>
      <c r="P13">
        <f>AVERAGE(Table5[Registered])</f>
        <v>53.383000000000003</v>
      </c>
    </row>
    <row r="14" spans="1:22" ht="15.5">
      <c r="A14" s="9">
        <v>13</v>
      </c>
      <c r="B14" s="10">
        <v>40544</v>
      </c>
      <c r="C14" s="9">
        <v>12</v>
      </c>
      <c r="D14" s="9" t="b">
        <v>0</v>
      </c>
      <c r="E14" s="9" t="str">
        <f t="shared" si="0"/>
        <v>Weekend</v>
      </c>
      <c r="F14" s="9">
        <v>1</v>
      </c>
      <c r="G14" s="9">
        <v>0.42</v>
      </c>
      <c r="H14" s="9">
        <v>0.42420000000000002</v>
      </c>
      <c r="I14" s="9">
        <v>0.77</v>
      </c>
      <c r="J14" s="9">
        <v>0.28360000000000002</v>
      </c>
      <c r="K14" s="9">
        <v>29</v>
      </c>
      <c r="L14" s="9">
        <v>55</v>
      </c>
      <c r="M14" s="9">
        <v>84</v>
      </c>
      <c r="O14" s="12" t="s">
        <v>67</v>
      </c>
      <c r="P14">
        <f>AVERAGE(Table5[Count])</f>
        <v>58.304000000000002</v>
      </c>
    </row>
    <row r="15" spans="1:22">
      <c r="A15" s="9">
        <v>14</v>
      </c>
      <c r="B15" s="10">
        <v>40544</v>
      </c>
      <c r="C15" s="9">
        <v>13</v>
      </c>
      <c r="D15" s="9" t="b">
        <v>0</v>
      </c>
      <c r="E15" s="9" t="str">
        <f t="shared" si="0"/>
        <v>Weekend</v>
      </c>
      <c r="F15" s="9">
        <v>2</v>
      </c>
      <c r="G15" s="9">
        <v>0.46</v>
      </c>
      <c r="H15" s="9">
        <v>0.45450000000000002</v>
      </c>
      <c r="I15" s="9">
        <v>0.72</v>
      </c>
      <c r="J15" s="9">
        <v>0.29849999999999999</v>
      </c>
      <c r="K15" s="9">
        <v>47</v>
      </c>
      <c r="L15" s="9">
        <v>47</v>
      </c>
      <c r="M15" s="9">
        <v>94</v>
      </c>
    </row>
    <row r="16" spans="1:22">
      <c r="A16" s="9">
        <v>15</v>
      </c>
      <c r="B16" s="10">
        <v>40544</v>
      </c>
      <c r="C16" s="9">
        <v>14</v>
      </c>
      <c r="D16" s="9" t="b">
        <v>0</v>
      </c>
      <c r="E16" s="9" t="str">
        <f t="shared" si="0"/>
        <v>Weekend</v>
      </c>
      <c r="F16" s="9">
        <v>2</v>
      </c>
      <c r="G16" s="9">
        <v>0.46</v>
      </c>
      <c r="H16" s="9">
        <v>0.45450000000000002</v>
      </c>
      <c r="I16" s="9">
        <v>0.72</v>
      </c>
      <c r="J16" s="9">
        <v>0.28360000000000002</v>
      </c>
      <c r="K16" s="9">
        <v>35</v>
      </c>
      <c r="L16" s="9">
        <v>71</v>
      </c>
      <c r="M16" s="9">
        <v>106</v>
      </c>
    </row>
    <row r="17" spans="1:16" ht="15.5">
      <c r="A17" s="9">
        <v>16</v>
      </c>
      <c r="B17" s="10">
        <v>40544</v>
      </c>
      <c r="C17" s="9">
        <v>15</v>
      </c>
      <c r="D17" s="9" t="b">
        <v>0</v>
      </c>
      <c r="E17" s="9" t="str">
        <f t="shared" si="0"/>
        <v>Weekend</v>
      </c>
      <c r="F17" s="9">
        <v>2</v>
      </c>
      <c r="G17" s="9">
        <v>0.44</v>
      </c>
      <c r="H17" s="9">
        <v>0.43940000000000001</v>
      </c>
      <c r="I17" s="9">
        <v>0.77</v>
      </c>
      <c r="J17" s="9">
        <v>0.29849999999999999</v>
      </c>
      <c r="K17" s="9">
        <v>40</v>
      </c>
      <c r="L17" s="9">
        <v>70</v>
      </c>
      <c r="M17" s="9">
        <v>110</v>
      </c>
      <c r="O17" s="15" t="s">
        <v>72</v>
      </c>
      <c r="P17" t="s">
        <v>5</v>
      </c>
    </row>
    <row r="18" spans="1:16" ht="15.5">
      <c r="A18" s="9">
        <v>17</v>
      </c>
      <c r="B18" s="10">
        <v>40544</v>
      </c>
      <c r="C18" s="9">
        <v>16</v>
      </c>
      <c r="D18" s="9" t="b">
        <v>0</v>
      </c>
      <c r="E18" s="9" t="str">
        <f t="shared" si="0"/>
        <v>Weekend</v>
      </c>
      <c r="F18" s="9">
        <v>2</v>
      </c>
      <c r="G18" s="9">
        <v>0.42</v>
      </c>
      <c r="H18" s="9">
        <v>0.42420000000000002</v>
      </c>
      <c r="I18" s="9">
        <v>0.82</v>
      </c>
      <c r="J18" s="9">
        <v>0.29849999999999999</v>
      </c>
      <c r="K18" s="9">
        <v>41</v>
      </c>
      <c r="L18" s="9">
        <v>52</v>
      </c>
      <c r="M18" s="9">
        <v>93</v>
      </c>
      <c r="O18" s="12" t="s">
        <v>71</v>
      </c>
      <c r="P18">
        <f>MAX(Table5[Casual])</f>
        <v>62</v>
      </c>
    </row>
    <row r="19" spans="1:16" ht="15.5">
      <c r="A19" s="9">
        <v>18</v>
      </c>
      <c r="B19" s="10">
        <v>40544</v>
      </c>
      <c r="C19" s="9">
        <v>17</v>
      </c>
      <c r="D19" s="9" t="b">
        <v>0</v>
      </c>
      <c r="E19" s="9" t="str">
        <f t="shared" si="0"/>
        <v>Weekend</v>
      </c>
      <c r="F19" s="9">
        <v>2</v>
      </c>
      <c r="G19" s="9">
        <v>0.44</v>
      </c>
      <c r="H19" s="43">
        <v>0</v>
      </c>
      <c r="I19" s="9">
        <v>0.82</v>
      </c>
      <c r="J19" s="9">
        <v>0.28360000000000002</v>
      </c>
      <c r="K19" s="9">
        <v>15</v>
      </c>
      <c r="L19" s="9">
        <v>52</v>
      </c>
      <c r="M19" s="9">
        <v>67</v>
      </c>
      <c r="O19" s="12" t="s">
        <v>70</v>
      </c>
      <c r="P19">
        <f>MAX(Table5[Registered])</f>
        <v>247</v>
      </c>
    </row>
    <row r="20" spans="1:16" ht="15.5">
      <c r="A20" s="9">
        <v>19</v>
      </c>
      <c r="B20" s="10">
        <v>40544</v>
      </c>
      <c r="C20" s="9">
        <v>18</v>
      </c>
      <c r="D20" s="9" t="b">
        <v>0</v>
      </c>
      <c r="E20" s="9" t="str">
        <f t="shared" si="0"/>
        <v>Weekend</v>
      </c>
      <c r="F20" s="9">
        <v>3</v>
      </c>
      <c r="G20" s="9">
        <v>0.42</v>
      </c>
      <c r="H20" s="9">
        <v>0.42420000000000002</v>
      </c>
      <c r="I20" s="9">
        <v>0.88</v>
      </c>
      <c r="J20" s="9">
        <v>0.25369999999999998</v>
      </c>
      <c r="K20" s="9">
        <v>9</v>
      </c>
      <c r="L20" s="9">
        <v>26</v>
      </c>
      <c r="M20" s="9">
        <v>35</v>
      </c>
      <c r="O20" s="12" t="s">
        <v>69</v>
      </c>
      <c r="P20">
        <f>MAX(Table5[Count])</f>
        <v>249</v>
      </c>
    </row>
    <row r="21" spans="1:16">
      <c r="A21" s="9">
        <v>20</v>
      </c>
      <c r="B21" s="10">
        <v>40544</v>
      </c>
      <c r="C21" s="9">
        <v>19</v>
      </c>
      <c r="D21" s="9" t="b">
        <v>0</v>
      </c>
      <c r="E21" s="9" t="str">
        <f t="shared" si="0"/>
        <v>Weekend</v>
      </c>
      <c r="F21" s="9">
        <v>3</v>
      </c>
      <c r="G21" s="9">
        <v>0.42</v>
      </c>
      <c r="H21" s="9">
        <v>0.42420000000000002</v>
      </c>
      <c r="I21" s="9">
        <v>0.88</v>
      </c>
      <c r="J21" s="9">
        <v>0.25369999999999998</v>
      </c>
      <c r="K21" s="9">
        <v>6</v>
      </c>
      <c r="L21" s="9">
        <v>31</v>
      </c>
      <c r="M21" s="9">
        <v>37</v>
      </c>
    </row>
    <row r="22" spans="1:16">
      <c r="A22" s="9">
        <v>21</v>
      </c>
      <c r="B22" s="10">
        <v>40544</v>
      </c>
      <c r="C22" s="9">
        <v>20</v>
      </c>
      <c r="D22" s="9" t="b">
        <v>0</v>
      </c>
      <c r="E22" s="9" t="str">
        <f t="shared" si="0"/>
        <v>Weekend</v>
      </c>
      <c r="F22" s="9">
        <v>2</v>
      </c>
      <c r="G22" s="9">
        <v>0.4</v>
      </c>
      <c r="H22" s="9">
        <v>0.40910000000000002</v>
      </c>
      <c r="I22" s="9">
        <v>0.87</v>
      </c>
      <c r="J22" s="9">
        <v>0.25369999999999998</v>
      </c>
      <c r="K22" s="9">
        <v>11</v>
      </c>
      <c r="L22" s="9">
        <v>25</v>
      </c>
      <c r="M22" s="9">
        <v>36</v>
      </c>
    </row>
    <row r="23" spans="1:16">
      <c r="A23" s="9">
        <v>22</v>
      </c>
      <c r="B23" s="10">
        <v>40544</v>
      </c>
      <c r="C23" s="9">
        <v>21</v>
      </c>
      <c r="D23" s="9" t="b">
        <v>0</v>
      </c>
      <c r="E23" s="9" t="str">
        <f t="shared" si="0"/>
        <v>Weekend</v>
      </c>
      <c r="F23" s="9">
        <v>2</v>
      </c>
      <c r="G23" s="9">
        <v>0.4</v>
      </c>
      <c r="H23" s="9">
        <v>0.40910000000000002</v>
      </c>
      <c r="I23" s="9">
        <v>0.87</v>
      </c>
      <c r="J23" s="9">
        <v>0.19400000000000001</v>
      </c>
      <c r="K23" s="9">
        <v>3</v>
      </c>
      <c r="L23" s="9">
        <v>31</v>
      </c>
      <c r="M23" s="9">
        <v>34</v>
      </c>
      <c r="O23" t="s">
        <v>76</v>
      </c>
      <c r="P23" t="s">
        <v>5</v>
      </c>
    </row>
    <row r="24" spans="1:16" ht="15.5">
      <c r="A24" s="9">
        <v>23</v>
      </c>
      <c r="B24" s="10">
        <v>40544</v>
      </c>
      <c r="C24" s="9">
        <v>22</v>
      </c>
      <c r="D24" s="9" t="b">
        <v>0</v>
      </c>
      <c r="E24" s="9" t="str">
        <f t="shared" si="0"/>
        <v>Weekend</v>
      </c>
      <c r="F24" s="9">
        <v>2</v>
      </c>
      <c r="G24" s="9">
        <v>0.4</v>
      </c>
      <c r="H24" s="9">
        <v>0.40910000000000002</v>
      </c>
      <c r="I24" s="9">
        <v>0.94</v>
      </c>
      <c r="J24" s="9">
        <v>0.22389999999999999</v>
      </c>
      <c r="K24" s="9">
        <v>11</v>
      </c>
      <c r="L24" s="9">
        <v>17</v>
      </c>
      <c r="M24" s="9">
        <v>28</v>
      </c>
      <c r="O24" s="13" t="s">
        <v>73</v>
      </c>
      <c r="P24" s="14">
        <f>MIN(Table5[Casual])</f>
        <v>0</v>
      </c>
    </row>
    <row r="25" spans="1:16" ht="15.5">
      <c r="A25" s="9">
        <v>24</v>
      </c>
      <c r="B25" s="10">
        <v>40544</v>
      </c>
      <c r="C25" s="9">
        <v>23</v>
      </c>
      <c r="D25" s="9" t="b">
        <v>0</v>
      </c>
      <c r="E25" s="9" t="str">
        <f t="shared" si="0"/>
        <v>Weekend</v>
      </c>
      <c r="F25" s="9">
        <v>2</v>
      </c>
      <c r="G25" s="9">
        <v>0.46</v>
      </c>
      <c r="H25" s="43">
        <v>0</v>
      </c>
      <c r="I25" s="9">
        <v>0.88</v>
      </c>
      <c r="J25" s="9">
        <v>0.29849999999999999</v>
      </c>
      <c r="K25" s="9">
        <v>15</v>
      </c>
      <c r="L25" s="9">
        <v>24</v>
      </c>
      <c r="M25" s="9">
        <v>39</v>
      </c>
      <c r="O25" s="13" t="s">
        <v>74</v>
      </c>
      <c r="P25" s="14">
        <f>MIN(Table5[Registered])</f>
        <v>0</v>
      </c>
    </row>
    <row r="26" spans="1:16" ht="15.5">
      <c r="A26" s="9">
        <v>25</v>
      </c>
      <c r="B26" s="10">
        <v>40545</v>
      </c>
      <c r="C26" s="9">
        <v>0</v>
      </c>
      <c r="D26" s="9" t="b">
        <v>0</v>
      </c>
      <c r="E26" s="9" t="str">
        <f t="shared" si="0"/>
        <v>Weekend</v>
      </c>
      <c r="F26" s="9">
        <v>2</v>
      </c>
      <c r="G26" s="9">
        <v>0.46</v>
      </c>
      <c r="H26" s="9">
        <v>0.45450000000000002</v>
      </c>
      <c r="I26" s="9">
        <v>0.88</v>
      </c>
      <c r="J26" s="9">
        <v>0.29849999999999999</v>
      </c>
      <c r="K26" s="9">
        <v>4</v>
      </c>
      <c r="L26" s="9">
        <v>13</v>
      </c>
      <c r="M26" s="9">
        <v>17</v>
      </c>
      <c r="O26" s="13" t="s">
        <v>75</v>
      </c>
      <c r="P26" s="14">
        <f>MIN(Table5[Count])</f>
        <v>1</v>
      </c>
    </row>
    <row r="27" spans="1:16">
      <c r="A27" s="9">
        <v>26</v>
      </c>
      <c r="B27" s="10">
        <v>40545</v>
      </c>
      <c r="C27" s="9">
        <v>1</v>
      </c>
      <c r="D27" s="9" t="b">
        <v>0</v>
      </c>
      <c r="E27" s="9" t="str">
        <f t="shared" si="0"/>
        <v>Weekend</v>
      </c>
      <c r="F27" s="9">
        <v>2</v>
      </c>
      <c r="G27" s="9">
        <v>0.44</v>
      </c>
      <c r="H27" s="9">
        <v>0.43940000000000001</v>
      </c>
      <c r="I27" s="9">
        <v>0.94</v>
      </c>
      <c r="J27" s="9">
        <v>0.25369999999999998</v>
      </c>
      <c r="K27" s="9">
        <v>1</v>
      </c>
      <c r="L27" s="9">
        <v>16</v>
      </c>
      <c r="M27" s="9">
        <v>17</v>
      </c>
    </row>
    <row r="28" spans="1:16">
      <c r="A28" s="9">
        <v>27</v>
      </c>
      <c r="B28" s="10">
        <v>40545</v>
      </c>
      <c r="C28" s="9">
        <v>2</v>
      </c>
      <c r="D28" s="9" t="b">
        <v>0</v>
      </c>
      <c r="E28" s="9" t="str">
        <f t="shared" si="0"/>
        <v>Weekend</v>
      </c>
      <c r="F28" s="9">
        <v>2</v>
      </c>
      <c r="G28" s="9">
        <v>0.42</v>
      </c>
      <c r="H28" s="9">
        <v>0.42420000000000002</v>
      </c>
      <c r="I28" s="9">
        <v>1</v>
      </c>
      <c r="J28" s="9">
        <v>0.28360000000000002</v>
      </c>
      <c r="K28" s="9">
        <v>1</v>
      </c>
      <c r="L28" s="9">
        <v>8</v>
      </c>
      <c r="M28" s="9">
        <v>9</v>
      </c>
    </row>
    <row r="29" spans="1:16">
      <c r="A29" s="9">
        <v>28</v>
      </c>
      <c r="B29" s="10">
        <v>40545</v>
      </c>
      <c r="C29" s="9">
        <v>3</v>
      </c>
      <c r="D29" s="9" t="b">
        <v>0</v>
      </c>
      <c r="E29" s="9" t="str">
        <f t="shared" si="0"/>
        <v>Weekend</v>
      </c>
      <c r="F29" s="9">
        <v>2</v>
      </c>
      <c r="G29" s="9">
        <v>0.46</v>
      </c>
      <c r="H29" s="9">
        <v>0.45450000000000002</v>
      </c>
      <c r="I29" s="9">
        <v>0.94</v>
      </c>
      <c r="J29" s="9">
        <v>0.19400000000000001</v>
      </c>
      <c r="K29" s="9">
        <v>2</v>
      </c>
      <c r="L29" s="9">
        <v>4</v>
      </c>
      <c r="M29" s="9">
        <v>6</v>
      </c>
    </row>
    <row r="30" spans="1:16">
      <c r="A30" s="9">
        <v>29</v>
      </c>
      <c r="B30" s="10">
        <v>40545</v>
      </c>
      <c r="C30" s="9">
        <v>4</v>
      </c>
      <c r="D30" s="9" t="b">
        <v>0</v>
      </c>
      <c r="E30" s="9" t="str">
        <f t="shared" si="0"/>
        <v>Weekend</v>
      </c>
      <c r="F30" s="9">
        <v>2</v>
      </c>
      <c r="G30" s="9">
        <v>0.46</v>
      </c>
      <c r="H30" s="44">
        <v>0</v>
      </c>
      <c r="I30" s="9">
        <v>0.94</v>
      </c>
      <c r="J30" s="9">
        <v>0.19400000000000001</v>
      </c>
      <c r="K30" s="9">
        <v>2</v>
      </c>
      <c r="L30" s="9">
        <v>1</v>
      </c>
      <c r="M30" s="9">
        <v>3</v>
      </c>
    </row>
    <row r="31" spans="1:16">
      <c r="A31" s="9">
        <v>30</v>
      </c>
      <c r="B31" s="10">
        <v>40545</v>
      </c>
      <c r="C31" s="9">
        <v>6</v>
      </c>
      <c r="D31" s="9" t="b">
        <v>0</v>
      </c>
      <c r="E31" s="9" t="str">
        <f t="shared" si="0"/>
        <v>Weekend</v>
      </c>
      <c r="F31" s="9">
        <v>3</v>
      </c>
      <c r="G31" s="9">
        <v>0.42</v>
      </c>
      <c r="H31" s="9">
        <v>0.42420000000000002</v>
      </c>
      <c r="I31" s="9">
        <v>0.77</v>
      </c>
      <c r="J31" s="9">
        <v>0.29849999999999999</v>
      </c>
      <c r="K31" s="9">
        <v>0</v>
      </c>
      <c r="L31" s="9">
        <v>2</v>
      </c>
      <c r="M31" s="9">
        <v>2</v>
      </c>
    </row>
    <row r="32" spans="1:16">
      <c r="A32" s="9">
        <v>31</v>
      </c>
      <c r="B32" s="10">
        <v>40545</v>
      </c>
      <c r="C32" s="9">
        <v>7</v>
      </c>
      <c r="D32" s="9" t="b">
        <v>0</v>
      </c>
      <c r="E32" s="9" t="str">
        <f t="shared" si="0"/>
        <v>Weekend</v>
      </c>
      <c r="F32" s="9">
        <v>2</v>
      </c>
      <c r="G32" s="9">
        <v>0.4</v>
      </c>
      <c r="H32" s="9">
        <v>0.40910000000000002</v>
      </c>
      <c r="I32" s="9">
        <v>0.76</v>
      </c>
      <c r="J32" s="9">
        <v>0.19400000000000001</v>
      </c>
      <c r="K32" s="9">
        <v>0</v>
      </c>
      <c r="L32" s="9">
        <v>1</v>
      </c>
      <c r="M32" s="9">
        <v>1</v>
      </c>
    </row>
    <row r="33" spans="1:13">
      <c r="A33" s="9">
        <v>32</v>
      </c>
      <c r="B33" s="10">
        <v>40545</v>
      </c>
      <c r="C33" s="9">
        <v>8</v>
      </c>
      <c r="D33" s="9" t="b">
        <v>0</v>
      </c>
      <c r="E33" s="9" t="str">
        <f t="shared" si="0"/>
        <v>Weekend</v>
      </c>
      <c r="F33" s="9">
        <v>3</v>
      </c>
      <c r="G33" s="9">
        <v>0.4</v>
      </c>
      <c r="H33" s="9">
        <v>0.40910000000000002</v>
      </c>
      <c r="I33" s="9">
        <v>0.71</v>
      </c>
      <c r="J33" s="9">
        <v>0.22389999999999999</v>
      </c>
      <c r="K33" s="9">
        <v>0</v>
      </c>
      <c r="L33" s="9">
        <v>8</v>
      </c>
      <c r="M33" s="9">
        <v>8</v>
      </c>
    </row>
    <row r="34" spans="1:13">
      <c r="A34" s="9">
        <v>33</v>
      </c>
      <c r="B34" s="10">
        <v>40545</v>
      </c>
      <c r="C34" s="9">
        <v>9</v>
      </c>
      <c r="D34" s="9" t="b">
        <v>0</v>
      </c>
      <c r="E34" s="9" t="str">
        <f t="shared" si="0"/>
        <v>Weekend</v>
      </c>
      <c r="F34" s="9">
        <v>2</v>
      </c>
      <c r="G34" s="9">
        <v>0.38</v>
      </c>
      <c r="H34" s="44">
        <v>0</v>
      </c>
      <c r="I34" s="9">
        <v>0.76</v>
      </c>
      <c r="J34" s="9">
        <v>0.22389999999999999</v>
      </c>
      <c r="K34" s="9">
        <v>1</v>
      </c>
      <c r="L34" s="9">
        <v>19</v>
      </c>
      <c r="M34" s="9">
        <v>20</v>
      </c>
    </row>
    <row r="35" spans="1:13">
      <c r="A35" s="9">
        <v>34</v>
      </c>
      <c r="B35" s="10">
        <v>40545</v>
      </c>
      <c r="C35" s="9">
        <v>10</v>
      </c>
      <c r="D35" s="9" t="b">
        <v>0</v>
      </c>
      <c r="E35" s="9" t="str">
        <f t="shared" si="0"/>
        <v>Weekend</v>
      </c>
      <c r="F35" s="9">
        <v>2</v>
      </c>
      <c r="G35" s="9">
        <v>0.36</v>
      </c>
      <c r="H35" s="9">
        <v>0.34849999999999998</v>
      </c>
      <c r="I35" s="9">
        <v>0.81</v>
      </c>
      <c r="J35" s="9">
        <v>0.22389999999999999</v>
      </c>
      <c r="K35" s="9">
        <v>7</v>
      </c>
      <c r="L35" s="9">
        <v>46</v>
      </c>
      <c r="M35" s="9">
        <v>53</v>
      </c>
    </row>
    <row r="36" spans="1:13">
      <c r="A36" s="9">
        <v>35</v>
      </c>
      <c r="B36" s="10">
        <v>40545</v>
      </c>
      <c r="C36" s="9">
        <v>11</v>
      </c>
      <c r="D36" s="9" t="b">
        <v>0</v>
      </c>
      <c r="E36" s="9" t="str">
        <f t="shared" si="0"/>
        <v>Weekend</v>
      </c>
      <c r="F36" s="9">
        <v>2</v>
      </c>
      <c r="G36" s="9">
        <v>0.36</v>
      </c>
      <c r="H36" s="9">
        <v>0.33329999999999999</v>
      </c>
      <c r="I36" s="9">
        <v>0.71</v>
      </c>
      <c r="J36" s="9">
        <v>0.25369999999999998</v>
      </c>
      <c r="K36" s="9">
        <v>16</v>
      </c>
      <c r="L36" s="9">
        <v>54</v>
      </c>
      <c r="M36" s="9">
        <v>70</v>
      </c>
    </row>
    <row r="37" spans="1:13">
      <c r="A37" s="9">
        <v>36</v>
      </c>
      <c r="B37" s="10">
        <v>40545</v>
      </c>
      <c r="C37" s="9">
        <v>12</v>
      </c>
      <c r="D37" s="9" t="b">
        <v>0</v>
      </c>
      <c r="E37" s="9" t="str">
        <f t="shared" si="0"/>
        <v>Weekend</v>
      </c>
      <c r="F37" s="9">
        <v>2</v>
      </c>
      <c r="G37" s="9">
        <v>0.36</v>
      </c>
      <c r="H37" s="9">
        <v>0.33329999999999999</v>
      </c>
      <c r="I37" s="9">
        <v>0.66</v>
      </c>
      <c r="J37" s="9">
        <v>0.29849999999999999</v>
      </c>
      <c r="K37" s="9">
        <v>20</v>
      </c>
      <c r="L37" s="9">
        <v>73</v>
      </c>
      <c r="M37" s="9">
        <v>93</v>
      </c>
    </row>
    <row r="38" spans="1:13">
      <c r="A38" s="9">
        <v>37</v>
      </c>
      <c r="B38" s="10">
        <v>40545</v>
      </c>
      <c r="C38" s="9">
        <v>13</v>
      </c>
      <c r="D38" s="9" t="b">
        <v>0</v>
      </c>
      <c r="E38" s="9" t="str">
        <f t="shared" si="0"/>
        <v>Weekend</v>
      </c>
      <c r="F38" s="9">
        <v>2</v>
      </c>
      <c r="G38" s="9">
        <v>0.36</v>
      </c>
      <c r="H38" s="9">
        <v>0.34849999999999998</v>
      </c>
      <c r="I38" s="9">
        <v>0.66</v>
      </c>
      <c r="J38" s="9">
        <v>0.1343</v>
      </c>
      <c r="K38" s="9">
        <v>11</v>
      </c>
      <c r="L38" s="9">
        <v>64</v>
      </c>
      <c r="M38" s="9">
        <v>75</v>
      </c>
    </row>
    <row r="39" spans="1:13">
      <c r="A39" s="9">
        <v>38</v>
      </c>
      <c r="B39" s="10">
        <v>40545</v>
      </c>
      <c r="C39" s="9">
        <v>14</v>
      </c>
      <c r="D39" s="9" t="b">
        <v>0</v>
      </c>
      <c r="E39" s="9" t="str">
        <f t="shared" si="0"/>
        <v>Weekend</v>
      </c>
      <c r="F39" s="9">
        <v>3</v>
      </c>
      <c r="G39" s="9">
        <v>0.36</v>
      </c>
      <c r="H39" s="43">
        <v>0</v>
      </c>
      <c r="I39" s="9">
        <v>0.76</v>
      </c>
      <c r="J39" s="9">
        <v>0.19400000000000001</v>
      </c>
      <c r="K39" s="9">
        <v>4</v>
      </c>
      <c r="L39" s="9">
        <v>55</v>
      </c>
      <c r="M39" s="9">
        <v>59</v>
      </c>
    </row>
    <row r="40" spans="1:13">
      <c r="A40" s="9">
        <v>39</v>
      </c>
      <c r="B40" s="10">
        <v>40545</v>
      </c>
      <c r="C40" s="9">
        <v>15</v>
      </c>
      <c r="D40" s="9" t="b">
        <v>0</v>
      </c>
      <c r="E40" s="9" t="str">
        <f t="shared" si="0"/>
        <v>Weekend</v>
      </c>
      <c r="F40" s="9">
        <v>3</v>
      </c>
      <c r="G40" s="9">
        <v>0.34</v>
      </c>
      <c r="H40" s="9">
        <v>0.33329999999999999</v>
      </c>
      <c r="I40" s="9">
        <v>0.81</v>
      </c>
      <c r="J40" s="9">
        <v>0.16420000000000001</v>
      </c>
      <c r="K40" s="9">
        <v>19</v>
      </c>
      <c r="L40" s="9">
        <v>55</v>
      </c>
      <c r="M40" s="9">
        <v>74</v>
      </c>
    </row>
    <row r="41" spans="1:13">
      <c r="A41" s="9">
        <v>40</v>
      </c>
      <c r="B41" s="10">
        <v>40545</v>
      </c>
      <c r="C41" s="9">
        <v>16</v>
      </c>
      <c r="D41" s="9" t="b">
        <v>0</v>
      </c>
      <c r="E41" s="9" t="str">
        <f t="shared" si="0"/>
        <v>Weekend</v>
      </c>
      <c r="F41" s="9">
        <v>3</v>
      </c>
      <c r="G41" s="9">
        <v>0.34</v>
      </c>
      <c r="H41" s="9">
        <v>0.33329999999999999</v>
      </c>
      <c r="I41" s="9">
        <v>0.71</v>
      </c>
      <c r="J41" s="9">
        <v>0.16420000000000001</v>
      </c>
      <c r="K41" s="9">
        <v>9</v>
      </c>
      <c r="L41" s="9">
        <v>67</v>
      </c>
      <c r="M41" s="9">
        <v>76</v>
      </c>
    </row>
    <row r="42" spans="1:13">
      <c r="A42" s="9">
        <v>41</v>
      </c>
      <c r="B42" s="10">
        <v>40545</v>
      </c>
      <c r="C42" s="9">
        <v>17</v>
      </c>
      <c r="D42" s="9" t="b">
        <v>0</v>
      </c>
      <c r="E42" s="9" t="str">
        <f t="shared" si="0"/>
        <v>Weekend</v>
      </c>
      <c r="F42" s="9">
        <v>1</v>
      </c>
      <c r="G42" s="9">
        <v>0.34</v>
      </c>
      <c r="H42" s="9">
        <v>0.33329999999999999</v>
      </c>
      <c r="I42" s="9">
        <v>0.56999999999999995</v>
      </c>
      <c r="J42" s="9">
        <v>0.19400000000000001</v>
      </c>
      <c r="K42" s="9">
        <v>7</v>
      </c>
      <c r="L42" s="9">
        <v>58</v>
      </c>
      <c r="M42" s="9">
        <v>65</v>
      </c>
    </row>
    <row r="43" spans="1:13">
      <c r="A43" s="9">
        <v>42</v>
      </c>
      <c r="B43" s="10">
        <v>40545</v>
      </c>
      <c r="C43" s="9">
        <v>18</v>
      </c>
      <c r="D43" s="9" t="b">
        <v>0</v>
      </c>
      <c r="E43" s="9" t="str">
        <f t="shared" si="0"/>
        <v>Weekend</v>
      </c>
      <c r="F43" s="9">
        <v>2</v>
      </c>
      <c r="G43" s="9">
        <v>0.36</v>
      </c>
      <c r="H43" s="9">
        <v>0.33329999999999999</v>
      </c>
      <c r="I43" s="9">
        <v>0.46</v>
      </c>
      <c r="J43" s="9">
        <v>0.32840000000000003</v>
      </c>
      <c r="K43" s="9">
        <v>10</v>
      </c>
      <c r="L43" s="9">
        <v>43</v>
      </c>
      <c r="M43" s="9">
        <v>53</v>
      </c>
    </row>
    <row r="44" spans="1:13">
      <c r="A44" s="9">
        <v>43</v>
      </c>
      <c r="B44" s="10">
        <v>40545</v>
      </c>
      <c r="C44" s="9">
        <v>19</v>
      </c>
      <c r="D44" s="9" t="b">
        <v>0</v>
      </c>
      <c r="E44" s="9" t="str">
        <f t="shared" si="0"/>
        <v>Weekend</v>
      </c>
      <c r="F44" s="9">
        <v>1</v>
      </c>
      <c r="G44" s="9">
        <v>0.32</v>
      </c>
      <c r="H44" s="9">
        <v>0.28789999999999999</v>
      </c>
      <c r="I44" s="9">
        <v>0.42</v>
      </c>
      <c r="J44" s="9">
        <v>0.44779999999999998</v>
      </c>
      <c r="K44" s="9">
        <v>1</v>
      </c>
      <c r="L44" s="9">
        <v>29</v>
      </c>
      <c r="M44" s="9">
        <v>30</v>
      </c>
    </row>
    <row r="45" spans="1:13">
      <c r="A45" s="9">
        <v>44</v>
      </c>
      <c r="B45" s="10">
        <v>40545</v>
      </c>
      <c r="C45" s="9">
        <v>20</v>
      </c>
      <c r="D45" s="9" t="b">
        <v>0</v>
      </c>
      <c r="E45" s="9" t="str">
        <f t="shared" si="0"/>
        <v>Weekend</v>
      </c>
      <c r="F45" s="9">
        <v>1</v>
      </c>
      <c r="G45" s="9">
        <v>0.3</v>
      </c>
      <c r="H45" s="43">
        <v>0</v>
      </c>
      <c r="I45" s="9">
        <v>0.39</v>
      </c>
      <c r="J45" s="9">
        <v>0.35820000000000002</v>
      </c>
      <c r="K45" s="9">
        <v>5</v>
      </c>
      <c r="L45" s="9">
        <v>17</v>
      </c>
      <c r="M45" s="9">
        <v>22</v>
      </c>
    </row>
    <row r="46" spans="1:13">
      <c r="A46" s="9">
        <v>45</v>
      </c>
      <c r="B46" s="10">
        <v>40545</v>
      </c>
      <c r="C46" s="9">
        <v>21</v>
      </c>
      <c r="D46" s="9" t="b">
        <v>0</v>
      </c>
      <c r="E46" s="9" t="str">
        <f t="shared" si="0"/>
        <v>Weekend</v>
      </c>
      <c r="F46" s="9">
        <v>1</v>
      </c>
      <c r="G46" s="9">
        <v>0.26</v>
      </c>
      <c r="H46" s="9">
        <v>0.2273</v>
      </c>
      <c r="I46" s="9">
        <v>0.44</v>
      </c>
      <c r="J46" s="9">
        <v>0.32840000000000003</v>
      </c>
      <c r="K46" s="9">
        <v>11</v>
      </c>
      <c r="L46" s="9">
        <v>20</v>
      </c>
      <c r="M46" s="9">
        <v>31</v>
      </c>
    </row>
    <row r="47" spans="1:13">
      <c r="A47" s="9">
        <v>46</v>
      </c>
      <c r="B47" s="10">
        <v>40545</v>
      </c>
      <c r="C47" s="9">
        <v>22</v>
      </c>
      <c r="D47" s="9" t="b">
        <v>0</v>
      </c>
      <c r="E47" s="9" t="str">
        <f t="shared" si="0"/>
        <v>Weekend</v>
      </c>
      <c r="F47" s="9">
        <v>1</v>
      </c>
      <c r="G47" s="9">
        <v>0.24</v>
      </c>
      <c r="H47" s="9">
        <v>0.21210000000000001</v>
      </c>
      <c r="I47" s="9">
        <v>0.44</v>
      </c>
      <c r="J47" s="9">
        <v>0.29849999999999999</v>
      </c>
      <c r="K47" s="9">
        <v>0</v>
      </c>
      <c r="L47" s="9">
        <v>9</v>
      </c>
      <c r="M47" s="9">
        <v>9</v>
      </c>
    </row>
    <row r="48" spans="1:13">
      <c r="A48" s="9">
        <v>47</v>
      </c>
      <c r="B48" s="10">
        <v>40545</v>
      </c>
      <c r="C48" s="9">
        <v>23</v>
      </c>
      <c r="D48" s="9" t="b">
        <v>0</v>
      </c>
      <c r="E48" s="9" t="str">
        <f t="shared" si="0"/>
        <v>Weekend</v>
      </c>
      <c r="F48" s="9">
        <v>1</v>
      </c>
      <c r="G48" s="9">
        <v>0.22</v>
      </c>
      <c r="H48" s="9">
        <v>0.2273</v>
      </c>
      <c r="I48" s="9">
        <v>0.47</v>
      </c>
      <c r="J48" s="9">
        <v>0.16420000000000001</v>
      </c>
      <c r="K48" s="9">
        <v>0</v>
      </c>
      <c r="L48" s="9">
        <v>8</v>
      </c>
      <c r="M48" s="9">
        <v>8</v>
      </c>
    </row>
    <row r="49" spans="1:13">
      <c r="A49" s="9">
        <v>48</v>
      </c>
      <c r="B49" s="10">
        <v>40546</v>
      </c>
      <c r="C49" s="9">
        <v>0</v>
      </c>
      <c r="D49" s="9" t="b">
        <v>0</v>
      </c>
      <c r="E49" s="9" t="str">
        <f t="shared" si="0"/>
        <v>Weekday</v>
      </c>
      <c r="F49" s="9">
        <v>1</v>
      </c>
      <c r="G49" s="9">
        <v>0.22</v>
      </c>
      <c r="H49" s="9">
        <v>0.19700000000000001</v>
      </c>
      <c r="I49" s="9">
        <v>0.44</v>
      </c>
      <c r="J49" s="9">
        <v>0.35820000000000002</v>
      </c>
      <c r="K49" s="9">
        <v>0</v>
      </c>
      <c r="L49" s="9">
        <v>5</v>
      </c>
      <c r="M49" s="9">
        <v>5</v>
      </c>
    </row>
    <row r="50" spans="1:13">
      <c r="A50" s="9">
        <v>49</v>
      </c>
      <c r="B50" s="10">
        <v>40546</v>
      </c>
      <c r="C50" s="9">
        <v>1</v>
      </c>
      <c r="D50" s="9" t="b">
        <v>0</v>
      </c>
      <c r="E50" s="9" t="str">
        <f t="shared" si="0"/>
        <v>Weekday</v>
      </c>
      <c r="F50" s="9">
        <v>1</v>
      </c>
      <c r="G50" s="9">
        <v>0.2</v>
      </c>
      <c r="H50" s="44">
        <v>0</v>
      </c>
      <c r="I50" s="9">
        <v>0.44</v>
      </c>
      <c r="J50" s="9">
        <v>0.41789999999999999</v>
      </c>
      <c r="K50" s="9">
        <v>0</v>
      </c>
      <c r="L50" s="9">
        <v>2</v>
      </c>
      <c r="M50" s="9">
        <v>2</v>
      </c>
    </row>
    <row r="51" spans="1:13">
      <c r="A51" s="9">
        <v>50</v>
      </c>
      <c r="B51" s="10">
        <v>40546</v>
      </c>
      <c r="C51" s="9">
        <v>4</v>
      </c>
      <c r="D51" s="9" t="b">
        <v>0</v>
      </c>
      <c r="E51" s="9" t="str">
        <f t="shared" si="0"/>
        <v>Weekday</v>
      </c>
      <c r="F51" s="9">
        <v>1</v>
      </c>
      <c r="G51" s="9">
        <v>0.16</v>
      </c>
      <c r="H51" s="9">
        <v>0.13639999999999999</v>
      </c>
      <c r="I51" s="9">
        <v>0.47</v>
      </c>
      <c r="J51" s="9">
        <v>0.3881</v>
      </c>
      <c r="K51" s="9">
        <v>0</v>
      </c>
      <c r="L51" s="9">
        <v>1</v>
      </c>
      <c r="M51" s="9">
        <v>1</v>
      </c>
    </row>
    <row r="52" spans="1:13">
      <c r="A52" s="9">
        <v>51</v>
      </c>
      <c r="B52" s="10">
        <v>40546</v>
      </c>
      <c r="C52" s="9">
        <v>5</v>
      </c>
      <c r="D52" s="9" t="b">
        <v>0</v>
      </c>
      <c r="E52" s="9" t="str">
        <f t="shared" si="0"/>
        <v>Weekday</v>
      </c>
      <c r="F52" s="9">
        <v>1</v>
      </c>
      <c r="G52" s="9">
        <v>0.16</v>
      </c>
      <c r="H52" s="9">
        <v>0.13639999999999999</v>
      </c>
      <c r="I52" s="9">
        <v>0.47</v>
      </c>
      <c r="J52" s="9">
        <v>0.28360000000000002</v>
      </c>
      <c r="K52" s="9">
        <v>0</v>
      </c>
      <c r="L52" s="9">
        <v>3</v>
      </c>
      <c r="M52" s="9">
        <v>3</v>
      </c>
    </row>
    <row r="53" spans="1:13">
      <c r="A53" s="9">
        <v>52</v>
      </c>
      <c r="B53" s="10">
        <v>40546</v>
      </c>
      <c r="C53" s="9">
        <v>6</v>
      </c>
      <c r="D53" s="9" t="b">
        <v>0</v>
      </c>
      <c r="E53" s="9" t="str">
        <f t="shared" si="0"/>
        <v>Weekday</v>
      </c>
      <c r="F53" s="9">
        <v>1</v>
      </c>
      <c r="G53" s="9">
        <v>0.14000000000000001</v>
      </c>
      <c r="H53" s="9">
        <v>0.1061</v>
      </c>
      <c r="I53" s="9">
        <v>0.5</v>
      </c>
      <c r="J53" s="9">
        <v>0.3881</v>
      </c>
      <c r="K53" s="9">
        <v>0</v>
      </c>
      <c r="L53" s="9">
        <v>30</v>
      </c>
      <c r="M53" s="9">
        <v>30</v>
      </c>
    </row>
    <row r="54" spans="1:13">
      <c r="A54" s="9">
        <v>53</v>
      </c>
      <c r="B54" s="10">
        <v>40546</v>
      </c>
      <c r="C54" s="9">
        <v>7</v>
      </c>
      <c r="D54" s="9" t="b">
        <v>0</v>
      </c>
      <c r="E54" s="9" t="str">
        <f t="shared" si="0"/>
        <v>Weekday</v>
      </c>
      <c r="F54" s="9">
        <v>1</v>
      </c>
      <c r="G54" s="9">
        <v>0.14000000000000001</v>
      </c>
      <c r="H54" s="9">
        <v>0.13639999999999999</v>
      </c>
      <c r="I54" s="9">
        <v>0.5</v>
      </c>
      <c r="J54" s="9">
        <v>0.19400000000000001</v>
      </c>
      <c r="K54" s="9">
        <v>1</v>
      </c>
      <c r="L54" s="9">
        <v>63</v>
      </c>
      <c r="M54" s="9">
        <v>64</v>
      </c>
    </row>
    <row r="55" spans="1:13">
      <c r="A55" s="9">
        <v>54</v>
      </c>
      <c r="B55" s="10">
        <v>40546</v>
      </c>
      <c r="C55" s="9">
        <v>8</v>
      </c>
      <c r="D55" s="9" t="b">
        <v>0</v>
      </c>
      <c r="E55" s="9" t="str">
        <f t="shared" si="0"/>
        <v>Weekday</v>
      </c>
      <c r="F55" s="9">
        <v>1</v>
      </c>
      <c r="G55" s="9">
        <v>0.14000000000000001</v>
      </c>
      <c r="H55" s="9">
        <v>0.1212</v>
      </c>
      <c r="I55" s="9">
        <v>0.5</v>
      </c>
      <c r="J55" s="9">
        <v>0.28360000000000002</v>
      </c>
      <c r="K55" s="9">
        <v>1</v>
      </c>
      <c r="L55" s="9">
        <v>153</v>
      </c>
      <c r="M55" s="9">
        <v>154</v>
      </c>
    </row>
    <row r="56" spans="1:13">
      <c r="A56" s="9">
        <v>55</v>
      </c>
      <c r="B56" s="10">
        <v>40546</v>
      </c>
      <c r="C56" s="9">
        <v>9</v>
      </c>
      <c r="D56" s="9" t="b">
        <v>0</v>
      </c>
      <c r="E56" s="9" t="str">
        <f t="shared" si="0"/>
        <v>Weekday</v>
      </c>
      <c r="F56" s="9">
        <v>1</v>
      </c>
      <c r="G56" s="9">
        <v>0.16</v>
      </c>
      <c r="H56" s="9">
        <v>0.13639999999999999</v>
      </c>
      <c r="I56" s="9">
        <v>0.43</v>
      </c>
      <c r="J56" s="9">
        <v>0.3881</v>
      </c>
      <c r="K56" s="9">
        <v>7</v>
      </c>
      <c r="L56" s="9">
        <v>81</v>
      </c>
      <c r="M56" s="9">
        <v>88</v>
      </c>
    </row>
    <row r="57" spans="1:13">
      <c r="A57" s="9">
        <v>56</v>
      </c>
      <c r="B57" s="10">
        <v>40546</v>
      </c>
      <c r="C57" s="9">
        <v>10</v>
      </c>
      <c r="D57" s="9" t="b">
        <v>0</v>
      </c>
      <c r="E57" s="9" t="str">
        <f t="shared" si="0"/>
        <v>Weekday</v>
      </c>
      <c r="F57" s="9">
        <v>1</v>
      </c>
      <c r="G57" s="9">
        <v>0.18</v>
      </c>
      <c r="H57" s="9">
        <v>0.16669999999999999</v>
      </c>
      <c r="I57" s="9">
        <v>0.43</v>
      </c>
      <c r="J57" s="9">
        <v>0.25369999999999998</v>
      </c>
      <c r="K57" s="9">
        <v>11</v>
      </c>
      <c r="L57" s="9">
        <v>33</v>
      </c>
      <c r="M57" s="9">
        <v>44</v>
      </c>
    </row>
    <row r="58" spans="1:13">
      <c r="A58" s="9">
        <v>57</v>
      </c>
      <c r="B58" s="10">
        <v>40546</v>
      </c>
      <c r="C58" s="9">
        <v>11</v>
      </c>
      <c r="D58" s="9" t="b">
        <v>0</v>
      </c>
      <c r="E58" s="9" t="str">
        <f t="shared" si="0"/>
        <v>Weekday</v>
      </c>
      <c r="F58" s="9">
        <v>1</v>
      </c>
      <c r="G58" s="9">
        <v>0.2</v>
      </c>
      <c r="H58" s="9">
        <v>0.18179999999999999</v>
      </c>
      <c r="I58" s="9">
        <v>0.4</v>
      </c>
      <c r="J58" s="9">
        <v>0.32840000000000003</v>
      </c>
      <c r="K58" s="9">
        <v>10</v>
      </c>
      <c r="L58" s="9">
        <v>41</v>
      </c>
      <c r="M58" s="9">
        <v>51</v>
      </c>
    </row>
    <row r="59" spans="1:13">
      <c r="A59" s="9">
        <v>58</v>
      </c>
      <c r="B59" s="10">
        <v>40546</v>
      </c>
      <c r="C59" s="9">
        <v>12</v>
      </c>
      <c r="D59" s="9" t="b">
        <v>0</v>
      </c>
      <c r="E59" s="9" t="str">
        <f t="shared" si="0"/>
        <v>Weekday</v>
      </c>
      <c r="F59" s="9">
        <v>1</v>
      </c>
      <c r="G59" s="9">
        <v>0.22</v>
      </c>
      <c r="H59" s="9">
        <v>0.21210000000000001</v>
      </c>
      <c r="I59" s="9">
        <v>0.35</v>
      </c>
      <c r="J59" s="9">
        <v>0.29849999999999999</v>
      </c>
      <c r="K59" s="9">
        <v>13</v>
      </c>
      <c r="L59" s="9">
        <v>48</v>
      </c>
      <c r="M59" s="9">
        <v>61</v>
      </c>
    </row>
    <row r="60" spans="1:13">
      <c r="A60" s="9">
        <v>59</v>
      </c>
      <c r="B60" s="10">
        <v>40546</v>
      </c>
      <c r="C60" s="9">
        <v>13</v>
      </c>
      <c r="D60" s="9" t="b">
        <v>0</v>
      </c>
      <c r="E60" s="9" t="str">
        <f t="shared" si="0"/>
        <v>Weekday</v>
      </c>
      <c r="F60" s="9">
        <v>1</v>
      </c>
      <c r="G60" s="9">
        <v>0.24</v>
      </c>
      <c r="H60" s="44">
        <v>0</v>
      </c>
      <c r="I60" s="9">
        <v>0.35</v>
      </c>
      <c r="J60" s="9">
        <v>0.28360000000000002</v>
      </c>
      <c r="K60" s="9">
        <v>8</v>
      </c>
      <c r="L60" s="9">
        <v>53</v>
      </c>
      <c r="M60" s="9">
        <v>61</v>
      </c>
    </row>
    <row r="61" spans="1:13">
      <c r="A61" s="9">
        <v>60</v>
      </c>
      <c r="B61" s="10">
        <v>40546</v>
      </c>
      <c r="C61" s="9">
        <v>14</v>
      </c>
      <c r="D61" s="9" t="b">
        <v>0</v>
      </c>
      <c r="E61" s="9" t="str">
        <f t="shared" si="0"/>
        <v>Weekday</v>
      </c>
      <c r="F61" s="9">
        <v>1</v>
      </c>
      <c r="G61" s="9">
        <v>0.26</v>
      </c>
      <c r="H61" s="9">
        <v>0.2424</v>
      </c>
      <c r="I61" s="9">
        <v>0.3</v>
      </c>
      <c r="J61" s="9">
        <v>0.28360000000000002</v>
      </c>
      <c r="K61" s="9">
        <v>11</v>
      </c>
      <c r="L61" s="9">
        <v>66</v>
      </c>
      <c r="M61" s="9">
        <v>77</v>
      </c>
    </row>
    <row r="62" spans="1:13">
      <c r="A62" s="9">
        <v>61</v>
      </c>
      <c r="B62" s="10">
        <v>40546</v>
      </c>
      <c r="C62" s="9">
        <v>15</v>
      </c>
      <c r="D62" s="9" t="b">
        <v>0</v>
      </c>
      <c r="E62" s="9" t="str">
        <f t="shared" si="0"/>
        <v>Weekday</v>
      </c>
      <c r="F62" s="9">
        <v>1</v>
      </c>
      <c r="G62" s="9">
        <v>0.26</v>
      </c>
      <c r="H62" s="9">
        <v>0.2424</v>
      </c>
      <c r="I62" s="9">
        <v>0.3</v>
      </c>
      <c r="J62" s="9">
        <v>0.25369999999999998</v>
      </c>
      <c r="K62" s="9">
        <v>14</v>
      </c>
      <c r="L62" s="9">
        <v>58</v>
      </c>
      <c r="M62" s="9">
        <v>72</v>
      </c>
    </row>
    <row r="63" spans="1:13">
      <c r="A63" s="9">
        <v>62</v>
      </c>
      <c r="B63" s="10">
        <v>40546</v>
      </c>
      <c r="C63" s="9">
        <v>16</v>
      </c>
      <c r="D63" s="9" t="b">
        <v>0</v>
      </c>
      <c r="E63" s="9" t="str">
        <f t="shared" si="0"/>
        <v>Weekday</v>
      </c>
      <c r="F63" s="9">
        <v>1</v>
      </c>
      <c r="G63" s="9">
        <v>0.26</v>
      </c>
      <c r="H63" s="9">
        <v>0.2424</v>
      </c>
      <c r="I63" s="9">
        <v>0.3</v>
      </c>
      <c r="J63" s="9">
        <v>0.25369999999999998</v>
      </c>
      <c r="K63" s="9">
        <v>9</v>
      </c>
      <c r="L63" s="9">
        <v>67</v>
      </c>
      <c r="M63" s="9">
        <v>76</v>
      </c>
    </row>
    <row r="64" spans="1:13">
      <c r="A64" s="9">
        <v>63</v>
      </c>
      <c r="B64" s="10">
        <v>40546</v>
      </c>
      <c r="C64" s="9">
        <v>17</v>
      </c>
      <c r="D64" s="9" t="b">
        <v>0</v>
      </c>
      <c r="E64" s="9" t="str">
        <f t="shared" si="0"/>
        <v>Weekday</v>
      </c>
      <c r="F64" s="9">
        <v>1</v>
      </c>
      <c r="G64" s="9">
        <v>0.24</v>
      </c>
      <c r="H64" s="9">
        <v>0.2273</v>
      </c>
      <c r="I64" s="9">
        <v>0.3</v>
      </c>
      <c r="J64" s="9">
        <v>0.22389999999999999</v>
      </c>
      <c r="K64" s="9">
        <v>11</v>
      </c>
      <c r="L64" s="9">
        <v>146</v>
      </c>
      <c r="M64" s="9">
        <v>157</v>
      </c>
    </row>
    <row r="65" spans="1:13">
      <c r="A65" s="9">
        <v>64</v>
      </c>
      <c r="B65" s="10">
        <v>40546</v>
      </c>
      <c r="C65" s="9">
        <v>18</v>
      </c>
      <c r="D65" s="9" t="b">
        <v>0</v>
      </c>
      <c r="E65" s="9" t="str">
        <f t="shared" si="0"/>
        <v>Weekday</v>
      </c>
      <c r="F65" s="9">
        <v>1</v>
      </c>
      <c r="G65" s="9">
        <v>0.24</v>
      </c>
      <c r="H65" s="9">
        <v>0.2576</v>
      </c>
      <c r="I65" s="9">
        <v>0.32</v>
      </c>
      <c r="J65" s="9">
        <v>0.1045</v>
      </c>
      <c r="K65" s="9">
        <v>9</v>
      </c>
      <c r="L65" s="9">
        <v>148</v>
      </c>
      <c r="M65" s="9">
        <v>157</v>
      </c>
    </row>
    <row r="66" spans="1:13">
      <c r="A66" s="9">
        <v>65</v>
      </c>
      <c r="B66" s="10">
        <v>40546</v>
      </c>
      <c r="C66" s="9">
        <v>19</v>
      </c>
      <c r="D66" s="9" t="b">
        <v>0</v>
      </c>
      <c r="E66" s="9" t="str">
        <f t="shared" si="0"/>
        <v>Weekday</v>
      </c>
      <c r="F66" s="9">
        <v>1</v>
      </c>
      <c r="G66" s="9">
        <v>0.2</v>
      </c>
      <c r="H66" s="9">
        <v>0.2576</v>
      </c>
      <c r="I66" s="9">
        <v>0.47</v>
      </c>
      <c r="J66" s="9">
        <v>0</v>
      </c>
      <c r="K66" s="9">
        <v>8</v>
      </c>
      <c r="L66" s="9">
        <v>102</v>
      </c>
      <c r="M66" s="9">
        <v>110</v>
      </c>
    </row>
    <row r="67" spans="1:13">
      <c r="A67" s="9">
        <v>66</v>
      </c>
      <c r="B67" s="10">
        <v>40546</v>
      </c>
      <c r="C67" s="9">
        <v>20</v>
      </c>
      <c r="D67" s="9" t="b">
        <v>0</v>
      </c>
      <c r="E67" s="9" t="str">
        <f t="shared" ref="E67:E130" si="1">IF(WEEKDAY(B67,2)&gt;=6,"Weekend","Weekday")</f>
        <v>Weekday</v>
      </c>
      <c r="F67" s="9">
        <v>1</v>
      </c>
      <c r="G67" s="9">
        <v>0.2</v>
      </c>
      <c r="H67" s="45">
        <v>0</v>
      </c>
      <c r="I67" s="9">
        <v>0.47</v>
      </c>
      <c r="J67" s="9">
        <v>0.1045</v>
      </c>
      <c r="K67" s="9">
        <v>3</v>
      </c>
      <c r="L67" s="9">
        <v>49</v>
      </c>
      <c r="M67" s="9">
        <v>52</v>
      </c>
    </row>
    <row r="68" spans="1:13">
      <c r="A68" s="9">
        <v>67</v>
      </c>
      <c r="B68" s="10">
        <v>40546</v>
      </c>
      <c r="C68" s="9">
        <v>21</v>
      </c>
      <c r="D68" s="9" t="b">
        <v>0</v>
      </c>
      <c r="E68" s="9" t="str">
        <f t="shared" si="1"/>
        <v>Weekday</v>
      </c>
      <c r="F68" s="9">
        <v>1</v>
      </c>
      <c r="G68" s="9">
        <v>0.18</v>
      </c>
      <c r="H68" s="9">
        <v>0.19700000000000001</v>
      </c>
      <c r="I68" s="9">
        <v>0.64</v>
      </c>
      <c r="J68" s="9">
        <v>0.1343</v>
      </c>
      <c r="K68" s="9">
        <v>3</v>
      </c>
      <c r="L68" s="9">
        <v>49</v>
      </c>
      <c r="M68" s="9">
        <v>52</v>
      </c>
    </row>
    <row r="69" spans="1:13">
      <c r="A69" s="9">
        <v>68</v>
      </c>
      <c r="B69" s="10">
        <v>40546</v>
      </c>
      <c r="C69" s="9">
        <v>22</v>
      </c>
      <c r="D69" s="9" t="b">
        <v>0</v>
      </c>
      <c r="E69" s="9" t="str">
        <f t="shared" si="1"/>
        <v>Weekday</v>
      </c>
      <c r="F69" s="9">
        <v>1</v>
      </c>
      <c r="G69" s="9">
        <v>0.14000000000000001</v>
      </c>
      <c r="H69" s="9">
        <v>0.1515</v>
      </c>
      <c r="I69" s="9">
        <v>0.69</v>
      </c>
      <c r="J69" s="9">
        <v>0.1343</v>
      </c>
      <c r="K69" s="9">
        <v>0</v>
      </c>
      <c r="L69" s="9">
        <v>20</v>
      </c>
      <c r="M69" s="9">
        <v>20</v>
      </c>
    </row>
    <row r="70" spans="1:13">
      <c r="A70" s="9">
        <v>69</v>
      </c>
      <c r="B70" s="10">
        <v>40546</v>
      </c>
      <c r="C70" s="9">
        <v>23</v>
      </c>
      <c r="D70" s="9" t="b">
        <v>0</v>
      </c>
      <c r="E70" s="9" t="str">
        <f t="shared" si="1"/>
        <v>Weekday</v>
      </c>
      <c r="F70" s="9">
        <v>1</v>
      </c>
      <c r="G70" s="9">
        <v>0.18</v>
      </c>
      <c r="H70" s="9">
        <v>0.21210000000000001</v>
      </c>
      <c r="I70" s="9">
        <v>0.55000000000000004</v>
      </c>
      <c r="J70" s="9">
        <v>0.1045</v>
      </c>
      <c r="K70" s="9">
        <v>1</v>
      </c>
      <c r="L70" s="9">
        <v>11</v>
      </c>
      <c r="M70" s="9">
        <v>12</v>
      </c>
    </row>
    <row r="71" spans="1:13">
      <c r="A71" s="9">
        <v>70</v>
      </c>
      <c r="B71" s="10">
        <v>40547</v>
      </c>
      <c r="C71" s="9">
        <v>0</v>
      </c>
      <c r="D71" s="9" t="b">
        <v>0</v>
      </c>
      <c r="E71" s="9" t="str">
        <f t="shared" si="1"/>
        <v>Weekday</v>
      </c>
      <c r="F71" s="9">
        <v>1</v>
      </c>
      <c r="G71" s="9">
        <v>0.16</v>
      </c>
      <c r="H71" s="43">
        <v>0</v>
      </c>
      <c r="I71" s="9">
        <v>0.55000000000000004</v>
      </c>
      <c r="J71" s="9">
        <v>0.1045</v>
      </c>
      <c r="K71" s="9">
        <v>0</v>
      </c>
      <c r="L71" s="9">
        <v>5</v>
      </c>
      <c r="M71" s="9">
        <v>5</v>
      </c>
    </row>
    <row r="72" spans="1:13">
      <c r="A72" s="9">
        <v>71</v>
      </c>
      <c r="B72" s="10">
        <v>40547</v>
      </c>
      <c r="C72" s="9">
        <v>1</v>
      </c>
      <c r="D72" s="9" t="b">
        <v>0</v>
      </c>
      <c r="E72" s="9" t="str">
        <f t="shared" si="1"/>
        <v>Weekday</v>
      </c>
      <c r="F72" s="9">
        <v>1</v>
      </c>
      <c r="G72" s="9">
        <v>0.16</v>
      </c>
      <c r="H72" s="9">
        <v>0.18179999999999999</v>
      </c>
      <c r="I72" s="9">
        <v>0.59</v>
      </c>
      <c r="J72" s="9">
        <v>0.1045</v>
      </c>
      <c r="K72" s="9">
        <v>0</v>
      </c>
      <c r="L72" s="9">
        <v>2</v>
      </c>
      <c r="M72" s="9">
        <v>2</v>
      </c>
    </row>
    <row r="73" spans="1:13">
      <c r="A73" s="9">
        <v>72</v>
      </c>
      <c r="B73" s="10">
        <v>40547</v>
      </c>
      <c r="C73" s="9">
        <v>2</v>
      </c>
      <c r="D73" s="9" t="b">
        <v>0</v>
      </c>
      <c r="E73" s="9" t="str">
        <f t="shared" si="1"/>
        <v>Weekday</v>
      </c>
      <c r="F73" s="9">
        <v>1</v>
      </c>
      <c r="G73" s="9">
        <v>0.14000000000000001</v>
      </c>
      <c r="H73" s="9">
        <v>0.1515</v>
      </c>
      <c r="I73" s="9">
        <v>0.63</v>
      </c>
      <c r="J73" s="9">
        <v>0.1343</v>
      </c>
      <c r="K73" s="9">
        <v>0</v>
      </c>
      <c r="L73" s="9">
        <v>1</v>
      </c>
      <c r="M73" s="9">
        <v>1</v>
      </c>
    </row>
    <row r="74" spans="1:13">
      <c r="A74" s="9">
        <v>73</v>
      </c>
      <c r="B74" s="10">
        <v>40547</v>
      </c>
      <c r="C74" s="9">
        <v>4</v>
      </c>
      <c r="D74" s="9" t="b">
        <v>0</v>
      </c>
      <c r="E74" s="9" t="str">
        <f t="shared" si="1"/>
        <v>Weekday</v>
      </c>
      <c r="F74" s="9">
        <v>1</v>
      </c>
      <c r="G74" s="9">
        <v>0.14000000000000001</v>
      </c>
      <c r="H74" s="9">
        <v>0.18179999999999999</v>
      </c>
      <c r="I74" s="9">
        <v>0.63</v>
      </c>
      <c r="J74" s="9">
        <v>8.9599999999999999E-2</v>
      </c>
      <c r="K74" s="9">
        <v>0</v>
      </c>
      <c r="L74" s="9">
        <v>2</v>
      </c>
      <c r="M74" s="9">
        <v>2</v>
      </c>
    </row>
    <row r="75" spans="1:13">
      <c r="A75" s="9">
        <v>74</v>
      </c>
      <c r="B75" s="10">
        <v>40547</v>
      </c>
      <c r="C75" s="9">
        <v>5</v>
      </c>
      <c r="D75" s="9" t="b">
        <v>0</v>
      </c>
      <c r="E75" s="9" t="str">
        <f t="shared" si="1"/>
        <v>Weekday</v>
      </c>
      <c r="F75" s="9">
        <v>1</v>
      </c>
      <c r="G75" s="9">
        <v>0.12</v>
      </c>
      <c r="H75" s="9">
        <v>0.1515</v>
      </c>
      <c r="I75" s="9">
        <v>0.68</v>
      </c>
      <c r="J75" s="9">
        <v>0.1045</v>
      </c>
      <c r="K75" s="9">
        <v>0</v>
      </c>
      <c r="L75" s="9">
        <v>4</v>
      </c>
      <c r="M75" s="9">
        <v>4</v>
      </c>
    </row>
    <row r="76" spans="1:13">
      <c r="A76" s="9">
        <v>75</v>
      </c>
      <c r="B76" s="10">
        <v>40547</v>
      </c>
      <c r="C76" s="9">
        <v>6</v>
      </c>
      <c r="D76" s="9" t="b">
        <v>0</v>
      </c>
      <c r="E76" s="9" t="str">
        <f t="shared" si="1"/>
        <v>Weekday</v>
      </c>
      <c r="F76" s="9">
        <v>1</v>
      </c>
      <c r="G76" s="9">
        <v>0.12</v>
      </c>
      <c r="H76" s="9">
        <v>0.1515</v>
      </c>
      <c r="I76" s="9">
        <v>0.74</v>
      </c>
      <c r="J76" s="9">
        <v>0.1045</v>
      </c>
      <c r="K76" s="9">
        <v>0</v>
      </c>
      <c r="L76" s="9">
        <v>36</v>
      </c>
      <c r="M76" s="9">
        <v>36</v>
      </c>
    </row>
    <row r="77" spans="1:13">
      <c r="A77" s="9">
        <v>76</v>
      </c>
      <c r="B77" s="10">
        <v>40547</v>
      </c>
      <c r="C77" s="9">
        <v>7</v>
      </c>
      <c r="D77" s="9" t="b">
        <v>0</v>
      </c>
      <c r="E77" s="9" t="str">
        <f t="shared" si="1"/>
        <v>Weekday</v>
      </c>
      <c r="F77" s="9">
        <v>1</v>
      </c>
      <c r="G77" s="9">
        <v>0.12</v>
      </c>
      <c r="H77" s="9">
        <v>0.1515</v>
      </c>
      <c r="I77" s="9">
        <v>0.74</v>
      </c>
      <c r="J77" s="9">
        <v>0.1343</v>
      </c>
      <c r="K77" s="9">
        <v>2</v>
      </c>
      <c r="L77" s="9">
        <v>92</v>
      </c>
      <c r="M77" s="9">
        <v>94</v>
      </c>
    </row>
    <row r="78" spans="1:13">
      <c r="A78" s="9">
        <v>77</v>
      </c>
      <c r="B78" s="10">
        <v>40547</v>
      </c>
      <c r="C78" s="9">
        <v>8</v>
      </c>
      <c r="D78" s="9" t="b">
        <v>0</v>
      </c>
      <c r="E78" s="9" t="str">
        <f t="shared" si="1"/>
        <v>Weekday</v>
      </c>
      <c r="F78" s="9">
        <v>1</v>
      </c>
      <c r="G78" s="9">
        <v>0.14000000000000001</v>
      </c>
      <c r="H78" s="9">
        <v>0.1515</v>
      </c>
      <c r="I78" s="9">
        <v>0.69</v>
      </c>
      <c r="J78" s="9">
        <v>0.16420000000000001</v>
      </c>
      <c r="K78" s="9">
        <v>2</v>
      </c>
      <c r="L78" s="9">
        <v>177</v>
      </c>
      <c r="M78" s="9">
        <v>179</v>
      </c>
    </row>
    <row r="79" spans="1:13">
      <c r="A79" s="9">
        <v>78</v>
      </c>
      <c r="B79" s="10">
        <v>40547</v>
      </c>
      <c r="C79" s="9">
        <v>9</v>
      </c>
      <c r="D79" s="9" t="b">
        <v>0</v>
      </c>
      <c r="E79" s="9" t="str">
        <f t="shared" si="1"/>
        <v>Weekday</v>
      </c>
      <c r="F79" s="9">
        <v>1</v>
      </c>
      <c r="G79" s="9">
        <v>0.16</v>
      </c>
      <c r="H79" s="9">
        <v>0.1515</v>
      </c>
      <c r="I79" s="9">
        <v>0.64</v>
      </c>
      <c r="J79" s="9">
        <v>0.22389999999999999</v>
      </c>
      <c r="K79" s="9">
        <v>2</v>
      </c>
      <c r="L79" s="9">
        <v>98</v>
      </c>
      <c r="M79" s="9">
        <v>100</v>
      </c>
    </row>
    <row r="80" spans="1:13">
      <c r="A80" s="9">
        <v>79</v>
      </c>
      <c r="B80" s="10">
        <v>40547</v>
      </c>
      <c r="C80" s="9">
        <v>10</v>
      </c>
      <c r="D80" s="9" t="b">
        <v>0</v>
      </c>
      <c r="E80" s="9" t="str">
        <f t="shared" si="1"/>
        <v>Weekday</v>
      </c>
      <c r="F80" s="9">
        <v>2</v>
      </c>
      <c r="G80" s="9">
        <v>0.16</v>
      </c>
      <c r="H80" s="9">
        <v>0.13639999999999999</v>
      </c>
      <c r="I80" s="9">
        <v>0.69</v>
      </c>
      <c r="J80" s="9">
        <v>0.32840000000000003</v>
      </c>
      <c r="K80" s="9">
        <v>5</v>
      </c>
      <c r="L80" s="9">
        <v>37</v>
      </c>
      <c r="M80" s="9">
        <v>42</v>
      </c>
    </row>
    <row r="81" spans="1:13">
      <c r="A81" s="9">
        <v>80</v>
      </c>
      <c r="B81" s="10">
        <v>40547</v>
      </c>
      <c r="C81" s="9">
        <v>11</v>
      </c>
      <c r="D81" s="9" t="b">
        <v>0</v>
      </c>
      <c r="E81" s="9" t="str">
        <f t="shared" si="1"/>
        <v>Weekday</v>
      </c>
      <c r="F81" s="9">
        <v>1</v>
      </c>
      <c r="G81" s="9">
        <v>0.22</v>
      </c>
      <c r="H81" s="9">
        <v>0.21210000000000001</v>
      </c>
      <c r="I81" s="9">
        <v>0.51</v>
      </c>
      <c r="J81" s="9">
        <v>0.29849999999999999</v>
      </c>
      <c r="K81" s="9">
        <v>7</v>
      </c>
      <c r="L81" s="9">
        <v>50</v>
      </c>
      <c r="M81" s="9">
        <v>57</v>
      </c>
    </row>
    <row r="82" spans="1:13">
      <c r="A82" s="9">
        <v>81</v>
      </c>
      <c r="B82" s="10">
        <v>40547</v>
      </c>
      <c r="C82" s="9">
        <v>12</v>
      </c>
      <c r="D82" s="9" t="b">
        <v>0</v>
      </c>
      <c r="E82" s="9" t="str">
        <f t="shared" si="1"/>
        <v>Weekday</v>
      </c>
      <c r="F82" s="9">
        <v>1</v>
      </c>
      <c r="G82" s="9">
        <v>0.22</v>
      </c>
      <c r="H82" s="9">
        <v>0.2273</v>
      </c>
      <c r="I82" s="9">
        <v>0.51</v>
      </c>
      <c r="J82" s="9">
        <v>0.16420000000000001</v>
      </c>
      <c r="K82" s="9">
        <v>12</v>
      </c>
      <c r="L82" s="9">
        <v>66</v>
      </c>
      <c r="M82" s="9">
        <v>78</v>
      </c>
    </row>
    <row r="83" spans="1:13">
      <c r="A83" s="9">
        <v>82</v>
      </c>
      <c r="B83" s="10">
        <v>40547</v>
      </c>
      <c r="C83" s="9">
        <v>13</v>
      </c>
      <c r="D83" s="9" t="b">
        <v>0</v>
      </c>
      <c r="E83" s="9" t="str">
        <f t="shared" si="1"/>
        <v>Weekday</v>
      </c>
      <c r="F83" s="9">
        <v>1</v>
      </c>
      <c r="G83" s="9">
        <v>0.24</v>
      </c>
      <c r="H83" s="9">
        <v>0.2273</v>
      </c>
      <c r="I83" s="9">
        <v>0.56000000000000005</v>
      </c>
      <c r="J83" s="9">
        <v>0.19400000000000001</v>
      </c>
      <c r="K83" s="9">
        <v>18</v>
      </c>
      <c r="L83" s="9">
        <v>79</v>
      </c>
      <c r="M83" s="9">
        <v>97</v>
      </c>
    </row>
    <row r="84" spans="1:13">
      <c r="A84" s="9">
        <v>83</v>
      </c>
      <c r="B84" s="10">
        <v>40547</v>
      </c>
      <c r="C84" s="9">
        <v>14</v>
      </c>
      <c r="D84" s="9" t="b">
        <v>0</v>
      </c>
      <c r="E84" s="9" t="str">
        <f t="shared" si="1"/>
        <v>Weekday</v>
      </c>
      <c r="F84" s="9">
        <v>1</v>
      </c>
      <c r="G84" s="9">
        <v>0.26</v>
      </c>
      <c r="H84" s="9">
        <v>0.2576</v>
      </c>
      <c r="I84" s="9">
        <v>0.52</v>
      </c>
      <c r="J84" s="9">
        <v>0.22389999999999999</v>
      </c>
      <c r="K84" s="9">
        <v>9</v>
      </c>
      <c r="L84" s="9">
        <v>54</v>
      </c>
      <c r="M84" s="9">
        <v>63</v>
      </c>
    </row>
    <row r="85" spans="1:13">
      <c r="A85" s="9">
        <v>84</v>
      </c>
      <c r="B85" s="10">
        <v>40547</v>
      </c>
      <c r="C85" s="9">
        <v>15</v>
      </c>
      <c r="D85" s="9" t="b">
        <v>0</v>
      </c>
      <c r="E85" s="9" t="str">
        <f t="shared" si="1"/>
        <v>Weekday</v>
      </c>
      <c r="F85" s="9">
        <v>1</v>
      </c>
      <c r="G85" s="9">
        <v>0.28000000000000003</v>
      </c>
      <c r="H85" s="9">
        <v>0.2727</v>
      </c>
      <c r="I85" s="9">
        <v>0.52</v>
      </c>
      <c r="J85" s="9">
        <v>0.25369999999999998</v>
      </c>
      <c r="K85" s="9">
        <v>17</v>
      </c>
      <c r="L85" s="9">
        <v>48</v>
      </c>
      <c r="M85" s="9">
        <v>65</v>
      </c>
    </row>
    <row r="86" spans="1:13">
      <c r="A86" s="9">
        <v>85</v>
      </c>
      <c r="B86" s="10">
        <v>40547</v>
      </c>
      <c r="C86" s="9">
        <v>16</v>
      </c>
      <c r="D86" s="9" t="b">
        <v>0</v>
      </c>
      <c r="E86" s="9" t="str">
        <f t="shared" si="1"/>
        <v>Weekday</v>
      </c>
      <c r="F86" s="9">
        <v>1</v>
      </c>
      <c r="G86" s="9">
        <v>0.3</v>
      </c>
      <c r="H86" s="9">
        <v>0.28789999999999999</v>
      </c>
      <c r="I86" s="9">
        <v>0.49</v>
      </c>
      <c r="J86" s="9">
        <v>0.25369999999999998</v>
      </c>
      <c r="K86" s="9">
        <v>15</v>
      </c>
      <c r="L86" s="9">
        <v>68</v>
      </c>
      <c r="M86" s="9">
        <v>83</v>
      </c>
    </row>
    <row r="87" spans="1:13">
      <c r="A87" s="9">
        <v>86</v>
      </c>
      <c r="B87" s="10">
        <v>40547</v>
      </c>
      <c r="C87" s="9">
        <v>17</v>
      </c>
      <c r="D87" s="9" t="b">
        <v>0</v>
      </c>
      <c r="E87" s="9" t="str">
        <f t="shared" si="1"/>
        <v>Weekday</v>
      </c>
      <c r="F87" s="9">
        <v>1</v>
      </c>
      <c r="G87" s="9">
        <v>0.28000000000000003</v>
      </c>
      <c r="H87" s="9">
        <v>0.2727</v>
      </c>
      <c r="I87" s="9">
        <v>0.48</v>
      </c>
      <c r="J87" s="9">
        <v>0.22389999999999999</v>
      </c>
      <c r="K87" s="9">
        <v>10</v>
      </c>
      <c r="L87" s="9">
        <v>202</v>
      </c>
      <c r="M87" s="9">
        <v>212</v>
      </c>
    </row>
    <row r="88" spans="1:13">
      <c r="A88" s="9">
        <v>87</v>
      </c>
      <c r="B88" s="10">
        <v>40547</v>
      </c>
      <c r="C88" s="9">
        <v>18</v>
      </c>
      <c r="D88" s="9" t="b">
        <v>0</v>
      </c>
      <c r="E88" s="9" t="str">
        <f t="shared" si="1"/>
        <v>Weekday</v>
      </c>
      <c r="F88" s="9">
        <v>1</v>
      </c>
      <c r="G88" s="9">
        <v>0.26</v>
      </c>
      <c r="H88" s="9">
        <v>0.2576</v>
      </c>
      <c r="I88" s="9">
        <v>0.48</v>
      </c>
      <c r="J88" s="9">
        <v>0.19400000000000001</v>
      </c>
      <c r="K88" s="9">
        <v>3</v>
      </c>
      <c r="L88" s="9">
        <v>179</v>
      </c>
      <c r="M88" s="9">
        <v>182</v>
      </c>
    </row>
    <row r="89" spans="1:13">
      <c r="A89" s="9">
        <v>88</v>
      </c>
      <c r="B89" s="10">
        <v>40547</v>
      </c>
      <c r="C89" s="9">
        <v>19</v>
      </c>
      <c r="D89" s="9" t="b">
        <v>0</v>
      </c>
      <c r="E89" s="9" t="str">
        <f t="shared" si="1"/>
        <v>Weekday</v>
      </c>
      <c r="F89" s="9">
        <v>1</v>
      </c>
      <c r="G89" s="9">
        <v>0.24</v>
      </c>
      <c r="H89" s="9">
        <v>0.2576</v>
      </c>
      <c r="I89" s="9">
        <v>0.48</v>
      </c>
      <c r="J89" s="9">
        <v>0.1045</v>
      </c>
      <c r="K89" s="9">
        <v>2</v>
      </c>
      <c r="L89" s="9">
        <v>110</v>
      </c>
      <c r="M89" s="9">
        <v>112</v>
      </c>
    </row>
    <row r="90" spans="1:13">
      <c r="A90" s="9">
        <v>89</v>
      </c>
      <c r="B90" s="10">
        <v>40547</v>
      </c>
      <c r="C90" s="9">
        <v>20</v>
      </c>
      <c r="D90" s="9" t="b">
        <v>0</v>
      </c>
      <c r="E90" s="9" t="str">
        <f t="shared" si="1"/>
        <v>Weekday</v>
      </c>
      <c r="F90" s="9">
        <v>1</v>
      </c>
      <c r="G90" s="9">
        <v>0.24</v>
      </c>
      <c r="H90" s="9">
        <v>0.2576</v>
      </c>
      <c r="I90" s="9">
        <v>0.48</v>
      </c>
      <c r="J90" s="9">
        <v>0.1045</v>
      </c>
      <c r="K90" s="9">
        <v>1</v>
      </c>
      <c r="L90" s="9">
        <v>53</v>
      </c>
      <c r="M90" s="9">
        <v>54</v>
      </c>
    </row>
    <row r="91" spans="1:13">
      <c r="A91" s="9">
        <v>90</v>
      </c>
      <c r="B91" s="10">
        <v>40547</v>
      </c>
      <c r="C91" s="9">
        <v>21</v>
      </c>
      <c r="D91" s="9" t="b">
        <v>0</v>
      </c>
      <c r="E91" s="9" t="str">
        <f t="shared" si="1"/>
        <v>Weekday</v>
      </c>
      <c r="F91" s="9">
        <v>1</v>
      </c>
      <c r="G91" s="9">
        <v>0.22</v>
      </c>
      <c r="H91" s="9">
        <v>0.2727</v>
      </c>
      <c r="I91" s="9">
        <v>0.64</v>
      </c>
      <c r="J91" s="9">
        <v>0</v>
      </c>
      <c r="K91" s="9">
        <v>0</v>
      </c>
      <c r="L91" s="9">
        <v>48</v>
      </c>
      <c r="M91" s="9">
        <v>48</v>
      </c>
    </row>
    <row r="92" spans="1:13">
      <c r="A92" s="9">
        <v>91</v>
      </c>
      <c r="B92" s="10">
        <v>40547</v>
      </c>
      <c r="C92" s="9">
        <v>22</v>
      </c>
      <c r="D92" s="9" t="b">
        <v>0</v>
      </c>
      <c r="E92" s="9" t="str">
        <f t="shared" si="1"/>
        <v>Weekday</v>
      </c>
      <c r="F92" s="9">
        <v>1</v>
      </c>
      <c r="G92" s="9">
        <v>0.22</v>
      </c>
      <c r="H92" s="9">
        <v>0.2576</v>
      </c>
      <c r="I92" s="9">
        <v>0.64</v>
      </c>
      <c r="J92" s="9">
        <v>8.9599999999999999E-2</v>
      </c>
      <c r="K92" s="9">
        <v>1</v>
      </c>
      <c r="L92" s="9">
        <v>34</v>
      </c>
      <c r="M92" s="9">
        <v>35</v>
      </c>
    </row>
    <row r="93" spans="1:13">
      <c r="A93" s="9">
        <v>92</v>
      </c>
      <c r="B93" s="10">
        <v>40547</v>
      </c>
      <c r="C93" s="9">
        <v>23</v>
      </c>
      <c r="D93" s="9" t="b">
        <v>0</v>
      </c>
      <c r="E93" s="9" t="str">
        <f t="shared" si="1"/>
        <v>Weekday</v>
      </c>
      <c r="F93" s="9">
        <v>1</v>
      </c>
      <c r="G93" s="9">
        <v>0.2</v>
      </c>
      <c r="H93" s="9">
        <v>0.2273</v>
      </c>
      <c r="I93" s="9">
        <v>0.69</v>
      </c>
      <c r="J93" s="9">
        <v>8.9599999999999999E-2</v>
      </c>
      <c r="K93" s="9">
        <v>2</v>
      </c>
      <c r="L93" s="9">
        <v>9</v>
      </c>
      <c r="M93" s="9">
        <v>11</v>
      </c>
    </row>
    <row r="94" spans="1:13">
      <c r="A94" s="9">
        <v>93</v>
      </c>
      <c r="B94" s="10">
        <v>40548</v>
      </c>
      <c r="C94" s="9">
        <v>0</v>
      </c>
      <c r="D94" s="9" t="b">
        <v>0</v>
      </c>
      <c r="E94" s="9" t="str">
        <f t="shared" si="1"/>
        <v>Weekday</v>
      </c>
      <c r="F94" s="9">
        <v>1</v>
      </c>
      <c r="G94" s="9">
        <v>0.2</v>
      </c>
      <c r="H94" s="9">
        <v>0.2576</v>
      </c>
      <c r="I94" s="9">
        <v>0.64</v>
      </c>
      <c r="J94" s="9">
        <v>0</v>
      </c>
      <c r="K94" s="9">
        <v>0</v>
      </c>
      <c r="L94" s="9">
        <v>6</v>
      </c>
      <c r="M94" s="9">
        <v>6</v>
      </c>
    </row>
    <row r="95" spans="1:13">
      <c r="A95" s="9">
        <v>94</v>
      </c>
      <c r="B95" s="10">
        <v>40548</v>
      </c>
      <c r="C95" s="9">
        <v>1</v>
      </c>
      <c r="D95" s="9" t="b">
        <v>0</v>
      </c>
      <c r="E95" s="9" t="str">
        <f t="shared" si="1"/>
        <v>Weekday</v>
      </c>
      <c r="F95" s="9">
        <v>1</v>
      </c>
      <c r="G95" s="9">
        <v>0.16</v>
      </c>
      <c r="H95" s="9">
        <v>0.19700000000000001</v>
      </c>
      <c r="I95" s="9">
        <v>0.74</v>
      </c>
      <c r="J95" s="9">
        <v>8.9599999999999999E-2</v>
      </c>
      <c r="K95" s="9">
        <v>0</v>
      </c>
      <c r="L95" s="9">
        <v>6</v>
      </c>
      <c r="M95" s="9">
        <v>6</v>
      </c>
    </row>
    <row r="96" spans="1:13">
      <c r="A96" s="9">
        <v>95</v>
      </c>
      <c r="B96" s="10">
        <v>40548</v>
      </c>
      <c r="C96" s="9">
        <v>2</v>
      </c>
      <c r="D96" s="9" t="b">
        <v>0</v>
      </c>
      <c r="E96" s="9" t="str">
        <f t="shared" si="1"/>
        <v>Weekday</v>
      </c>
      <c r="F96" s="9">
        <v>1</v>
      </c>
      <c r="G96" s="9">
        <v>0.16</v>
      </c>
      <c r="H96" s="9">
        <v>0.19700000000000001</v>
      </c>
      <c r="I96" s="9">
        <v>0.74</v>
      </c>
      <c r="J96" s="9">
        <v>8.9599999999999999E-2</v>
      </c>
      <c r="K96" s="9">
        <v>0</v>
      </c>
      <c r="L96" s="9">
        <v>2</v>
      </c>
      <c r="M96" s="9">
        <v>2</v>
      </c>
    </row>
    <row r="97" spans="1:13">
      <c r="A97" s="9">
        <v>96</v>
      </c>
      <c r="B97" s="10">
        <v>40548</v>
      </c>
      <c r="C97" s="9">
        <v>4</v>
      </c>
      <c r="D97" s="9" t="b">
        <v>0</v>
      </c>
      <c r="E97" s="9" t="str">
        <f t="shared" si="1"/>
        <v>Weekday</v>
      </c>
      <c r="F97" s="9">
        <v>1</v>
      </c>
      <c r="G97" s="9">
        <v>0.24</v>
      </c>
      <c r="H97" s="9">
        <v>0.2273</v>
      </c>
      <c r="I97" s="9">
        <v>0.48</v>
      </c>
      <c r="J97" s="9">
        <v>0.22389999999999999</v>
      </c>
      <c r="K97" s="9">
        <v>0</v>
      </c>
      <c r="L97" s="9">
        <v>2</v>
      </c>
      <c r="M97" s="9">
        <v>2</v>
      </c>
    </row>
    <row r="98" spans="1:13">
      <c r="A98" s="9">
        <v>97</v>
      </c>
      <c r="B98" s="10">
        <v>40548</v>
      </c>
      <c r="C98" s="9">
        <v>5</v>
      </c>
      <c r="D98" s="9" t="b">
        <v>0</v>
      </c>
      <c r="E98" s="9" t="str">
        <f t="shared" si="1"/>
        <v>Weekday</v>
      </c>
      <c r="F98" s="9">
        <v>1</v>
      </c>
      <c r="G98" s="9">
        <v>0.22</v>
      </c>
      <c r="H98" s="9">
        <v>0.2273</v>
      </c>
      <c r="I98" s="9">
        <v>0.47</v>
      </c>
      <c r="J98" s="9">
        <v>0.16420000000000001</v>
      </c>
      <c r="K98" s="9">
        <v>0</v>
      </c>
      <c r="L98" s="9">
        <v>3</v>
      </c>
      <c r="M98" s="9">
        <v>3</v>
      </c>
    </row>
    <row r="99" spans="1:13">
      <c r="A99" s="9">
        <v>98</v>
      </c>
      <c r="B99" s="10">
        <v>40548</v>
      </c>
      <c r="C99" s="9">
        <v>6</v>
      </c>
      <c r="D99" s="9" t="b">
        <v>0</v>
      </c>
      <c r="E99" s="9" t="str">
        <f t="shared" si="1"/>
        <v>Weekday</v>
      </c>
      <c r="F99" s="9">
        <v>1</v>
      </c>
      <c r="G99" s="9">
        <v>0.2</v>
      </c>
      <c r="H99" s="9">
        <v>0.19700000000000001</v>
      </c>
      <c r="I99" s="9">
        <v>0.47</v>
      </c>
      <c r="J99" s="9">
        <v>0.22389999999999999</v>
      </c>
      <c r="K99" s="9">
        <v>0</v>
      </c>
      <c r="L99" s="9">
        <v>33</v>
      </c>
      <c r="M99" s="9">
        <v>33</v>
      </c>
    </row>
    <row r="100" spans="1:13">
      <c r="A100" s="9">
        <v>99</v>
      </c>
      <c r="B100" s="10">
        <v>40548</v>
      </c>
      <c r="C100" s="9">
        <v>7</v>
      </c>
      <c r="D100" s="9" t="b">
        <v>0</v>
      </c>
      <c r="E100" s="9" t="str">
        <f t="shared" si="1"/>
        <v>Weekday</v>
      </c>
      <c r="F100" s="9">
        <v>1</v>
      </c>
      <c r="G100" s="9">
        <v>0.18</v>
      </c>
      <c r="H100" s="9">
        <v>0.18179999999999999</v>
      </c>
      <c r="I100" s="9">
        <v>0.43</v>
      </c>
      <c r="J100" s="9">
        <v>0.19400000000000001</v>
      </c>
      <c r="K100" s="9">
        <v>1</v>
      </c>
      <c r="L100" s="9">
        <v>87</v>
      </c>
      <c r="M100" s="9">
        <v>88</v>
      </c>
    </row>
    <row r="101" spans="1:13">
      <c r="A101" s="9">
        <v>100</v>
      </c>
      <c r="B101" s="10">
        <v>40548</v>
      </c>
      <c r="C101" s="9">
        <v>8</v>
      </c>
      <c r="D101" s="9" t="b">
        <v>0</v>
      </c>
      <c r="E101" s="9" t="str">
        <f t="shared" si="1"/>
        <v>Weekday</v>
      </c>
      <c r="F101" s="9">
        <v>1</v>
      </c>
      <c r="G101" s="9">
        <v>0.2</v>
      </c>
      <c r="H101" s="9">
        <v>0.18179999999999999</v>
      </c>
      <c r="I101" s="9">
        <v>0.4</v>
      </c>
      <c r="J101" s="9">
        <v>0.29849999999999999</v>
      </c>
      <c r="K101" s="9">
        <v>3</v>
      </c>
      <c r="L101" s="9">
        <v>192</v>
      </c>
      <c r="M101" s="9">
        <v>195</v>
      </c>
    </row>
    <row r="102" spans="1:13">
      <c r="A102" s="9">
        <v>101</v>
      </c>
      <c r="B102" s="10">
        <v>40548</v>
      </c>
      <c r="C102" s="9">
        <v>9</v>
      </c>
      <c r="D102" s="9" t="b">
        <v>0</v>
      </c>
      <c r="E102" s="9" t="str">
        <f t="shared" si="1"/>
        <v>Weekday</v>
      </c>
      <c r="F102" s="9">
        <v>1</v>
      </c>
      <c r="G102" s="9">
        <v>0.22</v>
      </c>
      <c r="H102" s="9">
        <v>0.19700000000000001</v>
      </c>
      <c r="I102" s="9">
        <v>0.37</v>
      </c>
      <c r="J102" s="9">
        <v>0.32840000000000003</v>
      </c>
      <c r="K102" s="9">
        <v>6</v>
      </c>
      <c r="L102" s="9">
        <v>109</v>
      </c>
      <c r="M102" s="9">
        <v>115</v>
      </c>
    </row>
    <row r="103" spans="1:13">
      <c r="A103" s="9">
        <v>102</v>
      </c>
      <c r="B103" s="10">
        <v>40548</v>
      </c>
      <c r="C103" s="9">
        <v>10</v>
      </c>
      <c r="D103" s="9" t="b">
        <v>0</v>
      </c>
      <c r="E103" s="9" t="str">
        <f t="shared" si="1"/>
        <v>Weekday</v>
      </c>
      <c r="F103" s="9">
        <v>1</v>
      </c>
      <c r="G103" s="9">
        <v>0.22</v>
      </c>
      <c r="H103" s="9">
        <v>0.19700000000000001</v>
      </c>
      <c r="I103" s="9">
        <v>0.37</v>
      </c>
      <c r="J103" s="9">
        <v>0.32840000000000003</v>
      </c>
      <c r="K103" s="9">
        <v>4</v>
      </c>
      <c r="L103" s="9">
        <v>53</v>
      </c>
      <c r="M103" s="9">
        <v>57</v>
      </c>
    </row>
    <row r="104" spans="1:13">
      <c r="A104" s="9">
        <v>103</v>
      </c>
      <c r="B104" s="10">
        <v>40548</v>
      </c>
      <c r="C104" s="9">
        <v>11</v>
      </c>
      <c r="D104" s="9" t="b">
        <v>0</v>
      </c>
      <c r="E104" s="9" t="str">
        <f t="shared" si="1"/>
        <v>Weekday</v>
      </c>
      <c r="F104" s="9">
        <v>1</v>
      </c>
      <c r="G104" s="9">
        <v>0.26</v>
      </c>
      <c r="H104" s="9">
        <v>0.2273</v>
      </c>
      <c r="I104" s="9">
        <v>0.33</v>
      </c>
      <c r="J104" s="9">
        <v>0.32840000000000003</v>
      </c>
      <c r="K104" s="9">
        <v>12</v>
      </c>
      <c r="L104" s="9">
        <v>34</v>
      </c>
      <c r="M104" s="9">
        <v>46</v>
      </c>
    </row>
    <row r="105" spans="1:13">
      <c r="A105" s="9">
        <v>104</v>
      </c>
      <c r="B105" s="10">
        <v>40548</v>
      </c>
      <c r="C105" s="9">
        <v>12</v>
      </c>
      <c r="D105" s="9" t="b">
        <v>0</v>
      </c>
      <c r="E105" s="9" t="str">
        <f t="shared" si="1"/>
        <v>Weekday</v>
      </c>
      <c r="F105" s="9">
        <v>1</v>
      </c>
      <c r="G105" s="9">
        <v>0.26</v>
      </c>
      <c r="H105" s="9">
        <v>0.2273</v>
      </c>
      <c r="I105" s="9">
        <v>0.33</v>
      </c>
      <c r="J105" s="9">
        <v>0.32840000000000003</v>
      </c>
      <c r="K105" s="9">
        <v>5</v>
      </c>
      <c r="L105" s="9">
        <v>74</v>
      </c>
      <c r="M105" s="9">
        <v>79</v>
      </c>
    </row>
    <row r="106" spans="1:13">
      <c r="A106" s="9">
        <v>105</v>
      </c>
      <c r="B106" s="10">
        <v>40548</v>
      </c>
      <c r="C106" s="9">
        <v>13</v>
      </c>
      <c r="D106" s="9" t="b">
        <v>0</v>
      </c>
      <c r="E106" s="9" t="str">
        <f t="shared" si="1"/>
        <v>Weekday</v>
      </c>
      <c r="F106" s="9">
        <v>1</v>
      </c>
      <c r="G106" s="9">
        <v>0.28000000000000003</v>
      </c>
      <c r="H106" s="9">
        <v>0.2576</v>
      </c>
      <c r="I106" s="9">
        <v>0.3</v>
      </c>
      <c r="J106" s="9">
        <v>0.29849999999999999</v>
      </c>
      <c r="K106" s="9">
        <v>6</v>
      </c>
      <c r="L106" s="9">
        <v>65</v>
      </c>
      <c r="M106" s="9">
        <v>71</v>
      </c>
    </row>
    <row r="107" spans="1:13">
      <c r="A107" s="9">
        <v>106</v>
      </c>
      <c r="B107" s="10">
        <v>40548</v>
      </c>
      <c r="C107" s="9">
        <v>14</v>
      </c>
      <c r="D107" s="9" t="b">
        <v>0</v>
      </c>
      <c r="E107" s="9" t="str">
        <f t="shared" si="1"/>
        <v>Weekday</v>
      </c>
      <c r="F107" s="9">
        <v>1</v>
      </c>
      <c r="G107" s="9">
        <v>0.3</v>
      </c>
      <c r="H107" s="9">
        <v>0.28789999999999999</v>
      </c>
      <c r="I107" s="9">
        <v>0.28000000000000003</v>
      </c>
      <c r="J107" s="9">
        <v>0.19400000000000001</v>
      </c>
      <c r="K107" s="9">
        <v>10</v>
      </c>
      <c r="L107" s="9">
        <v>52</v>
      </c>
      <c r="M107" s="9">
        <v>62</v>
      </c>
    </row>
    <row r="108" spans="1:13">
      <c r="A108" s="9">
        <v>107</v>
      </c>
      <c r="B108" s="10">
        <v>40548</v>
      </c>
      <c r="C108" s="9">
        <v>15</v>
      </c>
      <c r="D108" s="9" t="b">
        <v>0</v>
      </c>
      <c r="E108" s="9" t="str">
        <f t="shared" si="1"/>
        <v>Weekday</v>
      </c>
      <c r="F108" s="9">
        <v>1</v>
      </c>
      <c r="G108" s="9">
        <v>0.3</v>
      </c>
      <c r="H108" s="9">
        <v>0.28789999999999999</v>
      </c>
      <c r="I108" s="9">
        <v>0.28000000000000003</v>
      </c>
      <c r="J108" s="9">
        <v>0.19400000000000001</v>
      </c>
      <c r="K108" s="9">
        <v>7</v>
      </c>
      <c r="L108" s="9">
        <v>55</v>
      </c>
      <c r="M108" s="9">
        <v>62</v>
      </c>
    </row>
    <row r="109" spans="1:13">
      <c r="A109" s="9">
        <v>108</v>
      </c>
      <c r="B109" s="10">
        <v>40548</v>
      </c>
      <c r="C109" s="9">
        <v>16</v>
      </c>
      <c r="D109" s="9" t="b">
        <v>0</v>
      </c>
      <c r="E109" s="9" t="str">
        <f t="shared" si="1"/>
        <v>Weekday</v>
      </c>
      <c r="F109" s="9">
        <v>1</v>
      </c>
      <c r="G109" s="9">
        <v>0.3</v>
      </c>
      <c r="H109" s="9">
        <v>0.31819999999999998</v>
      </c>
      <c r="I109" s="9">
        <v>0.28000000000000003</v>
      </c>
      <c r="J109" s="9">
        <v>8.9599999999999999E-2</v>
      </c>
      <c r="K109" s="9">
        <v>4</v>
      </c>
      <c r="L109" s="9">
        <v>85</v>
      </c>
      <c r="M109" s="9">
        <v>89</v>
      </c>
    </row>
    <row r="110" spans="1:13">
      <c r="A110" s="9">
        <v>109</v>
      </c>
      <c r="B110" s="10">
        <v>40548</v>
      </c>
      <c r="C110" s="9">
        <v>17</v>
      </c>
      <c r="D110" s="9" t="b">
        <v>0</v>
      </c>
      <c r="E110" s="9" t="str">
        <f t="shared" si="1"/>
        <v>Weekday</v>
      </c>
      <c r="F110" s="9">
        <v>1</v>
      </c>
      <c r="G110" s="9">
        <v>0.24</v>
      </c>
      <c r="H110" s="9">
        <v>0.2273</v>
      </c>
      <c r="I110" s="9">
        <v>0.38</v>
      </c>
      <c r="J110" s="9">
        <v>0.19400000000000001</v>
      </c>
      <c r="K110" s="9">
        <v>4</v>
      </c>
      <c r="L110" s="9">
        <v>186</v>
      </c>
      <c r="M110" s="9">
        <v>190</v>
      </c>
    </row>
    <row r="111" spans="1:13">
      <c r="A111" s="9">
        <v>110</v>
      </c>
      <c r="B111" s="10">
        <v>40548</v>
      </c>
      <c r="C111" s="9">
        <v>18</v>
      </c>
      <c r="D111" s="9" t="b">
        <v>0</v>
      </c>
      <c r="E111" s="9" t="str">
        <f t="shared" si="1"/>
        <v>Weekday</v>
      </c>
      <c r="F111" s="9">
        <v>1</v>
      </c>
      <c r="G111" s="9">
        <v>0.24</v>
      </c>
      <c r="H111" s="9">
        <v>0.2424</v>
      </c>
      <c r="I111" s="9">
        <v>0.38</v>
      </c>
      <c r="J111" s="9">
        <v>0.1343</v>
      </c>
      <c r="K111" s="9">
        <v>3</v>
      </c>
      <c r="L111" s="9">
        <v>166</v>
      </c>
      <c r="M111" s="9">
        <v>169</v>
      </c>
    </row>
    <row r="112" spans="1:13">
      <c r="A112" s="9">
        <v>111</v>
      </c>
      <c r="B112" s="10">
        <v>40548</v>
      </c>
      <c r="C112" s="9">
        <v>19</v>
      </c>
      <c r="D112" s="9" t="b">
        <v>0</v>
      </c>
      <c r="E112" s="9" t="str">
        <f t="shared" si="1"/>
        <v>Weekday</v>
      </c>
      <c r="F112" s="9">
        <v>1</v>
      </c>
      <c r="G112" s="9">
        <v>0.24</v>
      </c>
      <c r="H112" s="9">
        <v>0.2576</v>
      </c>
      <c r="I112" s="9">
        <v>0.38</v>
      </c>
      <c r="J112" s="9">
        <v>0.1045</v>
      </c>
      <c r="K112" s="9">
        <v>5</v>
      </c>
      <c r="L112" s="9">
        <v>127</v>
      </c>
      <c r="M112" s="9">
        <v>132</v>
      </c>
    </row>
    <row r="113" spans="1:13">
      <c r="A113" s="9">
        <v>112</v>
      </c>
      <c r="B113" s="10">
        <v>40548</v>
      </c>
      <c r="C113" s="9">
        <v>20</v>
      </c>
      <c r="D113" s="9" t="b">
        <v>0</v>
      </c>
      <c r="E113" s="9" t="str">
        <f t="shared" si="1"/>
        <v>Weekday</v>
      </c>
      <c r="F113" s="9">
        <v>1</v>
      </c>
      <c r="G113" s="9">
        <v>0.22</v>
      </c>
      <c r="H113" s="9">
        <v>0.2273</v>
      </c>
      <c r="I113" s="9">
        <v>0.47</v>
      </c>
      <c r="J113" s="9">
        <v>0.16420000000000001</v>
      </c>
      <c r="K113" s="9">
        <v>7</v>
      </c>
      <c r="L113" s="9">
        <v>82</v>
      </c>
      <c r="M113" s="9">
        <v>89</v>
      </c>
    </row>
    <row r="114" spans="1:13">
      <c r="A114" s="9">
        <v>113</v>
      </c>
      <c r="B114" s="10">
        <v>40548</v>
      </c>
      <c r="C114" s="9">
        <v>21</v>
      </c>
      <c r="D114" s="9" t="b">
        <v>0</v>
      </c>
      <c r="E114" s="9" t="str">
        <f t="shared" si="1"/>
        <v>Weekday</v>
      </c>
      <c r="F114" s="9">
        <v>1</v>
      </c>
      <c r="G114" s="9">
        <v>0.2</v>
      </c>
      <c r="H114" s="9">
        <v>0.19700000000000001</v>
      </c>
      <c r="I114" s="9">
        <v>0.51</v>
      </c>
      <c r="J114" s="9">
        <v>0.19400000000000001</v>
      </c>
      <c r="K114" s="9">
        <v>3</v>
      </c>
      <c r="L114" s="9">
        <v>40</v>
      </c>
      <c r="M114" s="9">
        <v>43</v>
      </c>
    </row>
    <row r="115" spans="1:13">
      <c r="A115" s="9">
        <v>114</v>
      </c>
      <c r="B115" s="10">
        <v>40548</v>
      </c>
      <c r="C115" s="9">
        <v>22</v>
      </c>
      <c r="D115" s="9" t="b">
        <v>0</v>
      </c>
      <c r="E115" s="9" t="str">
        <f t="shared" si="1"/>
        <v>Weekday</v>
      </c>
      <c r="F115" s="9">
        <v>1</v>
      </c>
      <c r="G115" s="9">
        <v>0.18</v>
      </c>
      <c r="H115" s="9">
        <v>0.19700000000000001</v>
      </c>
      <c r="I115" s="9">
        <v>0.55000000000000004</v>
      </c>
      <c r="J115" s="9">
        <v>0.1343</v>
      </c>
      <c r="K115" s="9">
        <v>1</v>
      </c>
      <c r="L115" s="9">
        <v>41</v>
      </c>
      <c r="M115" s="9">
        <v>42</v>
      </c>
    </row>
    <row r="116" spans="1:13">
      <c r="A116" s="9">
        <v>115</v>
      </c>
      <c r="B116" s="10">
        <v>40548</v>
      </c>
      <c r="C116" s="9">
        <v>23</v>
      </c>
      <c r="D116" s="9" t="b">
        <v>0</v>
      </c>
      <c r="E116" s="9" t="str">
        <f t="shared" si="1"/>
        <v>Weekday</v>
      </c>
      <c r="F116" s="9">
        <v>1</v>
      </c>
      <c r="G116" s="9">
        <v>0.2</v>
      </c>
      <c r="H116" s="9">
        <v>0.2576</v>
      </c>
      <c r="I116" s="9">
        <v>0.47</v>
      </c>
      <c r="J116" s="9">
        <v>0</v>
      </c>
      <c r="K116" s="9">
        <v>1</v>
      </c>
      <c r="L116" s="9">
        <v>18</v>
      </c>
      <c r="M116" s="9">
        <v>19</v>
      </c>
    </row>
    <row r="117" spans="1:13">
      <c r="A117" s="9">
        <v>116</v>
      </c>
      <c r="B117" s="10">
        <v>40549</v>
      </c>
      <c r="C117" s="9">
        <v>0</v>
      </c>
      <c r="D117" s="9" t="b">
        <v>0</v>
      </c>
      <c r="E117" s="9" t="str">
        <f t="shared" si="1"/>
        <v>Weekday</v>
      </c>
      <c r="F117" s="9">
        <v>1</v>
      </c>
      <c r="G117" s="9">
        <v>0.18</v>
      </c>
      <c r="H117" s="9">
        <v>0.2424</v>
      </c>
      <c r="I117" s="9">
        <v>0.55000000000000004</v>
      </c>
      <c r="J117" s="9">
        <v>0</v>
      </c>
      <c r="K117" s="9">
        <v>0</v>
      </c>
      <c r="L117" s="9">
        <v>11</v>
      </c>
      <c r="M117" s="9">
        <v>11</v>
      </c>
    </row>
    <row r="118" spans="1:13">
      <c r="A118" s="9">
        <v>117</v>
      </c>
      <c r="B118" s="10">
        <v>40549</v>
      </c>
      <c r="C118" s="9">
        <v>1</v>
      </c>
      <c r="D118" s="9" t="b">
        <v>0</v>
      </c>
      <c r="E118" s="9" t="str">
        <f t="shared" si="1"/>
        <v>Weekday</v>
      </c>
      <c r="F118" s="9">
        <v>1</v>
      </c>
      <c r="G118" s="9">
        <v>0.16</v>
      </c>
      <c r="H118" s="9">
        <v>0.2273</v>
      </c>
      <c r="I118" s="9">
        <v>0.64</v>
      </c>
      <c r="J118" s="9">
        <v>0</v>
      </c>
      <c r="K118" s="9">
        <v>0</v>
      </c>
      <c r="L118" s="9">
        <v>4</v>
      </c>
      <c r="M118" s="9">
        <v>4</v>
      </c>
    </row>
    <row r="119" spans="1:13">
      <c r="A119" s="9">
        <v>118</v>
      </c>
      <c r="B119" s="10">
        <v>40549</v>
      </c>
      <c r="C119" s="9">
        <v>2</v>
      </c>
      <c r="D119" s="9" t="b">
        <v>0</v>
      </c>
      <c r="E119" s="9" t="str">
        <f t="shared" si="1"/>
        <v>Weekday</v>
      </c>
      <c r="F119" s="9">
        <v>1</v>
      </c>
      <c r="G119" s="9">
        <v>0.16</v>
      </c>
      <c r="H119" s="9">
        <v>0.2273</v>
      </c>
      <c r="I119" s="9">
        <v>0.64</v>
      </c>
      <c r="J119" s="9">
        <v>0</v>
      </c>
      <c r="K119" s="9">
        <v>0</v>
      </c>
      <c r="L119" s="9">
        <v>2</v>
      </c>
      <c r="M119" s="9">
        <v>2</v>
      </c>
    </row>
    <row r="120" spans="1:13">
      <c r="A120" s="9">
        <v>119</v>
      </c>
      <c r="B120" s="10">
        <v>40549</v>
      </c>
      <c r="C120" s="9">
        <v>4</v>
      </c>
      <c r="D120" s="9" t="b">
        <v>0</v>
      </c>
      <c r="E120" s="9" t="str">
        <f t="shared" si="1"/>
        <v>Weekday</v>
      </c>
      <c r="F120" s="9">
        <v>2</v>
      </c>
      <c r="G120" s="9">
        <v>0.16</v>
      </c>
      <c r="H120" s="9">
        <v>0.19700000000000001</v>
      </c>
      <c r="I120" s="9">
        <v>0.64</v>
      </c>
      <c r="J120" s="9">
        <v>8.9599999999999999E-2</v>
      </c>
      <c r="K120" s="9">
        <v>0</v>
      </c>
      <c r="L120" s="9">
        <v>1</v>
      </c>
      <c r="M120" s="9">
        <v>1</v>
      </c>
    </row>
    <row r="121" spans="1:13">
      <c r="A121" s="9">
        <v>120</v>
      </c>
      <c r="B121" s="10">
        <v>40549</v>
      </c>
      <c r="C121" s="9">
        <v>5</v>
      </c>
      <c r="D121" s="9" t="b">
        <v>0</v>
      </c>
      <c r="E121" s="9" t="str">
        <f t="shared" si="1"/>
        <v>Weekday</v>
      </c>
      <c r="F121" s="9">
        <v>2</v>
      </c>
      <c r="G121" s="9">
        <v>0.14000000000000001</v>
      </c>
      <c r="H121" s="9">
        <v>0.18179999999999999</v>
      </c>
      <c r="I121" s="9">
        <v>0.69</v>
      </c>
      <c r="J121" s="9">
        <v>8.9599999999999999E-2</v>
      </c>
      <c r="K121" s="9">
        <v>0</v>
      </c>
      <c r="L121" s="9">
        <v>4</v>
      </c>
      <c r="M121" s="9">
        <v>4</v>
      </c>
    </row>
    <row r="122" spans="1:13">
      <c r="A122" s="9">
        <v>121</v>
      </c>
      <c r="B122" s="10">
        <v>40549</v>
      </c>
      <c r="C122" s="9">
        <v>6</v>
      </c>
      <c r="D122" s="9" t="b">
        <v>0</v>
      </c>
      <c r="E122" s="9" t="str">
        <f t="shared" si="1"/>
        <v>Weekday</v>
      </c>
      <c r="F122" s="9">
        <v>2</v>
      </c>
      <c r="G122" s="9">
        <v>0.14000000000000001</v>
      </c>
      <c r="H122" s="9">
        <v>0.16669999999999999</v>
      </c>
      <c r="I122" s="9">
        <v>0.63</v>
      </c>
      <c r="J122" s="9">
        <v>0.1045</v>
      </c>
      <c r="K122" s="9">
        <v>0</v>
      </c>
      <c r="L122" s="9">
        <v>36</v>
      </c>
      <c r="M122" s="9">
        <v>36</v>
      </c>
    </row>
    <row r="123" spans="1:13">
      <c r="A123" s="9">
        <v>122</v>
      </c>
      <c r="B123" s="10">
        <v>40549</v>
      </c>
      <c r="C123" s="9">
        <v>7</v>
      </c>
      <c r="D123" s="9" t="b">
        <v>0</v>
      </c>
      <c r="E123" s="9" t="str">
        <f t="shared" si="1"/>
        <v>Weekday</v>
      </c>
      <c r="F123" s="9">
        <v>2</v>
      </c>
      <c r="G123" s="9">
        <v>0.16</v>
      </c>
      <c r="H123" s="9">
        <v>0.2273</v>
      </c>
      <c r="I123" s="9">
        <v>0.59</v>
      </c>
      <c r="J123" s="9">
        <v>0</v>
      </c>
      <c r="K123" s="9">
        <v>0</v>
      </c>
      <c r="L123" s="9">
        <v>95</v>
      </c>
      <c r="M123" s="9">
        <v>95</v>
      </c>
    </row>
    <row r="124" spans="1:13">
      <c r="A124" s="9">
        <v>123</v>
      </c>
      <c r="B124" s="10">
        <v>40549</v>
      </c>
      <c r="C124" s="9">
        <v>8</v>
      </c>
      <c r="D124" s="9" t="b">
        <v>0</v>
      </c>
      <c r="E124" s="9" t="str">
        <f t="shared" si="1"/>
        <v>Weekday</v>
      </c>
      <c r="F124" s="9">
        <v>1</v>
      </c>
      <c r="G124" s="9">
        <v>0.16</v>
      </c>
      <c r="H124" s="9">
        <v>0.2273</v>
      </c>
      <c r="I124" s="9">
        <v>0.59</v>
      </c>
      <c r="J124" s="9">
        <v>0</v>
      </c>
      <c r="K124" s="9">
        <v>3</v>
      </c>
      <c r="L124" s="9">
        <v>216</v>
      </c>
      <c r="M124" s="9">
        <v>219</v>
      </c>
    </row>
    <row r="125" spans="1:13">
      <c r="A125" s="9">
        <v>124</v>
      </c>
      <c r="B125" s="10">
        <v>40549</v>
      </c>
      <c r="C125" s="9">
        <v>9</v>
      </c>
      <c r="D125" s="9" t="b">
        <v>0</v>
      </c>
      <c r="E125" s="9" t="str">
        <f t="shared" si="1"/>
        <v>Weekday</v>
      </c>
      <c r="F125" s="9">
        <v>2</v>
      </c>
      <c r="G125" s="9">
        <v>0.18</v>
      </c>
      <c r="H125" s="9">
        <v>0.2424</v>
      </c>
      <c r="I125" s="9">
        <v>0.51</v>
      </c>
      <c r="J125" s="9">
        <v>0</v>
      </c>
      <c r="K125" s="9">
        <v>6</v>
      </c>
      <c r="L125" s="9">
        <v>116</v>
      </c>
      <c r="M125" s="9">
        <v>122</v>
      </c>
    </row>
    <row r="126" spans="1:13">
      <c r="A126" s="9">
        <v>125</v>
      </c>
      <c r="B126" s="10">
        <v>40549</v>
      </c>
      <c r="C126" s="9">
        <v>10</v>
      </c>
      <c r="D126" s="9" t="b">
        <v>0</v>
      </c>
      <c r="E126" s="9" t="str">
        <f t="shared" si="1"/>
        <v>Weekday</v>
      </c>
      <c r="F126" s="9">
        <v>1</v>
      </c>
      <c r="G126" s="9">
        <v>0.2</v>
      </c>
      <c r="H126" s="9">
        <v>0.2576</v>
      </c>
      <c r="I126" s="9">
        <v>0.47</v>
      </c>
      <c r="J126" s="9">
        <v>0</v>
      </c>
      <c r="K126" s="9">
        <v>3</v>
      </c>
      <c r="L126" s="9">
        <v>42</v>
      </c>
      <c r="M126" s="9">
        <v>45</v>
      </c>
    </row>
    <row r="127" spans="1:13">
      <c r="A127" s="9">
        <v>126</v>
      </c>
      <c r="B127" s="10">
        <v>40549</v>
      </c>
      <c r="C127" s="9">
        <v>11</v>
      </c>
      <c r="D127" s="9" t="b">
        <v>0</v>
      </c>
      <c r="E127" s="9" t="str">
        <f t="shared" si="1"/>
        <v>Weekday</v>
      </c>
      <c r="F127" s="9">
        <v>1</v>
      </c>
      <c r="G127" s="9">
        <v>0.22</v>
      </c>
      <c r="H127" s="9">
        <v>0.2576</v>
      </c>
      <c r="I127" s="9">
        <v>0.44</v>
      </c>
      <c r="J127" s="9">
        <v>8.9599999999999999E-2</v>
      </c>
      <c r="K127" s="9">
        <v>2</v>
      </c>
      <c r="L127" s="9">
        <v>57</v>
      </c>
      <c r="M127" s="9">
        <v>59</v>
      </c>
    </row>
    <row r="128" spans="1:13">
      <c r="A128" s="9">
        <v>127</v>
      </c>
      <c r="B128" s="10">
        <v>40549</v>
      </c>
      <c r="C128" s="9">
        <v>12</v>
      </c>
      <c r="D128" s="9" t="b">
        <v>0</v>
      </c>
      <c r="E128" s="9" t="str">
        <f t="shared" si="1"/>
        <v>Weekday</v>
      </c>
      <c r="F128" s="9">
        <v>1</v>
      </c>
      <c r="G128" s="9">
        <v>0.26</v>
      </c>
      <c r="H128" s="9">
        <v>0.28789999999999999</v>
      </c>
      <c r="I128" s="9">
        <v>0.35</v>
      </c>
      <c r="J128" s="9">
        <v>0</v>
      </c>
      <c r="K128" s="9">
        <v>6</v>
      </c>
      <c r="L128" s="9">
        <v>78</v>
      </c>
      <c r="M128" s="9">
        <v>84</v>
      </c>
    </row>
    <row r="129" spans="1:13">
      <c r="A129" s="9">
        <v>128</v>
      </c>
      <c r="B129" s="10">
        <v>40549</v>
      </c>
      <c r="C129" s="9">
        <v>13</v>
      </c>
      <c r="D129" s="9" t="b">
        <v>0</v>
      </c>
      <c r="E129" s="9" t="str">
        <f t="shared" si="1"/>
        <v>Weekday</v>
      </c>
      <c r="F129" s="9">
        <v>1</v>
      </c>
      <c r="G129" s="9">
        <v>0.26</v>
      </c>
      <c r="H129" s="9">
        <v>0.2727</v>
      </c>
      <c r="I129" s="9">
        <v>0.35</v>
      </c>
      <c r="J129" s="9">
        <v>0.1045</v>
      </c>
      <c r="K129" s="9">
        <v>12</v>
      </c>
      <c r="L129" s="9">
        <v>55</v>
      </c>
      <c r="M129" s="9">
        <v>67</v>
      </c>
    </row>
    <row r="130" spans="1:13">
      <c r="A130" s="9">
        <v>129</v>
      </c>
      <c r="B130" s="10">
        <v>40549</v>
      </c>
      <c r="C130" s="9">
        <v>14</v>
      </c>
      <c r="D130" s="9" t="b">
        <v>0</v>
      </c>
      <c r="E130" s="9" t="str">
        <f t="shared" si="1"/>
        <v>Weekday</v>
      </c>
      <c r="F130" s="9">
        <v>1</v>
      </c>
      <c r="G130" s="9">
        <v>0.28000000000000003</v>
      </c>
      <c r="H130" s="9">
        <v>0.2727</v>
      </c>
      <c r="I130" s="9">
        <v>0.36</v>
      </c>
      <c r="J130" s="9">
        <v>0.16420000000000001</v>
      </c>
      <c r="K130" s="9">
        <v>11</v>
      </c>
      <c r="L130" s="9">
        <v>59</v>
      </c>
      <c r="M130" s="9">
        <v>70</v>
      </c>
    </row>
    <row r="131" spans="1:13">
      <c r="A131" s="9">
        <v>130</v>
      </c>
      <c r="B131" s="10">
        <v>40549</v>
      </c>
      <c r="C131" s="9">
        <v>15</v>
      </c>
      <c r="D131" s="9" t="b">
        <v>0</v>
      </c>
      <c r="E131" s="9" t="str">
        <f t="shared" ref="E131:E194" si="2">IF(WEEKDAY(B131,2)&gt;=6,"Weekend","Weekday")</f>
        <v>Weekday</v>
      </c>
      <c r="F131" s="9">
        <v>1</v>
      </c>
      <c r="G131" s="9">
        <v>0.28000000000000003</v>
      </c>
      <c r="H131" s="9">
        <v>0.2727</v>
      </c>
      <c r="I131" s="9">
        <v>0.36</v>
      </c>
      <c r="J131" s="9">
        <v>0</v>
      </c>
      <c r="K131" s="9">
        <v>8</v>
      </c>
      <c r="L131" s="9">
        <v>54</v>
      </c>
      <c r="M131" s="9">
        <v>62</v>
      </c>
    </row>
    <row r="132" spans="1:13">
      <c r="A132" s="9">
        <v>131</v>
      </c>
      <c r="B132" s="10">
        <v>40549</v>
      </c>
      <c r="C132" s="9">
        <v>16</v>
      </c>
      <c r="D132" s="9" t="b">
        <v>0</v>
      </c>
      <c r="E132" s="9" t="str">
        <f t="shared" si="2"/>
        <v>Weekday</v>
      </c>
      <c r="F132" s="9">
        <v>1</v>
      </c>
      <c r="G132" s="9">
        <v>0.26</v>
      </c>
      <c r="H132" s="9">
        <v>0.2576</v>
      </c>
      <c r="I132" s="9">
        <v>0.38</v>
      </c>
      <c r="J132" s="9">
        <v>0.16420000000000001</v>
      </c>
      <c r="K132" s="9">
        <v>12</v>
      </c>
      <c r="L132" s="9">
        <v>74</v>
      </c>
      <c r="M132" s="9">
        <v>86</v>
      </c>
    </row>
    <row r="133" spans="1:13">
      <c r="A133" s="9">
        <v>132</v>
      </c>
      <c r="B133" s="10">
        <v>40549</v>
      </c>
      <c r="C133" s="9">
        <v>17</v>
      </c>
      <c r="D133" s="9" t="b">
        <v>0</v>
      </c>
      <c r="E133" s="9" t="str">
        <f t="shared" si="2"/>
        <v>Weekday</v>
      </c>
      <c r="F133" s="9">
        <v>1</v>
      </c>
      <c r="G133" s="9">
        <v>0.22</v>
      </c>
      <c r="H133" s="9">
        <v>0.2273</v>
      </c>
      <c r="I133" s="9">
        <v>0.51</v>
      </c>
      <c r="J133" s="9">
        <v>0.16420000000000001</v>
      </c>
      <c r="K133" s="9">
        <v>9</v>
      </c>
      <c r="L133" s="9">
        <v>163</v>
      </c>
      <c r="M133" s="9">
        <v>172</v>
      </c>
    </row>
    <row r="134" spans="1:13">
      <c r="A134" s="9">
        <v>133</v>
      </c>
      <c r="B134" s="10">
        <v>40549</v>
      </c>
      <c r="C134" s="9">
        <v>18</v>
      </c>
      <c r="D134" s="9" t="b">
        <v>0</v>
      </c>
      <c r="E134" s="9" t="str">
        <f t="shared" si="2"/>
        <v>Weekday</v>
      </c>
      <c r="F134" s="9">
        <v>1</v>
      </c>
      <c r="G134" s="9">
        <v>0.22</v>
      </c>
      <c r="H134" s="9">
        <v>0.2273</v>
      </c>
      <c r="I134" s="9">
        <v>0.51</v>
      </c>
      <c r="J134" s="9">
        <v>0.1343</v>
      </c>
      <c r="K134" s="9">
        <v>5</v>
      </c>
      <c r="L134" s="9">
        <v>158</v>
      </c>
      <c r="M134" s="9">
        <v>163</v>
      </c>
    </row>
    <row r="135" spans="1:13">
      <c r="A135" s="9">
        <v>134</v>
      </c>
      <c r="B135" s="10">
        <v>40549</v>
      </c>
      <c r="C135" s="9">
        <v>19</v>
      </c>
      <c r="D135" s="9" t="b">
        <v>0</v>
      </c>
      <c r="E135" s="9" t="str">
        <f t="shared" si="2"/>
        <v>Weekday</v>
      </c>
      <c r="F135" s="9">
        <v>1</v>
      </c>
      <c r="G135" s="9">
        <v>0.22</v>
      </c>
      <c r="H135" s="9">
        <v>0.2576</v>
      </c>
      <c r="I135" s="9">
        <v>0.55000000000000004</v>
      </c>
      <c r="J135" s="9">
        <v>8.9599999999999999E-2</v>
      </c>
      <c r="K135" s="9">
        <v>3</v>
      </c>
      <c r="L135" s="9">
        <v>109</v>
      </c>
      <c r="M135" s="9">
        <v>112</v>
      </c>
    </row>
    <row r="136" spans="1:13">
      <c r="A136" s="9">
        <v>135</v>
      </c>
      <c r="B136" s="10">
        <v>40549</v>
      </c>
      <c r="C136" s="9">
        <v>20</v>
      </c>
      <c r="D136" s="9" t="b">
        <v>0</v>
      </c>
      <c r="E136" s="9" t="str">
        <f t="shared" si="2"/>
        <v>Weekday</v>
      </c>
      <c r="F136" s="9">
        <v>1</v>
      </c>
      <c r="G136" s="9">
        <v>0.2</v>
      </c>
      <c r="H136" s="9">
        <v>0.21210000000000001</v>
      </c>
      <c r="I136" s="9">
        <v>0.51</v>
      </c>
      <c r="J136" s="9">
        <v>0.16420000000000001</v>
      </c>
      <c r="K136" s="9">
        <v>3</v>
      </c>
      <c r="L136" s="9">
        <v>66</v>
      </c>
      <c r="M136" s="9">
        <v>69</v>
      </c>
    </row>
    <row r="137" spans="1:13">
      <c r="A137" s="9">
        <v>136</v>
      </c>
      <c r="B137" s="10">
        <v>40549</v>
      </c>
      <c r="C137" s="9">
        <v>21</v>
      </c>
      <c r="D137" s="9" t="b">
        <v>0</v>
      </c>
      <c r="E137" s="9" t="str">
        <f t="shared" si="2"/>
        <v>Weekday</v>
      </c>
      <c r="F137" s="9">
        <v>2</v>
      </c>
      <c r="G137" s="9">
        <v>0.22</v>
      </c>
      <c r="H137" s="9">
        <v>0.21210000000000001</v>
      </c>
      <c r="I137" s="9">
        <v>0.55000000000000004</v>
      </c>
      <c r="J137" s="9">
        <v>0.22389999999999999</v>
      </c>
      <c r="K137" s="9">
        <v>0</v>
      </c>
      <c r="L137" s="9">
        <v>48</v>
      </c>
      <c r="M137" s="9">
        <v>48</v>
      </c>
    </row>
    <row r="138" spans="1:13">
      <c r="A138" s="9">
        <v>137</v>
      </c>
      <c r="B138" s="10">
        <v>40549</v>
      </c>
      <c r="C138" s="9">
        <v>22</v>
      </c>
      <c r="D138" s="9" t="b">
        <v>0</v>
      </c>
      <c r="E138" s="9" t="str">
        <f t="shared" si="2"/>
        <v>Weekday</v>
      </c>
      <c r="F138" s="9">
        <v>2</v>
      </c>
      <c r="G138" s="9">
        <v>0.22</v>
      </c>
      <c r="H138" s="9">
        <v>0.21210000000000001</v>
      </c>
      <c r="I138" s="9">
        <v>0.51</v>
      </c>
      <c r="J138" s="9">
        <v>0.28360000000000002</v>
      </c>
      <c r="K138" s="9">
        <v>1</v>
      </c>
      <c r="L138" s="9">
        <v>51</v>
      </c>
      <c r="M138" s="9">
        <v>52</v>
      </c>
    </row>
    <row r="139" spans="1:13">
      <c r="A139" s="9">
        <v>138</v>
      </c>
      <c r="B139" s="10">
        <v>40549</v>
      </c>
      <c r="C139" s="9">
        <v>23</v>
      </c>
      <c r="D139" s="9" t="b">
        <v>0</v>
      </c>
      <c r="E139" s="9" t="str">
        <f t="shared" si="2"/>
        <v>Weekday</v>
      </c>
      <c r="F139" s="9">
        <v>2</v>
      </c>
      <c r="G139" s="9">
        <v>0.2</v>
      </c>
      <c r="H139" s="9">
        <v>0.19700000000000001</v>
      </c>
      <c r="I139" s="9">
        <v>0.59</v>
      </c>
      <c r="J139" s="9">
        <v>0.19400000000000001</v>
      </c>
      <c r="K139" s="9">
        <v>4</v>
      </c>
      <c r="L139" s="9">
        <v>19</v>
      </c>
      <c r="M139" s="9">
        <v>23</v>
      </c>
    </row>
    <row r="140" spans="1:13">
      <c r="A140" s="9">
        <v>139</v>
      </c>
      <c r="B140" s="10">
        <v>40550</v>
      </c>
      <c r="C140" s="9">
        <v>0</v>
      </c>
      <c r="D140" s="9" t="b">
        <v>0</v>
      </c>
      <c r="E140" s="9" t="str">
        <f t="shared" si="2"/>
        <v>Weekday</v>
      </c>
      <c r="F140" s="9">
        <v>2</v>
      </c>
      <c r="G140" s="9">
        <v>0.2</v>
      </c>
      <c r="H140" s="9">
        <v>0.19700000000000001</v>
      </c>
      <c r="I140" s="9">
        <v>0.64</v>
      </c>
      <c r="J140" s="9">
        <v>0.19400000000000001</v>
      </c>
      <c r="K140" s="9">
        <v>4</v>
      </c>
      <c r="L140" s="9">
        <v>13</v>
      </c>
      <c r="M140" s="9">
        <v>17</v>
      </c>
    </row>
    <row r="141" spans="1:13">
      <c r="A141" s="9">
        <v>140</v>
      </c>
      <c r="B141" s="10">
        <v>40550</v>
      </c>
      <c r="C141" s="9">
        <v>1</v>
      </c>
      <c r="D141" s="9" t="b">
        <v>0</v>
      </c>
      <c r="E141" s="9" t="str">
        <f t="shared" si="2"/>
        <v>Weekday</v>
      </c>
      <c r="F141" s="9">
        <v>2</v>
      </c>
      <c r="G141" s="9">
        <v>0.2</v>
      </c>
      <c r="H141" s="9">
        <v>0.19700000000000001</v>
      </c>
      <c r="I141" s="9">
        <v>0.69</v>
      </c>
      <c r="J141" s="9">
        <v>0.22389999999999999</v>
      </c>
      <c r="K141" s="9">
        <v>2</v>
      </c>
      <c r="L141" s="9">
        <v>5</v>
      </c>
      <c r="M141" s="9">
        <v>7</v>
      </c>
    </row>
    <row r="142" spans="1:13">
      <c r="A142" s="9">
        <v>141</v>
      </c>
      <c r="B142" s="10">
        <v>40550</v>
      </c>
      <c r="C142" s="9">
        <v>2</v>
      </c>
      <c r="D142" s="9" t="b">
        <v>0</v>
      </c>
      <c r="E142" s="9" t="str">
        <f t="shared" si="2"/>
        <v>Weekday</v>
      </c>
      <c r="F142" s="9">
        <v>2</v>
      </c>
      <c r="G142" s="9">
        <v>0.2</v>
      </c>
      <c r="H142" s="9">
        <v>0.19700000000000001</v>
      </c>
      <c r="I142" s="9">
        <v>0.69</v>
      </c>
      <c r="J142" s="9">
        <v>0.22389999999999999</v>
      </c>
      <c r="K142" s="9">
        <v>0</v>
      </c>
      <c r="L142" s="9">
        <v>1</v>
      </c>
      <c r="M142" s="9">
        <v>1</v>
      </c>
    </row>
    <row r="143" spans="1:13">
      <c r="A143" s="9">
        <v>142</v>
      </c>
      <c r="B143" s="10">
        <v>40550</v>
      </c>
      <c r="C143" s="9">
        <v>4</v>
      </c>
      <c r="D143" s="9" t="b">
        <v>0</v>
      </c>
      <c r="E143" s="9" t="str">
        <f t="shared" si="2"/>
        <v>Weekday</v>
      </c>
      <c r="F143" s="9">
        <v>2</v>
      </c>
      <c r="G143" s="9">
        <v>0.2</v>
      </c>
      <c r="H143" s="9">
        <v>0.21210000000000001</v>
      </c>
      <c r="I143" s="9">
        <v>0.69</v>
      </c>
      <c r="J143" s="9">
        <v>0.1343</v>
      </c>
      <c r="K143" s="9">
        <v>0</v>
      </c>
      <c r="L143" s="9">
        <v>1</v>
      </c>
      <c r="M143" s="9">
        <v>1</v>
      </c>
    </row>
    <row r="144" spans="1:13">
      <c r="A144" s="9">
        <v>143</v>
      </c>
      <c r="B144" s="10">
        <v>40550</v>
      </c>
      <c r="C144" s="9">
        <v>5</v>
      </c>
      <c r="D144" s="9" t="b">
        <v>0</v>
      </c>
      <c r="E144" s="9" t="str">
        <f t="shared" si="2"/>
        <v>Weekday</v>
      </c>
      <c r="F144" s="9">
        <v>3</v>
      </c>
      <c r="G144" s="9">
        <v>0.22</v>
      </c>
      <c r="H144" s="9">
        <v>0.2727</v>
      </c>
      <c r="I144" s="9">
        <v>0.55000000000000004</v>
      </c>
      <c r="J144" s="9">
        <v>0</v>
      </c>
      <c r="K144" s="9">
        <v>0</v>
      </c>
      <c r="L144" s="9">
        <v>5</v>
      </c>
      <c r="M144" s="9">
        <v>5</v>
      </c>
    </row>
    <row r="145" spans="1:13">
      <c r="A145" s="9">
        <v>144</v>
      </c>
      <c r="B145" s="10">
        <v>40550</v>
      </c>
      <c r="C145" s="9">
        <v>6</v>
      </c>
      <c r="D145" s="9" t="b">
        <v>0</v>
      </c>
      <c r="E145" s="9" t="str">
        <f t="shared" si="2"/>
        <v>Weekday</v>
      </c>
      <c r="F145" s="9">
        <v>2</v>
      </c>
      <c r="G145" s="9">
        <v>0.2</v>
      </c>
      <c r="H145" s="9">
        <v>0.2576</v>
      </c>
      <c r="I145" s="9">
        <v>0.69</v>
      </c>
      <c r="J145" s="9">
        <v>0</v>
      </c>
      <c r="K145" s="9">
        <v>8</v>
      </c>
      <c r="L145" s="9">
        <v>26</v>
      </c>
      <c r="M145" s="9">
        <v>34</v>
      </c>
    </row>
    <row r="146" spans="1:13">
      <c r="A146" s="9">
        <v>145</v>
      </c>
      <c r="B146" s="10">
        <v>40550</v>
      </c>
      <c r="C146" s="9">
        <v>7</v>
      </c>
      <c r="D146" s="9" t="b">
        <v>0</v>
      </c>
      <c r="E146" s="9" t="str">
        <f t="shared" si="2"/>
        <v>Weekday</v>
      </c>
      <c r="F146" s="9">
        <v>1</v>
      </c>
      <c r="G146" s="9">
        <v>0.2</v>
      </c>
      <c r="H146" s="9">
        <v>0.21210000000000001</v>
      </c>
      <c r="I146" s="9">
        <v>0.69</v>
      </c>
      <c r="J146" s="9">
        <v>0.1343</v>
      </c>
      <c r="K146" s="9">
        <v>8</v>
      </c>
      <c r="L146" s="9">
        <v>76</v>
      </c>
      <c r="M146" s="9">
        <v>84</v>
      </c>
    </row>
    <row r="147" spans="1:13">
      <c r="A147" s="9">
        <v>146</v>
      </c>
      <c r="B147" s="10">
        <v>40550</v>
      </c>
      <c r="C147" s="9">
        <v>8</v>
      </c>
      <c r="D147" s="9" t="b">
        <v>0</v>
      </c>
      <c r="E147" s="9" t="str">
        <f t="shared" si="2"/>
        <v>Weekday</v>
      </c>
      <c r="F147" s="9">
        <v>1</v>
      </c>
      <c r="G147" s="9">
        <v>0.2</v>
      </c>
      <c r="H147" s="9">
        <v>0.19700000000000001</v>
      </c>
      <c r="I147" s="9">
        <v>0.51</v>
      </c>
      <c r="J147" s="9">
        <v>0.25369999999999998</v>
      </c>
      <c r="K147" s="9">
        <v>20</v>
      </c>
      <c r="L147" s="9">
        <v>190</v>
      </c>
      <c r="M147" s="9">
        <v>210</v>
      </c>
    </row>
    <row r="148" spans="1:13">
      <c r="A148" s="9">
        <v>147</v>
      </c>
      <c r="B148" s="10">
        <v>40550</v>
      </c>
      <c r="C148" s="9">
        <v>9</v>
      </c>
      <c r="D148" s="9" t="b">
        <v>0</v>
      </c>
      <c r="E148" s="9" t="str">
        <f t="shared" si="2"/>
        <v>Weekday</v>
      </c>
      <c r="F148" s="9">
        <v>1</v>
      </c>
      <c r="G148" s="9">
        <v>0.2</v>
      </c>
      <c r="H148" s="9">
        <v>0.18179999999999999</v>
      </c>
      <c r="I148" s="9">
        <v>0.47</v>
      </c>
      <c r="J148" s="9">
        <v>0.29849999999999999</v>
      </c>
      <c r="K148" s="9">
        <v>9</v>
      </c>
      <c r="L148" s="9">
        <v>125</v>
      </c>
      <c r="M148" s="9">
        <v>134</v>
      </c>
    </row>
    <row r="149" spans="1:13">
      <c r="A149" s="9">
        <v>148</v>
      </c>
      <c r="B149" s="10">
        <v>40550</v>
      </c>
      <c r="C149" s="9">
        <v>10</v>
      </c>
      <c r="D149" s="9" t="b">
        <v>0</v>
      </c>
      <c r="E149" s="9" t="str">
        <f t="shared" si="2"/>
        <v>Weekday</v>
      </c>
      <c r="F149" s="9">
        <v>1</v>
      </c>
      <c r="G149" s="9">
        <v>0.22</v>
      </c>
      <c r="H149" s="9">
        <v>0.19700000000000001</v>
      </c>
      <c r="I149" s="9">
        <v>0.37</v>
      </c>
      <c r="J149" s="9">
        <v>0.32840000000000003</v>
      </c>
      <c r="K149" s="9">
        <v>16</v>
      </c>
      <c r="L149" s="9">
        <v>47</v>
      </c>
      <c r="M149" s="9">
        <v>63</v>
      </c>
    </row>
    <row r="150" spans="1:13">
      <c r="A150" s="9">
        <v>149</v>
      </c>
      <c r="B150" s="10">
        <v>40550</v>
      </c>
      <c r="C150" s="9">
        <v>11</v>
      </c>
      <c r="D150" s="9" t="b">
        <v>0</v>
      </c>
      <c r="E150" s="9" t="str">
        <f t="shared" si="2"/>
        <v>Weekday</v>
      </c>
      <c r="F150" s="9">
        <v>2</v>
      </c>
      <c r="G150" s="9">
        <v>0.2</v>
      </c>
      <c r="H150" s="9">
        <v>0.19700000000000001</v>
      </c>
      <c r="I150" s="9">
        <v>0.4</v>
      </c>
      <c r="J150" s="9">
        <v>0.22389999999999999</v>
      </c>
      <c r="K150" s="9">
        <v>19</v>
      </c>
      <c r="L150" s="9">
        <v>48</v>
      </c>
      <c r="M150" s="9">
        <v>67</v>
      </c>
    </row>
    <row r="151" spans="1:13">
      <c r="A151" s="9">
        <v>150</v>
      </c>
      <c r="B151" s="10">
        <v>40550</v>
      </c>
      <c r="C151" s="9">
        <v>12</v>
      </c>
      <c r="D151" s="9" t="b">
        <v>0</v>
      </c>
      <c r="E151" s="9" t="str">
        <f t="shared" si="2"/>
        <v>Weekday</v>
      </c>
      <c r="F151" s="9">
        <v>2</v>
      </c>
      <c r="G151" s="9">
        <v>0.2</v>
      </c>
      <c r="H151" s="9">
        <v>0.19700000000000001</v>
      </c>
      <c r="I151" s="9">
        <v>0.37</v>
      </c>
      <c r="J151" s="9">
        <v>0.25369999999999998</v>
      </c>
      <c r="K151" s="9">
        <v>9</v>
      </c>
      <c r="L151" s="9">
        <v>50</v>
      </c>
      <c r="M151" s="9">
        <v>59</v>
      </c>
    </row>
    <row r="152" spans="1:13">
      <c r="A152" s="9">
        <v>151</v>
      </c>
      <c r="B152" s="10">
        <v>40550</v>
      </c>
      <c r="C152" s="9">
        <v>13</v>
      </c>
      <c r="D152" s="9" t="b">
        <v>0</v>
      </c>
      <c r="E152" s="9" t="str">
        <f t="shared" si="2"/>
        <v>Weekday</v>
      </c>
      <c r="F152" s="9">
        <v>2</v>
      </c>
      <c r="G152" s="9">
        <v>0.2</v>
      </c>
      <c r="H152" s="9">
        <v>0.18179999999999999</v>
      </c>
      <c r="I152" s="9">
        <v>0.37</v>
      </c>
      <c r="J152" s="9">
        <v>0.28360000000000002</v>
      </c>
      <c r="K152" s="9">
        <v>9</v>
      </c>
      <c r="L152" s="9">
        <v>64</v>
      </c>
      <c r="M152" s="9">
        <v>73</v>
      </c>
    </row>
    <row r="153" spans="1:13">
      <c r="A153" s="9">
        <v>152</v>
      </c>
      <c r="B153" s="10">
        <v>40550</v>
      </c>
      <c r="C153" s="9">
        <v>14</v>
      </c>
      <c r="D153" s="9" t="b">
        <v>0</v>
      </c>
      <c r="E153" s="9" t="str">
        <f t="shared" si="2"/>
        <v>Weekday</v>
      </c>
      <c r="F153" s="9">
        <v>2</v>
      </c>
      <c r="G153" s="9">
        <v>0.2</v>
      </c>
      <c r="H153" s="9">
        <v>0.19700000000000001</v>
      </c>
      <c r="I153" s="9">
        <v>0.4</v>
      </c>
      <c r="J153" s="9">
        <v>0.25369999999999998</v>
      </c>
      <c r="K153" s="9">
        <v>7</v>
      </c>
      <c r="L153" s="9">
        <v>43</v>
      </c>
      <c r="M153" s="9">
        <v>50</v>
      </c>
    </row>
    <row r="154" spans="1:13">
      <c r="A154" s="9">
        <v>153</v>
      </c>
      <c r="B154" s="10">
        <v>40550</v>
      </c>
      <c r="C154" s="9">
        <v>15</v>
      </c>
      <c r="D154" s="9" t="b">
        <v>0</v>
      </c>
      <c r="E154" s="9" t="str">
        <f t="shared" si="2"/>
        <v>Weekday</v>
      </c>
      <c r="F154" s="9">
        <v>2</v>
      </c>
      <c r="G154" s="9">
        <v>0.2</v>
      </c>
      <c r="H154" s="9">
        <v>0.21210000000000001</v>
      </c>
      <c r="I154" s="9">
        <v>0.37</v>
      </c>
      <c r="J154" s="9">
        <v>0.16420000000000001</v>
      </c>
      <c r="K154" s="9">
        <v>9</v>
      </c>
      <c r="L154" s="9">
        <v>63</v>
      </c>
      <c r="M154" s="9">
        <v>72</v>
      </c>
    </row>
    <row r="155" spans="1:13">
      <c r="A155" s="9">
        <v>154</v>
      </c>
      <c r="B155" s="10">
        <v>40550</v>
      </c>
      <c r="C155" s="9">
        <v>16</v>
      </c>
      <c r="D155" s="9" t="b">
        <v>0</v>
      </c>
      <c r="E155" s="9" t="str">
        <f t="shared" si="2"/>
        <v>Weekday</v>
      </c>
      <c r="F155" s="9">
        <v>2</v>
      </c>
      <c r="G155" s="9">
        <v>0.2</v>
      </c>
      <c r="H155" s="9">
        <v>0.21210000000000001</v>
      </c>
      <c r="I155" s="9">
        <v>0.37</v>
      </c>
      <c r="J155" s="9">
        <v>0.16420000000000001</v>
      </c>
      <c r="K155" s="9">
        <v>5</v>
      </c>
      <c r="L155" s="9">
        <v>82</v>
      </c>
      <c r="M155" s="9">
        <v>87</v>
      </c>
    </row>
    <row r="156" spans="1:13">
      <c r="A156" s="9">
        <v>155</v>
      </c>
      <c r="B156" s="10">
        <v>40550</v>
      </c>
      <c r="C156" s="9">
        <v>17</v>
      </c>
      <c r="D156" s="9" t="b">
        <v>0</v>
      </c>
      <c r="E156" s="9" t="str">
        <f t="shared" si="2"/>
        <v>Weekday</v>
      </c>
      <c r="F156" s="9">
        <v>2</v>
      </c>
      <c r="G156" s="9">
        <v>0.2</v>
      </c>
      <c r="H156" s="9">
        <v>0.2576</v>
      </c>
      <c r="I156" s="9">
        <v>0.37</v>
      </c>
      <c r="J156" s="9">
        <v>0</v>
      </c>
      <c r="K156" s="9">
        <v>9</v>
      </c>
      <c r="L156" s="9">
        <v>178</v>
      </c>
      <c r="M156" s="9">
        <v>187</v>
      </c>
    </row>
    <row r="157" spans="1:13">
      <c r="A157" s="9">
        <v>156</v>
      </c>
      <c r="B157" s="10">
        <v>40550</v>
      </c>
      <c r="C157" s="9">
        <v>18</v>
      </c>
      <c r="D157" s="9" t="b">
        <v>0</v>
      </c>
      <c r="E157" s="9" t="str">
        <f t="shared" si="2"/>
        <v>Weekday</v>
      </c>
      <c r="F157" s="9">
        <v>1</v>
      </c>
      <c r="G157" s="9">
        <v>0.2</v>
      </c>
      <c r="H157" s="9">
        <v>0.2273</v>
      </c>
      <c r="I157" s="9">
        <v>0.4</v>
      </c>
      <c r="J157" s="9">
        <v>8.9599999999999999E-2</v>
      </c>
      <c r="K157" s="9">
        <v>7</v>
      </c>
      <c r="L157" s="9">
        <v>116</v>
      </c>
      <c r="M157" s="9">
        <v>123</v>
      </c>
    </row>
    <row r="158" spans="1:13">
      <c r="A158" s="9">
        <v>157</v>
      </c>
      <c r="B158" s="10">
        <v>40550</v>
      </c>
      <c r="C158" s="9">
        <v>19</v>
      </c>
      <c r="D158" s="9" t="b">
        <v>0</v>
      </c>
      <c r="E158" s="9" t="str">
        <f t="shared" si="2"/>
        <v>Weekday</v>
      </c>
      <c r="F158" s="9">
        <v>1</v>
      </c>
      <c r="G158" s="9">
        <v>0.16</v>
      </c>
      <c r="H158" s="9">
        <v>0.19700000000000001</v>
      </c>
      <c r="I158" s="9">
        <v>0.55000000000000004</v>
      </c>
      <c r="J158" s="9">
        <v>8.9599999999999999E-2</v>
      </c>
      <c r="K158" s="9">
        <v>3</v>
      </c>
      <c r="L158" s="9">
        <v>92</v>
      </c>
      <c r="M158" s="9">
        <v>95</v>
      </c>
    </row>
    <row r="159" spans="1:13">
      <c r="A159" s="9">
        <v>158</v>
      </c>
      <c r="B159" s="10">
        <v>40550</v>
      </c>
      <c r="C159" s="9">
        <v>20</v>
      </c>
      <c r="D159" s="9" t="b">
        <v>0</v>
      </c>
      <c r="E159" s="9" t="str">
        <f t="shared" si="2"/>
        <v>Weekday</v>
      </c>
      <c r="F159" s="9">
        <v>1</v>
      </c>
      <c r="G159" s="9">
        <v>0.18</v>
      </c>
      <c r="H159" s="9">
        <v>0.21210000000000001</v>
      </c>
      <c r="I159" s="9">
        <v>0.47</v>
      </c>
      <c r="J159" s="9">
        <v>0.1045</v>
      </c>
      <c r="K159" s="9">
        <v>1</v>
      </c>
      <c r="L159" s="9">
        <v>50</v>
      </c>
      <c r="M159" s="9">
        <v>51</v>
      </c>
    </row>
    <row r="160" spans="1:13">
      <c r="A160" s="9">
        <v>159</v>
      </c>
      <c r="B160" s="10">
        <v>40550</v>
      </c>
      <c r="C160" s="9">
        <v>21</v>
      </c>
      <c r="D160" s="9" t="b">
        <v>0</v>
      </c>
      <c r="E160" s="9" t="str">
        <f t="shared" si="2"/>
        <v>Weekday</v>
      </c>
      <c r="F160" s="9">
        <v>1</v>
      </c>
      <c r="G160" s="9">
        <v>0.18</v>
      </c>
      <c r="H160" s="9">
        <v>0.19700000000000001</v>
      </c>
      <c r="I160" s="9">
        <v>0.47</v>
      </c>
      <c r="J160" s="9">
        <v>0.1343</v>
      </c>
      <c r="K160" s="9">
        <v>0</v>
      </c>
      <c r="L160" s="9">
        <v>39</v>
      </c>
      <c r="M160" s="9">
        <v>39</v>
      </c>
    </row>
    <row r="161" spans="1:13">
      <c r="A161" s="9">
        <v>160</v>
      </c>
      <c r="B161" s="10">
        <v>40550</v>
      </c>
      <c r="C161" s="9">
        <v>22</v>
      </c>
      <c r="D161" s="9" t="b">
        <v>0</v>
      </c>
      <c r="E161" s="9" t="str">
        <f t="shared" si="2"/>
        <v>Weekday</v>
      </c>
      <c r="F161" s="9">
        <v>2</v>
      </c>
      <c r="G161" s="9">
        <v>0.18</v>
      </c>
      <c r="H161" s="9">
        <v>0.19700000000000001</v>
      </c>
      <c r="I161" s="9">
        <v>0.43</v>
      </c>
      <c r="J161" s="9">
        <v>0.16420000000000001</v>
      </c>
      <c r="K161" s="9">
        <v>2</v>
      </c>
      <c r="L161" s="9">
        <v>34</v>
      </c>
      <c r="M161" s="9">
        <v>36</v>
      </c>
    </row>
    <row r="162" spans="1:13">
      <c r="A162" s="9">
        <v>161</v>
      </c>
      <c r="B162" s="10">
        <v>40550</v>
      </c>
      <c r="C162" s="9">
        <v>23</v>
      </c>
      <c r="D162" s="9" t="b">
        <v>0</v>
      </c>
      <c r="E162" s="9" t="str">
        <f t="shared" si="2"/>
        <v>Weekday</v>
      </c>
      <c r="F162" s="9">
        <v>2</v>
      </c>
      <c r="G162" s="9">
        <v>0.18</v>
      </c>
      <c r="H162" s="9">
        <v>0.19700000000000001</v>
      </c>
      <c r="I162" s="9">
        <v>0.51</v>
      </c>
      <c r="J162" s="9">
        <v>0.16420000000000001</v>
      </c>
      <c r="K162" s="9">
        <v>1</v>
      </c>
      <c r="L162" s="9">
        <v>14</v>
      </c>
      <c r="M162" s="9">
        <v>15</v>
      </c>
    </row>
    <row r="163" spans="1:13">
      <c r="A163" s="9">
        <v>162</v>
      </c>
      <c r="B163" s="10">
        <v>40551</v>
      </c>
      <c r="C163" s="9">
        <v>0</v>
      </c>
      <c r="D163" s="9" t="b">
        <v>0</v>
      </c>
      <c r="E163" s="9" t="str">
        <f t="shared" si="2"/>
        <v>Weekend</v>
      </c>
      <c r="F163" s="9">
        <v>2</v>
      </c>
      <c r="G163" s="9">
        <v>0.18</v>
      </c>
      <c r="H163" s="9">
        <v>0.19700000000000001</v>
      </c>
      <c r="I163" s="9">
        <v>0.51</v>
      </c>
      <c r="J163" s="9">
        <v>0.16420000000000001</v>
      </c>
      <c r="K163" s="9">
        <v>1</v>
      </c>
      <c r="L163" s="9">
        <v>24</v>
      </c>
      <c r="M163" s="9">
        <v>25</v>
      </c>
    </row>
    <row r="164" spans="1:13">
      <c r="A164" s="9">
        <v>163</v>
      </c>
      <c r="B164" s="10">
        <v>40551</v>
      </c>
      <c r="C164" s="9">
        <v>1</v>
      </c>
      <c r="D164" s="9" t="b">
        <v>0</v>
      </c>
      <c r="E164" s="9" t="str">
        <f t="shared" si="2"/>
        <v>Weekend</v>
      </c>
      <c r="F164" s="9">
        <v>2</v>
      </c>
      <c r="G164" s="9">
        <v>0.18</v>
      </c>
      <c r="H164" s="9">
        <v>0.21210000000000001</v>
      </c>
      <c r="I164" s="9">
        <v>0.55000000000000004</v>
      </c>
      <c r="J164" s="9">
        <v>8.9599999999999999E-2</v>
      </c>
      <c r="K164" s="9">
        <v>1</v>
      </c>
      <c r="L164" s="9">
        <v>15</v>
      </c>
      <c r="M164" s="9">
        <v>16</v>
      </c>
    </row>
    <row r="165" spans="1:13">
      <c r="A165" s="9">
        <v>164</v>
      </c>
      <c r="B165" s="10">
        <v>40551</v>
      </c>
      <c r="C165" s="9">
        <v>2</v>
      </c>
      <c r="D165" s="9" t="b">
        <v>0</v>
      </c>
      <c r="E165" s="9" t="str">
        <f t="shared" si="2"/>
        <v>Weekend</v>
      </c>
      <c r="F165" s="9">
        <v>2</v>
      </c>
      <c r="G165" s="9">
        <v>0.18</v>
      </c>
      <c r="H165" s="9">
        <v>0.2424</v>
      </c>
      <c r="I165" s="9">
        <v>0.55000000000000004</v>
      </c>
      <c r="J165" s="9">
        <v>0</v>
      </c>
      <c r="K165" s="9">
        <v>3</v>
      </c>
      <c r="L165" s="9">
        <v>13</v>
      </c>
      <c r="M165" s="9">
        <v>16</v>
      </c>
    </row>
    <row r="166" spans="1:13">
      <c r="A166" s="9">
        <v>165</v>
      </c>
      <c r="B166" s="10">
        <v>40551</v>
      </c>
      <c r="C166" s="9">
        <v>3</v>
      </c>
      <c r="D166" s="9" t="b">
        <v>0</v>
      </c>
      <c r="E166" s="9" t="str">
        <f t="shared" si="2"/>
        <v>Weekend</v>
      </c>
      <c r="F166" s="9">
        <v>3</v>
      </c>
      <c r="G166" s="9">
        <v>0.18</v>
      </c>
      <c r="H166" s="9">
        <v>0.19700000000000001</v>
      </c>
      <c r="I166" s="9">
        <v>0.55000000000000004</v>
      </c>
      <c r="J166" s="9">
        <v>0.16420000000000001</v>
      </c>
      <c r="K166" s="9">
        <v>0</v>
      </c>
      <c r="L166" s="9">
        <v>7</v>
      </c>
      <c r="M166" s="9">
        <v>7</v>
      </c>
    </row>
    <row r="167" spans="1:13">
      <c r="A167" s="9">
        <v>166</v>
      </c>
      <c r="B167" s="10">
        <v>40551</v>
      </c>
      <c r="C167" s="9">
        <v>4</v>
      </c>
      <c r="D167" s="9" t="b">
        <v>0</v>
      </c>
      <c r="E167" s="9" t="str">
        <f t="shared" si="2"/>
        <v>Weekend</v>
      </c>
      <c r="F167" s="9">
        <v>3</v>
      </c>
      <c r="G167" s="9">
        <v>0.18</v>
      </c>
      <c r="H167" s="9">
        <v>0.19700000000000001</v>
      </c>
      <c r="I167" s="9">
        <v>0.55000000000000004</v>
      </c>
      <c r="J167" s="9">
        <v>0.16420000000000001</v>
      </c>
      <c r="K167" s="9">
        <v>0</v>
      </c>
      <c r="L167" s="9">
        <v>1</v>
      </c>
      <c r="M167" s="9">
        <v>1</v>
      </c>
    </row>
    <row r="168" spans="1:13">
      <c r="A168" s="9">
        <v>167</v>
      </c>
      <c r="B168" s="10">
        <v>40551</v>
      </c>
      <c r="C168" s="9">
        <v>5</v>
      </c>
      <c r="D168" s="9" t="b">
        <v>0</v>
      </c>
      <c r="E168" s="9" t="str">
        <f t="shared" si="2"/>
        <v>Weekend</v>
      </c>
      <c r="F168" s="9">
        <v>2</v>
      </c>
      <c r="G168" s="9">
        <v>0.16</v>
      </c>
      <c r="H168" s="9">
        <v>0.16669999999999999</v>
      </c>
      <c r="I168" s="9">
        <v>0.74</v>
      </c>
      <c r="J168" s="9">
        <v>0.16420000000000001</v>
      </c>
      <c r="K168" s="9">
        <v>0</v>
      </c>
      <c r="L168" s="9">
        <v>5</v>
      </c>
      <c r="M168" s="9">
        <v>5</v>
      </c>
    </row>
    <row r="169" spans="1:13">
      <c r="A169" s="9">
        <v>168</v>
      </c>
      <c r="B169" s="10">
        <v>40551</v>
      </c>
      <c r="C169" s="9">
        <v>6</v>
      </c>
      <c r="D169" s="9" t="b">
        <v>0</v>
      </c>
      <c r="E169" s="9" t="str">
        <f t="shared" si="2"/>
        <v>Weekend</v>
      </c>
      <c r="F169" s="9">
        <v>2</v>
      </c>
      <c r="G169" s="9">
        <v>0.16</v>
      </c>
      <c r="H169" s="9">
        <v>0.16669999999999999</v>
      </c>
      <c r="I169" s="9">
        <v>0.74</v>
      </c>
      <c r="J169" s="9">
        <v>0.16420000000000001</v>
      </c>
      <c r="K169" s="9">
        <v>0</v>
      </c>
      <c r="L169" s="9">
        <v>2</v>
      </c>
      <c r="M169" s="9">
        <v>2</v>
      </c>
    </row>
    <row r="170" spans="1:13">
      <c r="A170" s="9">
        <v>169</v>
      </c>
      <c r="B170" s="10">
        <v>40551</v>
      </c>
      <c r="C170" s="9">
        <v>7</v>
      </c>
      <c r="D170" s="9" t="b">
        <v>0</v>
      </c>
      <c r="E170" s="9" t="str">
        <f t="shared" si="2"/>
        <v>Weekend</v>
      </c>
      <c r="F170" s="9">
        <v>2</v>
      </c>
      <c r="G170" s="9">
        <v>0.16</v>
      </c>
      <c r="H170" s="9">
        <v>0.18179999999999999</v>
      </c>
      <c r="I170" s="9">
        <v>0.74</v>
      </c>
      <c r="J170" s="9">
        <v>0.1045</v>
      </c>
      <c r="K170" s="9">
        <v>1</v>
      </c>
      <c r="L170" s="9">
        <v>8</v>
      </c>
      <c r="M170" s="9">
        <v>9</v>
      </c>
    </row>
    <row r="171" spans="1:13">
      <c r="A171" s="9">
        <v>170</v>
      </c>
      <c r="B171" s="10">
        <v>40551</v>
      </c>
      <c r="C171" s="9">
        <v>8</v>
      </c>
      <c r="D171" s="9" t="b">
        <v>0</v>
      </c>
      <c r="E171" s="9" t="str">
        <f t="shared" si="2"/>
        <v>Weekend</v>
      </c>
      <c r="F171" s="9">
        <v>3</v>
      </c>
      <c r="G171" s="9">
        <v>0.16</v>
      </c>
      <c r="H171" s="9">
        <v>0.18179999999999999</v>
      </c>
      <c r="I171" s="9">
        <v>0.93</v>
      </c>
      <c r="J171" s="9">
        <v>0.1045</v>
      </c>
      <c r="K171" s="9">
        <v>0</v>
      </c>
      <c r="L171" s="9">
        <v>15</v>
      </c>
      <c r="M171" s="9">
        <v>15</v>
      </c>
    </row>
    <row r="172" spans="1:13">
      <c r="A172" s="9">
        <v>171</v>
      </c>
      <c r="B172" s="10">
        <v>40551</v>
      </c>
      <c r="C172" s="9">
        <v>9</v>
      </c>
      <c r="D172" s="9" t="b">
        <v>0</v>
      </c>
      <c r="E172" s="9" t="str">
        <f t="shared" si="2"/>
        <v>Weekend</v>
      </c>
      <c r="F172" s="9">
        <v>3</v>
      </c>
      <c r="G172" s="9">
        <v>0.16</v>
      </c>
      <c r="H172" s="9">
        <v>0.18179999999999999</v>
      </c>
      <c r="I172" s="9">
        <v>0.93</v>
      </c>
      <c r="J172" s="9">
        <v>0.1045</v>
      </c>
      <c r="K172" s="9">
        <v>0</v>
      </c>
      <c r="L172" s="9">
        <v>20</v>
      </c>
      <c r="M172" s="9">
        <v>20</v>
      </c>
    </row>
    <row r="173" spans="1:13">
      <c r="A173" s="9">
        <v>172</v>
      </c>
      <c r="B173" s="10">
        <v>40551</v>
      </c>
      <c r="C173" s="9">
        <v>10</v>
      </c>
      <c r="D173" s="9" t="b">
        <v>0</v>
      </c>
      <c r="E173" s="9" t="str">
        <f t="shared" si="2"/>
        <v>Weekend</v>
      </c>
      <c r="F173" s="9">
        <v>2</v>
      </c>
      <c r="G173" s="9">
        <v>0.18</v>
      </c>
      <c r="H173" s="9">
        <v>0.19700000000000001</v>
      </c>
      <c r="I173" s="9">
        <v>0.8</v>
      </c>
      <c r="J173" s="9">
        <v>0.16420000000000001</v>
      </c>
      <c r="K173" s="9">
        <v>5</v>
      </c>
      <c r="L173" s="9">
        <v>56</v>
      </c>
      <c r="M173" s="9">
        <v>61</v>
      </c>
    </row>
    <row r="174" spans="1:13">
      <c r="A174" s="9">
        <v>173</v>
      </c>
      <c r="B174" s="10">
        <v>40551</v>
      </c>
      <c r="C174" s="9">
        <v>11</v>
      </c>
      <c r="D174" s="9" t="b">
        <v>0</v>
      </c>
      <c r="E174" s="9" t="str">
        <f t="shared" si="2"/>
        <v>Weekend</v>
      </c>
      <c r="F174" s="9">
        <v>2</v>
      </c>
      <c r="G174" s="9">
        <v>0.2</v>
      </c>
      <c r="H174" s="9">
        <v>0.18179999999999999</v>
      </c>
      <c r="I174" s="9">
        <v>0.69</v>
      </c>
      <c r="J174" s="9">
        <v>0.3881</v>
      </c>
      <c r="K174" s="9">
        <v>2</v>
      </c>
      <c r="L174" s="9">
        <v>60</v>
      </c>
      <c r="M174" s="9">
        <v>62</v>
      </c>
    </row>
    <row r="175" spans="1:13">
      <c r="A175" s="9">
        <v>174</v>
      </c>
      <c r="B175" s="10">
        <v>40551</v>
      </c>
      <c r="C175" s="9">
        <v>12</v>
      </c>
      <c r="D175" s="9" t="b">
        <v>0</v>
      </c>
      <c r="E175" s="9" t="str">
        <f t="shared" si="2"/>
        <v>Weekend</v>
      </c>
      <c r="F175" s="9">
        <v>2</v>
      </c>
      <c r="G175" s="9">
        <v>0.2</v>
      </c>
      <c r="H175" s="9">
        <v>0.18179999999999999</v>
      </c>
      <c r="I175" s="9">
        <v>0.59</v>
      </c>
      <c r="J175" s="9">
        <v>0.35820000000000002</v>
      </c>
      <c r="K175" s="9">
        <v>8</v>
      </c>
      <c r="L175" s="9">
        <v>90</v>
      </c>
      <c r="M175" s="9">
        <v>98</v>
      </c>
    </row>
    <row r="176" spans="1:13">
      <c r="A176" s="9">
        <v>175</v>
      </c>
      <c r="B176" s="10">
        <v>40551</v>
      </c>
      <c r="C176" s="9">
        <v>13</v>
      </c>
      <c r="D176" s="9" t="b">
        <v>0</v>
      </c>
      <c r="E176" s="9" t="str">
        <f t="shared" si="2"/>
        <v>Weekend</v>
      </c>
      <c r="F176" s="9">
        <v>1</v>
      </c>
      <c r="G176" s="9">
        <v>0.2</v>
      </c>
      <c r="H176" s="9">
        <v>0.18179999999999999</v>
      </c>
      <c r="I176" s="9">
        <v>0.44</v>
      </c>
      <c r="J176" s="9">
        <v>0.32840000000000003</v>
      </c>
      <c r="K176" s="9">
        <v>7</v>
      </c>
      <c r="L176" s="9">
        <v>95</v>
      </c>
      <c r="M176" s="9">
        <v>102</v>
      </c>
    </row>
    <row r="177" spans="1:13">
      <c r="A177" s="9">
        <v>176</v>
      </c>
      <c r="B177" s="10">
        <v>40551</v>
      </c>
      <c r="C177" s="9">
        <v>14</v>
      </c>
      <c r="D177" s="9" t="b">
        <v>0</v>
      </c>
      <c r="E177" s="9" t="str">
        <f t="shared" si="2"/>
        <v>Weekend</v>
      </c>
      <c r="F177" s="9">
        <v>1</v>
      </c>
      <c r="G177" s="9">
        <v>0.2</v>
      </c>
      <c r="H177" s="9">
        <v>0.16669999999999999</v>
      </c>
      <c r="I177" s="9">
        <v>0.32</v>
      </c>
      <c r="J177" s="9">
        <v>0.49249999999999999</v>
      </c>
      <c r="K177" s="9">
        <v>12</v>
      </c>
      <c r="L177" s="9">
        <v>83</v>
      </c>
      <c r="M177" s="9">
        <v>95</v>
      </c>
    </row>
    <row r="178" spans="1:13">
      <c r="A178" s="9">
        <v>177</v>
      </c>
      <c r="B178" s="10">
        <v>40551</v>
      </c>
      <c r="C178" s="9">
        <v>15</v>
      </c>
      <c r="D178" s="9" t="b">
        <v>0</v>
      </c>
      <c r="E178" s="9" t="str">
        <f t="shared" si="2"/>
        <v>Weekend</v>
      </c>
      <c r="F178" s="9">
        <v>1</v>
      </c>
      <c r="G178" s="9">
        <v>0.2</v>
      </c>
      <c r="H178" s="9">
        <v>0.16669999999999999</v>
      </c>
      <c r="I178" s="9">
        <v>0.32</v>
      </c>
      <c r="J178" s="9">
        <v>0.44779999999999998</v>
      </c>
      <c r="K178" s="9">
        <v>5</v>
      </c>
      <c r="L178" s="9">
        <v>69</v>
      </c>
      <c r="M178" s="9">
        <v>74</v>
      </c>
    </row>
    <row r="179" spans="1:13">
      <c r="A179" s="9">
        <v>178</v>
      </c>
      <c r="B179" s="10">
        <v>40551</v>
      </c>
      <c r="C179" s="9">
        <v>16</v>
      </c>
      <c r="D179" s="9" t="b">
        <v>0</v>
      </c>
      <c r="E179" s="9" t="str">
        <f t="shared" si="2"/>
        <v>Weekend</v>
      </c>
      <c r="F179" s="9">
        <v>1</v>
      </c>
      <c r="G179" s="9">
        <v>0.18</v>
      </c>
      <c r="H179" s="9">
        <v>0.13639999999999999</v>
      </c>
      <c r="I179" s="9">
        <v>0.28999999999999998</v>
      </c>
      <c r="J179" s="9">
        <v>0.44779999999999998</v>
      </c>
      <c r="K179" s="9">
        <v>8</v>
      </c>
      <c r="L179" s="9">
        <v>68</v>
      </c>
      <c r="M179" s="9">
        <v>76</v>
      </c>
    </row>
    <row r="180" spans="1:13">
      <c r="A180" s="9">
        <v>179</v>
      </c>
      <c r="B180" s="10">
        <v>40551</v>
      </c>
      <c r="C180" s="9">
        <v>17</v>
      </c>
      <c r="D180" s="9" t="b">
        <v>0</v>
      </c>
      <c r="E180" s="9" t="str">
        <f t="shared" si="2"/>
        <v>Weekend</v>
      </c>
      <c r="F180" s="9">
        <v>1</v>
      </c>
      <c r="G180" s="9">
        <v>0.16</v>
      </c>
      <c r="H180" s="9">
        <v>0.1212</v>
      </c>
      <c r="I180" s="9">
        <v>0.37</v>
      </c>
      <c r="J180" s="9">
        <v>0.55220000000000002</v>
      </c>
      <c r="K180" s="9">
        <v>5</v>
      </c>
      <c r="L180" s="9">
        <v>64</v>
      </c>
      <c r="M180" s="9">
        <v>69</v>
      </c>
    </row>
    <row r="181" spans="1:13">
      <c r="A181" s="9">
        <v>180</v>
      </c>
      <c r="B181" s="10">
        <v>40551</v>
      </c>
      <c r="C181" s="9">
        <v>18</v>
      </c>
      <c r="D181" s="9" t="b">
        <v>0</v>
      </c>
      <c r="E181" s="9" t="str">
        <f t="shared" si="2"/>
        <v>Weekend</v>
      </c>
      <c r="F181" s="9">
        <v>1</v>
      </c>
      <c r="G181" s="9">
        <v>0.14000000000000001</v>
      </c>
      <c r="H181" s="9">
        <v>0.1212</v>
      </c>
      <c r="I181" s="9">
        <v>0.39</v>
      </c>
      <c r="J181" s="9">
        <v>0.29849999999999999</v>
      </c>
      <c r="K181" s="9">
        <v>3</v>
      </c>
      <c r="L181" s="9">
        <v>52</v>
      </c>
      <c r="M181" s="9">
        <v>55</v>
      </c>
    </row>
    <row r="182" spans="1:13">
      <c r="A182" s="9">
        <v>181</v>
      </c>
      <c r="B182" s="10">
        <v>40551</v>
      </c>
      <c r="C182" s="9">
        <v>19</v>
      </c>
      <c r="D182" s="9" t="b">
        <v>0</v>
      </c>
      <c r="E182" s="9" t="str">
        <f t="shared" si="2"/>
        <v>Weekend</v>
      </c>
      <c r="F182" s="9">
        <v>1</v>
      </c>
      <c r="G182" s="9">
        <v>0.14000000000000001</v>
      </c>
      <c r="H182" s="9">
        <v>0.1212</v>
      </c>
      <c r="I182" s="9">
        <v>0.36</v>
      </c>
      <c r="J182" s="9">
        <v>0.25369999999999998</v>
      </c>
      <c r="K182" s="9">
        <v>4</v>
      </c>
      <c r="L182" s="9">
        <v>26</v>
      </c>
      <c r="M182" s="9">
        <v>30</v>
      </c>
    </row>
    <row r="183" spans="1:13">
      <c r="A183" s="9">
        <v>182</v>
      </c>
      <c r="B183" s="10">
        <v>40551</v>
      </c>
      <c r="C183" s="9">
        <v>20</v>
      </c>
      <c r="D183" s="9" t="b">
        <v>0</v>
      </c>
      <c r="E183" s="9" t="str">
        <f t="shared" si="2"/>
        <v>Weekend</v>
      </c>
      <c r="F183" s="9">
        <v>1</v>
      </c>
      <c r="G183" s="9">
        <v>0.12</v>
      </c>
      <c r="H183" s="9">
        <v>0.1212</v>
      </c>
      <c r="I183" s="9">
        <v>0.36</v>
      </c>
      <c r="J183" s="9">
        <v>0.25369999999999998</v>
      </c>
      <c r="K183" s="9">
        <v>0</v>
      </c>
      <c r="L183" s="9">
        <v>28</v>
      </c>
      <c r="M183" s="9">
        <v>28</v>
      </c>
    </row>
    <row r="184" spans="1:13">
      <c r="A184" s="9">
        <v>183</v>
      </c>
      <c r="B184" s="10">
        <v>40551</v>
      </c>
      <c r="C184" s="9">
        <v>21</v>
      </c>
      <c r="D184" s="9" t="b">
        <v>0</v>
      </c>
      <c r="E184" s="9" t="str">
        <f t="shared" si="2"/>
        <v>Weekend</v>
      </c>
      <c r="F184" s="9">
        <v>1</v>
      </c>
      <c r="G184" s="9">
        <v>0.12</v>
      </c>
      <c r="H184" s="9">
        <v>0.1061</v>
      </c>
      <c r="I184" s="9">
        <v>0.39</v>
      </c>
      <c r="J184" s="9">
        <v>0.35820000000000002</v>
      </c>
      <c r="K184" s="9">
        <v>2</v>
      </c>
      <c r="L184" s="9">
        <v>35</v>
      </c>
      <c r="M184" s="9">
        <v>37</v>
      </c>
    </row>
    <row r="185" spans="1:13">
      <c r="A185" s="9">
        <v>184</v>
      </c>
      <c r="B185" s="10">
        <v>40551</v>
      </c>
      <c r="C185" s="9">
        <v>22</v>
      </c>
      <c r="D185" s="9" t="b">
        <v>0</v>
      </c>
      <c r="E185" s="9" t="str">
        <f t="shared" si="2"/>
        <v>Weekend</v>
      </c>
      <c r="F185" s="9">
        <v>1</v>
      </c>
      <c r="G185" s="9">
        <v>0.12</v>
      </c>
      <c r="H185" s="9">
        <v>0.1061</v>
      </c>
      <c r="I185" s="9">
        <v>0.36</v>
      </c>
      <c r="J185" s="9">
        <v>0.3881</v>
      </c>
      <c r="K185" s="9">
        <v>1</v>
      </c>
      <c r="L185" s="9">
        <v>33</v>
      </c>
      <c r="M185" s="9">
        <v>34</v>
      </c>
    </row>
    <row r="186" spans="1:13">
      <c r="A186" s="9">
        <v>185</v>
      </c>
      <c r="B186" s="10">
        <v>40551</v>
      </c>
      <c r="C186" s="9">
        <v>23</v>
      </c>
      <c r="D186" s="9" t="b">
        <v>0</v>
      </c>
      <c r="E186" s="9" t="str">
        <f t="shared" si="2"/>
        <v>Weekend</v>
      </c>
      <c r="F186" s="9">
        <v>1</v>
      </c>
      <c r="G186" s="9">
        <v>0.1</v>
      </c>
      <c r="H186" s="9">
        <v>6.0600000000000001E-2</v>
      </c>
      <c r="I186" s="9">
        <v>0.39</v>
      </c>
      <c r="J186" s="9">
        <v>0.44779999999999998</v>
      </c>
      <c r="K186" s="9">
        <v>0</v>
      </c>
      <c r="L186" s="9">
        <v>22</v>
      </c>
      <c r="M186" s="9">
        <v>22</v>
      </c>
    </row>
    <row r="187" spans="1:13">
      <c r="A187" s="9">
        <v>186</v>
      </c>
      <c r="B187" s="10">
        <v>40552</v>
      </c>
      <c r="C187" s="9">
        <v>0</v>
      </c>
      <c r="D187" s="9" t="b">
        <v>0</v>
      </c>
      <c r="E187" s="9" t="str">
        <f t="shared" si="2"/>
        <v>Weekend</v>
      </c>
      <c r="F187" s="9">
        <v>1</v>
      </c>
      <c r="G187" s="9">
        <v>0.1</v>
      </c>
      <c r="H187" s="9">
        <v>7.5800000000000006E-2</v>
      </c>
      <c r="I187" s="9">
        <v>0.42</v>
      </c>
      <c r="J187" s="9">
        <v>0.3881</v>
      </c>
      <c r="K187" s="9">
        <v>1</v>
      </c>
      <c r="L187" s="9">
        <v>24</v>
      </c>
      <c r="M187" s="9">
        <v>25</v>
      </c>
    </row>
    <row r="188" spans="1:13">
      <c r="A188" s="9">
        <v>187</v>
      </c>
      <c r="B188" s="10">
        <v>40552</v>
      </c>
      <c r="C188" s="9">
        <v>1</v>
      </c>
      <c r="D188" s="9" t="b">
        <v>0</v>
      </c>
      <c r="E188" s="9" t="str">
        <f t="shared" si="2"/>
        <v>Weekend</v>
      </c>
      <c r="F188" s="9">
        <v>1</v>
      </c>
      <c r="G188" s="9">
        <v>0.1</v>
      </c>
      <c r="H188" s="9">
        <v>6.0600000000000001E-2</v>
      </c>
      <c r="I188" s="9">
        <v>0.42</v>
      </c>
      <c r="J188" s="9">
        <v>0.4627</v>
      </c>
      <c r="K188" s="9">
        <v>0</v>
      </c>
      <c r="L188" s="9">
        <v>12</v>
      </c>
      <c r="M188" s="9">
        <v>12</v>
      </c>
    </row>
    <row r="189" spans="1:13">
      <c r="A189" s="9">
        <v>188</v>
      </c>
      <c r="B189" s="10">
        <v>40552</v>
      </c>
      <c r="C189" s="9">
        <v>2</v>
      </c>
      <c r="D189" s="9" t="b">
        <v>0</v>
      </c>
      <c r="E189" s="9" t="str">
        <f t="shared" si="2"/>
        <v>Weekend</v>
      </c>
      <c r="F189" s="9">
        <v>1</v>
      </c>
      <c r="G189" s="9">
        <v>0.1</v>
      </c>
      <c r="H189" s="9">
        <v>6.0600000000000001E-2</v>
      </c>
      <c r="I189" s="9">
        <v>0.46</v>
      </c>
      <c r="J189" s="9">
        <v>0.4627</v>
      </c>
      <c r="K189" s="9">
        <v>0</v>
      </c>
      <c r="L189" s="9">
        <v>11</v>
      </c>
      <c r="M189" s="9">
        <v>11</v>
      </c>
    </row>
    <row r="190" spans="1:13">
      <c r="A190" s="9">
        <v>189</v>
      </c>
      <c r="B190" s="10">
        <v>40552</v>
      </c>
      <c r="C190" s="9">
        <v>3</v>
      </c>
      <c r="D190" s="9" t="b">
        <v>0</v>
      </c>
      <c r="E190" s="9" t="str">
        <f t="shared" si="2"/>
        <v>Weekend</v>
      </c>
      <c r="F190" s="9">
        <v>1</v>
      </c>
      <c r="G190" s="9">
        <v>0.1</v>
      </c>
      <c r="H190" s="9">
        <v>7.5800000000000006E-2</v>
      </c>
      <c r="I190" s="9">
        <v>0.46</v>
      </c>
      <c r="J190" s="9">
        <v>0.41789999999999999</v>
      </c>
      <c r="K190" s="9">
        <v>0</v>
      </c>
      <c r="L190" s="9">
        <v>4</v>
      </c>
      <c r="M190" s="9">
        <v>4</v>
      </c>
    </row>
    <row r="191" spans="1:13">
      <c r="A191" s="9">
        <v>190</v>
      </c>
      <c r="B191" s="10">
        <v>40552</v>
      </c>
      <c r="C191" s="9">
        <v>4</v>
      </c>
      <c r="D191" s="9" t="b">
        <v>0</v>
      </c>
      <c r="E191" s="9" t="str">
        <f t="shared" si="2"/>
        <v>Weekend</v>
      </c>
      <c r="F191" s="9">
        <v>1</v>
      </c>
      <c r="G191" s="9">
        <v>0.08</v>
      </c>
      <c r="H191" s="9">
        <v>9.0899999999999995E-2</v>
      </c>
      <c r="I191" s="9">
        <v>0.53</v>
      </c>
      <c r="J191" s="9">
        <v>0.19400000000000001</v>
      </c>
      <c r="K191" s="9">
        <v>0</v>
      </c>
      <c r="L191" s="9">
        <v>1</v>
      </c>
      <c r="M191" s="9">
        <v>1</v>
      </c>
    </row>
    <row r="192" spans="1:13">
      <c r="A192" s="9">
        <v>191</v>
      </c>
      <c r="B192" s="10">
        <v>40552</v>
      </c>
      <c r="C192" s="9">
        <v>5</v>
      </c>
      <c r="D192" s="9" t="b">
        <v>0</v>
      </c>
      <c r="E192" s="9" t="str">
        <f t="shared" si="2"/>
        <v>Weekend</v>
      </c>
      <c r="F192" s="9">
        <v>1</v>
      </c>
      <c r="G192" s="9">
        <v>0.08</v>
      </c>
      <c r="H192" s="9">
        <v>9.0899999999999995E-2</v>
      </c>
      <c r="I192" s="9">
        <v>0.53</v>
      </c>
      <c r="J192" s="9">
        <v>0.19400000000000001</v>
      </c>
      <c r="K192" s="9">
        <v>0</v>
      </c>
      <c r="L192" s="9">
        <v>1</v>
      </c>
      <c r="M192" s="9">
        <v>1</v>
      </c>
    </row>
    <row r="193" spans="1:13">
      <c r="A193" s="9">
        <v>192</v>
      </c>
      <c r="B193" s="10">
        <v>40552</v>
      </c>
      <c r="C193" s="9">
        <v>6</v>
      </c>
      <c r="D193" s="9" t="b">
        <v>0</v>
      </c>
      <c r="E193" s="9" t="str">
        <f t="shared" si="2"/>
        <v>Weekend</v>
      </c>
      <c r="F193" s="9">
        <v>1</v>
      </c>
      <c r="G193" s="9">
        <v>0.1</v>
      </c>
      <c r="H193" s="9">
        <v>9.0899999999999995E-2</v>
      </c>
      <c r="I193" s="9">
        <v>0.49</v>
      </c>
      <c r="J193" s="9">
        <v>0.28360000000000002</v>
      </c>
      <c r="K193" s="9">
        <v>0</v>
      </c>
      <c r="L193" s="9">
        <v>1</v>
      </c>
      <c r="M193" s="9">
        <v>1</v>
      </c>
    </row>
    <row r="194" spans="1:13">
      <c r="A194" s="9">
        <v>193</v>
      </c>
      <c r="B194" s="10">
        <v>40552</v>
      </c>
      <c r="C194" s="9">
        <v>7</v>
      </c>
      <c r="D194" s="9" t="b">
        <v>0</v>
      </c>
      <c r="E194" s="9" t="str">
        <f t="shared" si="2"/>
        <v>Weekend</v>
      </c>
      <c r="F194" s="9">
        <v>1</v>
      </c>
      <c r="G194" s="9">
        <v>0.08</v>
      </c>
      <c r="H194" s="9">
        <v>9.0899999999999995E-2</v>
      </c>
      <c r="I194" s="9">
        <v>0.53</v>
      </c>
      <c r="J194" s="9">
        <v>0.19400000000000001</v>
      </c>
      <c r="K194" s="9">
        <v>1</v>
      </c>
      <c r="L194" s="9">
        <v>5</v>
      </c>
      <c r="M194" s="9">
        <v>6</v>
      </c>
    </row>
    <row r="195" spans="1:13">
      <c r="A195" s="9">
        <v>194</v>
      </c>
      <c r="B195" s="10">
        <v>40552</v>
      </c>
      <c r="C195" s="9">
        <v>8</v>
      </c>
      <c r="D195" s="9" t="b">
        <v>0</v>
      </c>
      <c r="E195" s="9" t="str">
        <f t="shared" ref="E195:E258" si="3">IF(WEEKDAY(B195,2)&gt;=6,"Weekend","Weekday")</f>
        <v>Weekend</v>
      </c>
      <c r="F195" s="9">
        <v>1</v>
      </c>
      <c r="G195" s="9">
        <v>0.1</v>
      </c>
      <c r="H195" s="9">
        <v>9.0899999999999995E-2</v>
      </c>
      <c r="I195" s="9">
        <v>0.49</v>
      </c>
      <c r="J195" s="9">
        <v>0.28360000000000002</v>
      </c>
      <c r="K195" s="9">
        <v>0</v>
      </c>
      <c r="L195" s="9">
        <v>10</v>
      </c>
      <c r="M195" s="9">
        <v>10</v>
      </c>
    </row>
    <row r="196" spans="1:13">
      <c r="A196" s="9">
        <v>195</v>
      </c>
      <c r="B196" s="10">
        <v>40552</v>
      </c>
      <c r="C196" s="9">
        <v>9</v>
      </c>
      <c r="D196" s="9" t="b">
        <v>0</v>
      </c>
      <c r="E196" s="9" t="str">
        <f t="shared" si="3"/>
        <v>Weekend</v>
      </c>
      <c r="F196" s="9">
        <v>1</v>
      </c>
      <c r="G196" s="9">
        <v>0.12</v>
      </c>
      <c r="H196" s="9">
        <v>7.5800000000000006E-2</v>
      </c>
      <c r="I196" s="9">
        <v>0.46</v>
      </c>
      <c r="J196" s="9">
        <v>0.52239999999999998</v>
      </c>
      <c r="K196" s="9">
        <v>0</v>
      </c>
      <c r="L196" s="9">
        <v>19</v>
      </c>
      <c r="M196" s="9">
        <v>19</v>
      </c>
    </row>
    <row r="197" spans="1:13">
      <c r="A197" s="9">
        <v>196</v>
      </c>
      <c r="B197" s="10">
        <v>40552</v>
      </c>
      <c r="C197" s="9">
        <v>10</v>
      </c>
      <c r="D197" s="9" t="b">
        <v>0</v>
      </c>
      <c r="E197" s="9" t="str">
        <f t="shared" si="3"/>
        <v>Weekend</v>
      </c>
      <c r="F197" s="9">
        <v>1</v>
      </c>
      <c r="G197" s="9">
        <v>0.14000000000000001</v>
      </c>
      <c r="H197" s="9">
        <v>0.1061</v>
      </c>
      <c r="I197" s="9">
        <v>0.43</v>
      </c>
      <c r="J197" s="9">
        <v>0.3881</v>
      </c>
      <c r="K197" s="9">
        <v>0</v>
      </c>
      <c r="L197" s="9">
        <v>49</v>
      </c>
      <c r="M197" s="9">
        <v>49</v>
      </c>
    </row>
    <row r="198" spans="1:13">
      <c r="A198" s="9">
        <v>197</v>
      </c>
      <c r="B198" s="10">
        <v>40552</v>
      </c>
      <c r="C198" s="9">
        <v>11</v>
      </c>
      <c r="D198" s="9" t="b">
        <v>0</v>
      </c>
      <c r="E198" s="9" t="str">
        <f t="shared" si="3"/>
        <v>Weekend</v>
      </c>
      <c r="F198" s="9">
        <v>1</v>
      </c>
      <c r="G198" s="9">
        <v>0.16</v>
      </c>
      <c r="H198" s="9">
        <v>0.1212</v>
      </c>
      <c r="I198" s="9">
        <v>0.4</v>
      </c>
      <c r="J198" s="9">
        <v>0.52239999999999998</v>
      </c>
      <c r="K198" s="9">
        <v>2</v>
      </c>
      <c r="L198" s="9">
        <v>47</v>
      </c>
      <c r="M198" s="9">
        <v>49</v>
      </c>
    </row>
    <row r="199" spans="1:13">
      <c r="A199" s="9">
        <v>198</v>
      </c>
      <c r="B199" s="10">
        <v>40552</v>
      </c>
      <c r="C199" s="9">
        <v>12</v>
      </c>
      <c r="D199" s="9" t="b">
        <v>0</v>
      </c>
      <c r="E199" s="9" t="str">
        <f t="shared" si="3"/>
        <v>Weekend</v>
      </c>
      <c r="F199" s="9">
        <v>1</v>
      </c>
      <c r="G199" s="9">
        <v>0.18</v>
      </c>
      <c r="H199" s="9">
        <v>0.13639999999999999</v>
      </c>
      <c r="I199" s="9">
        <v>0.37</v>
      </c>
      <c r="J199" s="9">
        <v>0.44779999999999998</v>
      </c>
      <c r="K199" s="9">
        <v>4</v>
      </c>
      <c r="L199" s="9">
        <v>79</v>
      </c>
      <c r="M199" s="9">
        <v>83</v>
      </c>
    </row>
    <row r="200" spans="1:13">
      <c r="A200" s="9">
        <v>199</v>
      </c>
      <c r="B200" s="10">
        <v>40552</v>
      </c>
      <c r="C200" s="9">
        <v>13</v>
      </c>
      <c r="D200" s="9" t="b">
        <v>0</v>
      </c>
      <c r="E200" s="9" t="str">
        <f t="shared" si="3"/>
        <v>Weekend</v>
      </c>
      <c r="F200" s="9">
        <v>1</v>
      </c>
      <c r="G200" s="9">
        <v>0.2</v>
      </c>
      <c r="H200" s="9">
        <v>0.16669999999999999</v>
      </c>
      <c r="I200" s="9">
        <v>0.34</v>
      </c>
      <c r="J200" s="9">
        <v>0.44779999999999998</v>
      </c>
      <c r="K200" s="9">
        <v>6</v>
      </c>
      <c r="L200" s="9">
        <v>69</v>
      </c>
      <c r="M200" s="9">
        <v>75</v>
      </c>
    </row>
    <row r="201" spans="1:13">
      <c r="A201" s="9">
        <v>200</v>
      </c>
      <c r="B201" s="10">
        <v>40552</v>
      </c>
      <c r="C201" s="9">
        <v>14</v>
      </c>
      <c r="D201" s="9" t="b">
        <v>0</v>
      </c>
      <c r="E201" s="9" t="str">
        <f t="shared" si="3"/>
        <v>Weekend</v>
      </c>
      <c r="F201" s="9">
        <v>1</v>
      </c>
      <c r="G201" s="9">
        <v>0.22</v>
      </c>
      <c r="H201" s="9">
        <v>0.18179999999999999</v>
      </c>
      <c r="I201" s="9">
        <v>0.32</v>
      </c>
      <c r="J201" s="9">
        <v>0.4627</v>
      </c>
      <c r="K201" s="9">
        <v>8</v>
      </c>
      <c r="L201" s="9">
        <v>64</v>
      </c>
      <c r="M201" s="9">
        <v>72</v>
      </c>
    </row>
    <row r="202" spans="1:13">
      <c r="A202" s="9">
        <v>201</v>
      </c>
      <c r="B202" s="10">
        <v>40552</v>
      </c>
      <c r="C202" s="9">
        <v>15</v>
      </c>
      <c r="D202" s="9" t="b">
        <v>0</v>
      </c>
      <c r="E202" s="9" t="str">
        <f t="shared" si="3"/>
        <v>Weekend</v>
      </c>
      <c r="F202" s="9">
        <v>1</v>
      </c>
      <c r="G202" s="9">
        <v>0.22</v>
      </c>
      <c r="H202" s="9">
        <v>0.19700000000000001</v>
      </c>
      <c r="I202" s="9">
        <v>0.35</v>
      </c>
      <c r="J202" s="9">
        <v>0.35820000000000002</v>
      </c>
      <c r="K202" s="9">
        <v>5</v>
      </c>
      <c r="L202" s="9">
        <v>77</v>
      </c>
      <c r="M202" s="9">
        <v>82</v>
      </c>
    </row>
    <row r="203" spans="1:13">
      <c r="A203" s="9">
        <v>202</v>
      </c>
      <c r="B203" s="10">
        <v>40552</v>
      </c>
      <c r="C203" s="9">
        <v>16</v>
      </c>
      <c r="D203" s="9" t="b">
        <v>0</v>
      </c>
      <c r="E203" s="9" t="str">
        <f t="shared" si="3"/>
        <v>Weekend</v>
      </c>
      <c r="F203" s="9">
        <v>1</v>
      </c>
      <c r="G203" s="9">
        <v>0.2</v>
      </c>
      <c r="H203" s="9">
        <v>0.16669999999999999</v>
      </c>
      <c r="I203" s="9">
        <v>0.34</v>
      </c>
      <c r="J203" s="9">
        <v>0.44779999999999998</v>
      </c>
      <c r="K203" s="9">
        <v>13</v>
      </c>
      <c r="L203" s="9">
        <v>79</v>
      </c>
      <c r="M203" s="9">
        <v>92</v>
      </c>
    </row>
    <row r="204" spans="1:13">
      <c r="A204" s="9">
        <v>203</v>
      </c>
      <c r="B204" s="10">
        <v>40552</v>
      </c>
      <c r="C204" s="9">
        <v>17</v>
      </c>
      <c r="D204" s="9" t="b">
        <v>0</v>
      </c>
      <c r="E204" s="9" t="str">
        <f t="shared" si="3"/>
        <v>Weekend</v>
      </c>
      <c r="F204" s="9">
        <v>1</v>
      </c>
      <c r="G204" s="9">
        <v>0.18</v>
      </c>
      <c r="H204" s="9">
        <v>0.1515</v>
      </c>
      <c r="I204" s="9">
        <v>0.37</v>
      </c>
      <c r="J204" s="9">
        <v>0.3881</v>
      </c>
      <c r="K204" s="9">
        <v>3</v>
      </c>
      <c r="L204" s="9">
        <v>59</v>
      </c>
      <c r="M204" s="9">
        <v>62</v>
      </c>
    </row>
    <row r="205" spans="1:13">
      <c r="A205" s="9">
        <v>204</v>
      </c>
      <c r="B205" s="10">
        <v>40552</v>
      </c>
      <c r="C205" s="9">
        <v>18</v>
      </c>
      <c r="D205" s="9" t="b">
        <v>0</v>
      </c>
      <c r="E205" s="9" t="str">
        <f t="shared" si="3"/>
        <v>Weekend</v>
      </c>
      <c r="F205" s="9">
        <v>1</v>
      </c>
      <c r="G205" s="9">
        <v>0.16</v>
      </c>
      <c r="H205" s="9">
        <v>0.13639999999999999</v>
      </c>
      <c r="I205" s="9">
        <v>0.4</v>
      </c>
      <c r="J205" s="9">
        <v>0.32840000000000003</v>
      </c>
      <c r="K205" s="9">
        <v>4</v>
      </c>
      <c r="L205" s="9">
        <v>44</v>
      </c>
      <c r="M205" s="9">
        <v>48</v>
      </c>
    </row>
    <row r="206" spans="1:13">
      <c r="A206" s="9">
        <v>205</v>
      </c>
      <c r="B206" s="10">
        <v>40552</v>
      </c>
      <c r="C206" s="9">
        <v>19</v>
      </c>
      <c r="D206" s="9" t="b">
        <v>0</v>
      </c>
      <c r="E206" s="9" t="str">
        <f t="shared" si="3"/>
        <v>Weekend</v>
      </c>
      <c r="F206" s="9">
        <v>1</v>
      </c>
      <c r="G206" s="9">
        <v>0.16</v>
      </c>
      <c r="H206" s="9">
        <v>0.13639999999999999</v>
      </c>
      <c r="I206" s="9">
        <v>0.43</v>
      </c>
      <c r="J206" s="9">
        <v>0.32840000000000003</v>
      </c>
      <c r="K206" s="9">
        <v>1</v>
      </c>
      <c r="L206" s="9">
        <v>40</v>
      </c>
      <c r="M206" s="9">
        <v>41</v>
      </c>
    </row>
    <row r="207" spans="1:13">
      <c r="A207" s="9">
        <v>206</v>
      </c>
      <c r="B207" s="10">
        <v>40552</v>
      </c>
      <c r="C207" s="9">
        <v>20</v>
      </c>
      <c r="D207" s="9" t="b">
        <v>0</v>
      </c>
      <c r="E207" s="9" t="str">
        <f t="shared" si="3"/>
        <v>Weekend</v>
      </c>
      <c r="F207" s="9">
        <v>1</v>
      </c>
      <c r="G207" s="9">
        <v>0.14000000000000001</v>
      </c>
      <c r="H207" s="9">
        <v>0.1212</v>
      </c>
      <c r="I207" s="9">
        <v>0.46</v>
      </c>
      <c r="J207" s="9">
        <v>0.25369999999999998</v>
      </c>
      <c r="K207" s="9">
        <v>0</v>
      </c>
      <c r="L207" s="9">
        <v>38</v>
      </c>
      <c r="M207" s="9">
        <v>38</v>
      </c>
    </row>
    <row r="208" spans="1:13">
      <c r="A208" s="9">
        <v>207</v>
      </c>
      <c r="B208" s="10">
        <v>40552</v>
      </c>
      <c r="C208" s="9">
        <v>21</v>
      </c>
      <c r="D208" s="9" t="b">
        <v>0</v>
      </c>
      <c r="E208" s="9" t="str">
        <f t="shared" si="3"/>
        <v>Weekend</v>
      </c>
      <c r="F208" s="9">
        <v>1</v>
      </c>
      <c r="G208" s="9">
        <v>0.14000000000000001</v>
      </c>
      <c r="H208" s="9">
        <v>0.1061</v>
      </c>
      <c r="I208" s="9">
        <v>0.46</v>
      </c>
      <c r="J208" s="9">
        <v>0.41789999999999999</v>
      </c>
      <c r="K208" s="9">
        <v>1</v>
      </c>
      <c r="L208" s="9">
        <v>19</v>
      </c>
      <c r="M208" s="9">
        <v>20</v>
      </c>
    </row>
    <row r="209" spans="1:13">
      <c r="A209" s="9">
        <v>208</v>
      </c>
      <c r="B209" s="10">
        <v>40552</v>
      </c>
      <c r="C209" s="9">
        <v>22</v>
      </c>
      <c r="D209" s="9" t="b">
        <v>0</v>
      </c>
      <c r="E209" s="9" t="str">
        <f t="shared" si="3"/>
        <v>Weekend</v>
      </c>
      <c r="F209" s="9">
        <v>1</v>
      </c>
      <c r="G209" s="9">
        <v>0.14000000000000001</v>
      </c>
      <c r="H209" s="9">
        <v>0.1212</v>
      </c>
      <c r="I209" s="9">
        <v>0.46</v>
      </c>
      <c r="J209" s="9">
        <v>0.29849999999999999</v>
      </c>
      <c r="K209" s="9">
        <v>5</v>
      </c>
      <c r="L209" s="9">
        <v>10</v>
      </c>
      <c r="M209" s="9">
        <v>15</v>
      </c>
    </row>
    <row r="210" spans="1:13">
      <c r="A210" s="9">
        <v>209</v>
      </c>
      <c r="B210" s="10">
        <v>40552</v>
      </c>
      <c r="C210" s="9">
        <v>23</v>
      </c>
      <c r="D210" s="9" t="b">
        <v>0</v>
      </c>
      <c r="E210" s="9" t="str">
        <f t="shared" si="3"/>
        <v>Weekend</v>
      </c>
      <c r="F210" s="9">
        <v>1</v>
      </c>
      <c r="G210" s="9">
        <v>0.12</v>
      </c>
      <c r="H210" s="9">
        <v>0.13639999999999999</v>
      </c>
      <c r="I210" s="9">
        <v>0.5</v>
      </c>
      <c r="J210" s="9">
        <v>0.19400000000000001</v>
      </c>
      <c r="K210" s="9">
        <v>0</v>
      </c>
      <c r="L210" s="9">
        <v>6</v>
      </c>
      <c r="M210" s="9">
        <v>6</v>
      </c>
    </row>
    <row r="211" spans="1:13">
      <c r="A211" s="9">
        <v>210</v>
      </c>
      <c r="B211" s="10">
        <v>40553</v>
      </c>
      <c r="C211" s="9">
        <v>0</v>
      </c>
      <c r="D211" s="9" t="b">
        <v>0</v>
      </c>
      <c r="E211" s="9" t="str">
        <f t="shared" si="3"/>
        <v>Weekday</v>
      </c>
      <c r="F211" s="9">
        <v>1</v>
      </c>
      <c r="G211" s="9">
        <v>0.12</v>
      </c>
      <c r="H211" s="9">
        <v>0.1212</v>
      </c>
      <c r="I211" s="9">
        <v>0.5</v>
      </c>
      <c r="J211" s="9">
        <v>0.28360000000000002</v>
      </c>
      <c r="K211" s="9">
        <v>2</v>
      </c>
      <c r="L211" s="9">
        <v>3</v>
      </c>
      <c r="M211" s="9">
        <v>5</v>
      </c>
    </row>
    <row r="212" spans="1:13">
      <c r="A212" s="9">
        <v>211</v>
      </c>
      <c r="B212" s="10">
        <v>40553</v>
      </c>
      <c r="C212" s="9">
        <v>1</v>
      </c>
      <c r="D212" s="9" t="b">
        <v>0</v>
      </c>
      <c r="E212" s="9" t="str">
        <f t="shared" si="3"/>
        <v>Weekday</v>
      </c>
      <c r="F212" s="9">
        <v>1</v>
      </c>
      <c r="G212" s="9">
        <v>0.12</v>
      </c>
      <c r="H212" s="9">
        <v>0.1212</v>
      </c>
      <c r="I212" s="9">
        <v>0.5</v>
      </c>
      <c r="J212" s="9">
        <v>0.28360000000000002</v>
      </c>
      <c r="K212" s="9">
        <v>1</v>
      </c>
      <c r="L212" s="9">
        <v>0</v>
      </c>
      <c r="M212" s="9">
        <v>1</v>
      </c>
    </row>
    <row r="213" spans="1:13">
      <c r="A213" s="9">
        <v>212</v>
      </c>
      <c r="B213" s="10">
        <v>40553</v>
      </c>
      <c r="C213" s="9">
        <v>2</v>
      </c>
      <c r="D213" s="9" t="b">
        <v>0</v>
      </c>
      <c r="E213" s="9" t="str">
        <f t="shared" si="3"/>
        <v>Weekday</v>
      </c>
      <c r="F213" s="9">
        <v>1</v>
      </c>
      <c r="G213" s="9">
        <v>0.12</v>
      </c>
      <c r="H213" s="9">
        <v>0.1212</v>
      </c>
      <c r="I213" s="9">
        <v>0.5</v>
      </c>
      <c r="J213" s="9">
        <v>0.22389999999999999</v>
      </c>
      <c r="K213" s="9">
        <v>0</v>
      </c>
      <c r="L213" s="9">
        <v>3</v>
      </c>
      <c r="M213" s="9">
        <v>3</v>
      </c>
    </row>
    <row r="214" spans="1:13">
      <c r="A214" s="9">
        <v>213</v>
      </c>
      <c r="B214" s="10">
        <v>40553</v>
      </c>
      <c r="C214" s="9">
        <v>3</v>
      </c>
      <c r="D214" s="9" t="b">
        <v>0</v>
      </c>
      <c r="E214" s="9" t="str">
        <f t="shared" si="3"/>
        <v>Weekday</v>
      </c>
      <c r="F214" s="9">
        <v>1</v>
      </c>
      <c r="G214" s="9">
        <v>0.12</v>
      </c>
      <c r="H214" s="9">
        <v>0.1212</v>
      </c>
      <c r="I214" s="9">
        <v>0.5</v>
      </c>
      <c r="J214" s="9">
        <v>0.22389999999999999</v>
      </c>
      <c r="K214" s="9">
        <v>0</v>
      </c>
      <c r="L214" s="9">
        <v>1</v>
      </c>
      <c r="M214" s="9">
        <v>1</v>
      </c>
    </row>
    <row r="215" spans="1:13">
      <c r="A215" s="9">
        <v>214</v>
      </c>
      <c r="B215" s="10">
        <v>40553</v>
      </c>
      <c r="C215" s="9">
        <v>4</v>
      </c>
      <c r="D215" s="9" t="b">
        <v>0</v>
      </c>
      <c r="E215" s="9" t="str">
        <f t="shared" si="3"/>
        <v>Weekday</v>
      </c>
      <c r="F215" s="9">
        <v>1</v>
      </c>
      <c r="G215" s="9">
        <v>0.1</v>
      </c>
      <c r="H215" s="9">
        <v>0.1212</v>
      </c>
      <c r="I215" s="9">
        <v>0.54</v>
      </c>
      <c r="J215" s="9">
        <v>0.1343</v>
      </c>
      <c r="K215" s="9">
        <v>1</v>
      </c>
      <c r="L215" s="9">
        <v>2</v>
      </c>
      <c r="M215" s="9">
        <v>3</v>
      </c>
    </row>
    <row r="216" spans="1:13">
      <c r="A216" s="9">
        <v>215</v>
      </c>
      <c r="B216" s="10">
        <v>40553</v>
      </c>
      <c r="C216" s="9">
        <v>5</v>
      </c>
      <c r="D216" s="9" t="b">
        <v>0</v>
      </c>
      <c r="E216" s="9" t="str">
        <f t="shared" si="3"/>
        <v>Weekday</v>
      </c>
      <c r="F216" s="9">
        <v>1</v>
      </c>
      <c r="G216" s="9">
        <v>0.1</v>
      </c>
      <c r="H216" s="9">
        <v>0.1061</v>
      </c>
      <c r="I216" s="9">
        <v>0.54</v>
      </c>
      <c r="J216" s="9">
        <v>0.25369999999999998</v>
      </c>
      <c r="K216" s="9">
        <v>0</v>
      </c>
      <c r="L216" s="9">
        <v>3</v>
      </c>
      <c r="M216" s="9">
        <v>3</v>
      </c>
    </row>
    <row r="217" spans="1:13">
      <c r="A217" s="9">
        <v>216</v>
      </c>
      <c r="B217" s="10">
        <v>40553</v>
      </c>
      <c r="C217" s="9">
        <v>6</v>
      </c>
      <c r="D217" s="9" t="b">
        <v>0</v>
      </c>
      <c r="E217" s="9" t="str">
        <f t="shared" si="3"/>
        <v>Weekday</v>
      </c>
      <c r="F217" s="9">
        <v>1</v>
      </c>
      <c r="G217" s="9">
        <v>0.12</v>
      </c>
      <c r="H217" s="9">
        <v>0.1212</v>
      </c>
      <c r="I217" s="9">
        <v>0.5</v>
      </c>
      <c r="J217" s="9">
        <v>0.28360000000000002</v>
      </c>
      <c r="K217" s="9">
        <v>0</v>
      </c>
      <c r="L217" s="9">
        <v>31</v>
      </c>
      <c r="M217" s="9">
        <v>31</v>
      </c>
    </row>
    <row r="218" spans="1:13">
      <c r="A218" s="9">
        <v>217</v>
      </c>
      <c r="B218" s="10">
        <v>40553</v>
      </c>
      <c r="C218" s="9">
        <v>7</v>
      </c>
      <c r="D218" s="9" t="b">
        <v>0</v>
      </c>
      <c r="E218" s="9" t="str">
        <f t="shared" si="3"/>
        <v>Weekday</v>
      </c>
      <c r="F218" s="9">
        <v>1</v>
      </c>
      <c r="G218" s="9">
        <v>0.12</v>
      </c>
      <c r="H218" s="9">
        <v>0.1212</v>
      </c>
      <c r="I218" s="9">
        <v>0.5</v>
      </c>
      <c r="J218" s="9">
        <v>0.22389999999999999</v>
      </c>
      <c r="K218" s="9">
        <v>2</v>
      </c>
      <c r="L218" s="9">
        <v>75</v>
      </c>
      <c r="M218" s="9">
        <v>77</v>
      </c>
    </row>
    <row r="219" spans="1:13">
      <c r="A219" s="9">
        <v>218</v>
      </c>
      <c r="B219" s="10">
        <v>40553</v>
      </c>
      <c r="C219" s="9">
        <v>8</v>
      </c>
      <c r="D219" s="9" t="b">
        <v>0</v>
      </c>
      <c r="E219" s="9" t="str">
        <f t="shared" si="3"/>
        <v>Weekday</v>
      </c>
      <c r="F219" s="9">
        <v>2</v>
      </c>
      <c r="G219" s="9">
        <v>0.12</v>
      </c>
      <c r="H219" s="9">
        <v>0.1212</v>
      </c>
      <c r="I219" s="9">
        <v>0.5</v>
      </c>
      <c r="J219" s="9">
        <v>0.28360000000000002</v>
      </c>
      <c r="K219" s="9">
        <v>4</v>
      </c>
      <c r="L219" s="9">
        <v>184</v>
      </c>
      <c r="M219" s="9">
        <v>188</v>
      </c>
    </row>
    <row r="220" spans="1:13">
      <c r="A220" s="9">
        <v>219</v>
      </c>
      <c r="B220" s="10">
        <v>40553</v>
      </c>
      <c r="C220" s="9">
        <v>9</v>
      </c>
      <c r="D220" s="9" t="b">
        <v>0</v>
      </c>
      <c r="E220" s="9" t="str">
        <f t="shared" si="3"/>
        <v>Weekday</v>
      </c>
      <c r="F220" s="9">
        <v>2</v>
      </c>
      <c r="G220" s="9">
        <v>0.14000000000000001</v>
      </c>
      <c r="H220" s="9">
        <v>0.1212</v>
      </c>
      <c r="I220" s="9">
        <v>0.5</v>
      </c>
      <c r="J220" s="9">
        <v>0.25369999999999998</v>
      </c>
      <c r="K220" s="9">
        <v>2</v>
      </c>
      <c r="L220" s="9">
        <v>92</v>
      </c>
      <c r="M220" s="9">
        <v>94</v>
      </c>
    </row>
    <row r="221" spans="1:13">
      <c r="A221" s="9">
        <v>220</v>
      </c>
      <c r="B221" s="10">
        <v>40553</v>
      </c>
      <c r="C221" s="9">
        <v>10</v>
      </c>
      <c r="D221" s="9" t="b">
        <v>0</v>
      </c>
      <c r="E221" s="9" t="str">
        <f t="shared" si="3"/>
        <v>Weekday</v>
      </c>
      <c r="F221" s="9">
        <v>2</v>
      </c>
      <c r="G221" s="9">
        <v>0.14000000000000001</v>
      </c>
      <c r="H221" s="9">
        <v>0.1212</v>
      </c>
      <c r="I221" s="9">
        <v>0.5</v>
      </c>
      <c r="J221" s="9">
        <v>0.29849999999999999</v>
      </c>
      <c r="K221" s="9">
        <v>0</v>
      </c>
      <c r="L221" s="9">
        <v>31</v>
      </c>
      <c r="M221" s="9">
        <v>31</v>
      </c>
    </row>
    <row r="222" spans="1:13">
      <c r="A222" s="9">
        <v>221</v>
      </c>
      <c r="B222" s="10">
        <v>40553</v>
      </c>
      <c r="C222" s="9">
        <v>11</v>
      </c>
      <c r="D222" s="9" t="b">
        <v>0</v>
      </c>
      <c r="E222" s="9" t="str">
        <f t="shared" si="3"/>
        <v>Weekday</v>
      </c>
      <c r="F222" s="9">
        <v>2</v>
      </c>
      <c r="G222" s="9">
        <v>0.16</v>
      </c>
      <c r="H222" s="9">
        <v>0.13639999999999999</v>
      </c>
      <c r="I222" s="9">
        <v>0.47</v>
      </c>
      <c r="J222" s="9">
        <v>0.28360000000000002</v>
      </c>
      <c r="K222" s="9">
        <v>2</v>
      </c>
      <c r="L222" s="9">
        <v>28</v>
      </c>
      <c r="M222" s="9">
        <v>30</v>
      </c>
    </row>
    <row r="223" spans="1:13">
      <c r="A223" s="9">
        <v>222</v>
      </c>
      <c r="B223" s="10">
        <v>40553</v>
      </c>
      <c r="C223" s="9">
        <v>12</v>
      </c>
      <c r="D223" s="9" t="b">
        <v>0</v>
      </c>
      <c r="E223" s="9" t="str">
        <f t="shared" si="3"/>
        <v>Weekday</v>
      </c>
      <c r="F223" s="9">
        <v>2</v>
      </c>
      <c r="G223" s="9">
        <v>0.2</v>
      </c>
      <c r="H223" s="9">
        <v>0.18179999999999999</v>
      </c>
      <c r="I223" s="9">
        <v>0.4</v>
      </c>
      <c r="J223" s="9">
        <v>0.28360000000000002</v>
      </c>
      <c r="K223" s="9">
        <v>5</v>
      </c>
      <c r="L223" s="9">
        <v>47</v>
      </c>
      <c r="M223" s="9">
        <v>52</v>
      </c>
    </row>
    <row r="224" spans="1:13">
      <c r="A224" s="9">
        <v>223</v>
      </c>
      <c r="B224" s="10">
        <v>40553</v>
      </c>
      <c r="C224" s="9">
        <v>13</v>
      </c>
      <c r="D224" s="9" t="b">
        <v>0</v>
      </c>
      <c r="E224" s="9" t="str">
        <f t="shared" si="3"/>
        <v>Weekday</v>
      </c>
      <c r="F224" s="9">
        <v>2</v>
      </c>
      <c r="G224" s="9">
        <v>0.2</v>
      </c>
      <c r="H224" s="9">
        <v>0.18179999999999999</v>
      </c>
      <c r="I224" s="9">
        <v>0.4</v>
      </c>
      <c r="J224" s="9">
        <v>0.28360000000000002</v>
      </c>
      <c r="K224" s="9">
        <v>4</v>
      </c>
      <c r="L224" s="9">
        <v>50</v>
      </c>
      <c r="M224" s="9">
        <v>54</v>
      </c>
    </row>
    <row r="225" spans="1:13">
      <c r="A225" s="9">
        <v>224</v>
      </c>
      <c r="B225" s="10">
        <v>40553</v>
      </c>
      <c r="C225" s="9">
        <v>14</v>
      </c>
      <c r="D225" s="9" t="b">
        <v>0</v>
      </c>
      <c r="E225" s="9" t="str">
        <f t="shared" si="3"/>
        <v>Weekday</v>
      </c>
      <c r="F225" s="9">
        <v>2</v>
      </c>
      <c r="G225" s="9">
        <v>0.2</v>
      </c>
      <c r="H225" s="9">
        <v>0.19700000000000001</v>
      </c>
      <c r="I225" s="9">
        <v>0.4</v>
      </c>
      <c r="J225" s="9">
        <v>0.22389999999999999</v>
      </c>
      <c r="K225" s="9">
        <v>0</v>
      </c>
      <c r="L225" s="9">
        <v>47</v>
      </c>
      <c r="M225" s="9">
        <v>47</v>
      </c>
    </row>
    <row r="226" spans="1:13">
      <c r="A226" s="9">
        <v>225</v>
      </c>
      <c r="B226" s="10">
        <v>40553</v>
      </c>
      <c r="C226" s="9">
        <v>15</v>
      </c>
      <c r="D226" s="9" t="b">
        <v>0</v>
      </c>
      <c r="E226" s="9" t="str">
        <f t="shared" si="3"/>
        <v>Weekday</v>
      </c>
      <c r="F226" s="9">
        <v>2</v>
      </c>
      <c r="G226" s="9">
        <v>0.2</v>
      </c>
      <c r="H226" s="9">
        <v>0.19700000000000001</v>
      </c>
      <c r="I226" s="9">
        <v>0.4</v>
      </c>
      <c r="J226" s="9">
        <v>0.22389999999999999</v>
      </c>
      <c r="K226" s="9">
        <v>2</v>
      </c>
      <c r="L226" s="9">
        <v>43</v>
      </c>
      <c r="M226" s="9">
        <v>45</v>
      </c>
    </row>
    <row r="227" spans="1:13">
      <c r="A227" s="9">
        <v>226</v>
      </c>
      <c r="B227" s="10">
        <v>40553</v>
      </c>
      <c r="C227" s="9">
        <v>16</v>
      </c>
      <c r="D227" s="9" t="b">
        <v>0</v>
      </c>
      <c r="E227" s="9" t="str">
        <f t="shared" si="3"/>
        <v>Weekday</v>
      </c>
      <c r="F227" s="9">
        <v>1</v>
      </c>
      <c r="G227" s="9">
        <v>0.2</v>
      </c>
      <c r="H227" s="9">
        <v>0.21210000000000001</v>
      </c>
      <c r="I227" s="9">
        <v>0.4</v>
      </c>
      <c r="J227" s="9">
        <v>0.1343</v>
      </c>
      <c r="K227" s="9">
        <v>4</v>
      </c>
      <c r="L227" s="9">
        <v>70</v>
      </c>
      <c r="M227" s="9">
        <v>74</v>
      </c>
    </row>
    <row r="228" spans="1:13">
      <c r="A228" s="9">
        <v>227</v>
      </c>
      <c r="B228" s="10">
        <v>40553</v>
      </c>
      <c r="C228" s="9">
        <v>17</v>
      </c>
      <c r="D228" s="9" t="b">
        <v>0</v>
      </c>
      <c r="E228" s="9" t="str">
        <f t="shared" si="3"/>
        <v>Weekday</v>
      </c>
      <c r="F228" s="9">
        <v>1</v>
      </c>
      <c r="G228" s="9">
        <v>0.2</v>
      </c>
      <c r="H228" s="9">
        <v>0.2273</v>
      </c>
      <c r="I228" s="9">
        <v>0.4</v>
      </c>
      <c r="J228" s="9">
        <v>0.1045</v>
      </c>
      <c r="K228" s="9">
        <v>4</v>
      </c>
      <c r="L228" s="9">
        <v>174</v>
      </c>
      <c r="M228" s="9">
        <v>178</v>
      </c>
    </row>
    <row r="229" spans="1:13">
      <c r="A229" s="9">
        <v>228</v>
      </c>
      <c r="B229" s="10">
        <v>40553</v>
      </c>
      <c r="C229" s="9">
        <v>18</v>
      </c>
      <c r="D229" s="9" t="b">
        <v>0</v>
      </c>
      <c r="E229" s="9" t="str">
        <f t="shared" si="3"/>
        <v>Weekday</v>
      </c>
      <c r="F229" s="9">
        <v>1</v>
      </c>
      <c r="G229" s="9">
        <v>0.2</v>
      </c>
      <c r="H229" s="9">
        <v>0.19700000000000001</v>
      </c>
      <c r="I229" s="9">
        <v>0.4</v>
      </c>
      <c r="J229" s="9">
        <v>0.22389999999999999</v>
      </c>
      <c r="K229" s="9">
        <v>1</v>
      </c>
      <c r="L229" s="9">
        <v>154</v>
      </c>
      <c r="M229" s="9">
        <v>155</v>
      </c>
    </row>
    <row r="230" spans="1:13">
      <c r="A230" s="9">
        <v>229</v>
      </c>
      <c r="B230" s="10">
        <v>40553</v>
      </c>
      <c r="C230" s="9">
        <v>19</v>
      </c>
      <c r="D230" s="9" t="b">
        <v>0</v>
      </c>
      <c r="E230" s="9" t="str">
        <f t="shared" si="3"/>
        <v>Weekday</v>
      </c>
      <c r="F230" s="9">
        <v>1</v>
      </c>
      <c r="G230" s="9">
        <v>0.16</v>
      </c>
      <c r="H230" s="9">
        <v>0.16669999999999999</v>
      </c>
      <c r="I230" s="9">
        <v>0.47</v>
      </c>
      <c r="J230" s="9">
        <v>0.16420000000000001</v>
      </c>
      <c r="K230" s="9">
        <v>3</v>
      </c>
      <c r="L230" s="9">
        <v>92</v>
      </c>
      <c r="M230" s="9">
        <v>95</v>
      </c>
    </row>
    <row r="231" spans="1:13">
      <c r="A231" s="9">
        <v>230</v>
      </c>
      <c r="B231" s="10">
        <v>40553</v>
      </c>
      <c r="C231" s="9">
        <v>20</v>
      </c>
      <c r="D231" s="9" t="b">
        <v>0</v>
      </c>
      <c r="E231" s="9" t="str">
        <f t="shared" si="3"/>
        <v>Weekday</v>
      </c>
      <c r="F231" s="9">
        <v>1</v>
      </c>
      <c r="G231" s="9">
        <v>0.16</v>
      </c>
      <c r="H231" s="9">
        <v>0.16669999999999999</v>
      </c>
      <c r="I231" s="9">
        <v>0.5</v>
      </c>
      <c r="J231" s="9">
        <v>0.16420000000000001</v>
      </c>
      <c r="K231" s="9">
        <v>1</v>
      </c>
      <c r="L231" s="9">
        <v>73</v>
      </c>
      <c r="M231" s="9">
        <v>74</v>
      </c>
    </row>
    <row r="232" spans="1:13">
      <c r="A232" s="9">
        <v>231</v>
      </c>
      <c r="B232" s="10">
        <v>40553</v>
      </c>
      <c r="C232" s="9">
        <v>21</v>
      </c>
      <c r="D232" s="9" t="b">
        <v>0</v>
      </c>
      <c r="E232" s="9" t="str">
        <f t="shared" si="3"/>
        <v>Weekday</v>
      </c>
      <c r="F232" s="9">
        <v>1</v>
      </c>
      <c r="G232" s="9">
        <v>0.14000000000000001</v>
      </c>
      <c r="H232" s="9">
        <v>0.13639999999999999</v>
      </c>
      <c r="I232" s="9">
        <v>0.59</v>
      </c>
      <c r="J232" s="9">
        <v>0.19400000000000001</v>
      </c>
      <c r="K232" s="9">
        <v>1</v>
      </c>
      <c r="L232" s="9">
        <v>37</v>
      </c>
      <c r="M232" s="9">
        <v>38</v>
      </c>
    </row>
    <row r="233" spans="1:13">
      <c r="A233" s="9">
        <v>232</v>
      </c>
      <c r="B233" s="10">
        <v>40553</v>
      </c>
      <c r="C233" s="9">
        <v>22</v>
      </c>
      <c r="D233" s="9" t="b">
        <v>0</v>
      </c>
      <c r="E233" s="9" t="str">
        <f t="shared" si="3"/>
        <v>Weekday</v>
      </c>
      <c r="F233" s="9">
        <v>1</v>
      </c>
      <c r="G233" s="9">
        <v>0.14000000000000001</v>
      </c>
      <c r="H233" s="9">
        <v>0.1515</v>
      </c>
      <c r="I233" s="9">
        <v>0.59</v>
      </c>
      <c r="J233" s="9">
        <v>0.16420000000000001</v>
      </c>
      <c r="K233" s="9">
        <v>2</v>
      </c>
      <c r="L233" s="9">
        <v>22</v>
      </c>
      <c r="M233" s="9">
        <v>24</v>
      </c>
    </row>
    <row r="234" spans="1:13">
      <c r="A234" s="9">
        <v>233</v>
      </c>
      <c r="B234" s="10">
        <v>40553</v>
      </c>
      <c r="C234" s="9">
        <v>23</v>
      </c>
      <c r="D234" s="9" t="b">
        <v>0</v>
      </c>
      <c r="E234" s="9" t="str">
        <f t="shared" si="3"/>
        <v>Weekday</v>
      </c>
      <c r="F234" s="9">
        <v>1</v>
      </c>
      <c r="G234" s="9">
        <v>0.14000000000000001</v>
      </c>
      <c r="H234" s="9">
        <v>0.1515</v>
      </c>
      <c r="I234" s="9">
        <v>0.59</v>
      </c>
      <c r="J234" s="9">
        <v>0.16420000000000001</v>
      </c>
      <c r="K234" s="9">
        <v>0</v>
      </c>
      <c r="L234" s="9">
        <v>18</v>
      </c>
      <c r="M234" s="9">
        <v>18</v>
      </c>
    </row>
    <row r="235" spans="1:13">
      <c r="A235" s="9">
        <v>234</v>
      </c>
      <c r="B235" s="10">
        <v>40554</v>
      </c>
      <c r="C235" s="9">
        <v>0</v>
      </c>
      <c r="D235" s="9" t="b">
        <v>0</v>
      </c>
      <c r="E235" s="9" t="str">
        <f t="shared" si="3"/>
        <v>Weekday</v>
      </c>
      <c r="F235" s="9">
        <v>1</v>
      </c>
      <c r="G235" s="9">
        <v>0.14000000000000001</v>
      </c>
      <c r="H235" s="9">
        <v>0.16669999999999999</v>
      </c>
      <c r="I235" s="9">
        <v>0.59</v>
      </c>
      <c r="J235" s="9">
        <v>0.1045</v>
      </c>
      <c r="K235" s="9">
        <v>2</v>
      </c>
      <c r="L235" s="9">
        <v>10</v>
      </c>
      <c r="M235" s="9">
        <v>12</v>
      </c>
    </row>
    <row r="236" spans="1:13">
      <c r="A236" s="9">
        <v>235</v>
      </c>
      <c r="B236" s="10">
        <v>40554</v>
      </c>
      <c r="C236" s="9">
        <v>1</v>
      </c>
      <c r="D236" s="9" t="b">
        <v>0</v>
      </c>
      <c r="E236" s="9" t="str">
        <f t="shared" si="3"/>
        <v>Weekday</v>
      </c>
      <c r="F236" s="9">
        <v>1</v>
      </c>
      <c r="G236" s="9">
        <v>0.14000000000000001</v>
      </c>
      <c r="H236" s="9">
        <v>0.1515</v>
      </c>
      <c r="I236" s="9">
        <v>0.59</v>
      </c>
      <c r="J236" s="9">
        <v>0.16420000000000001</v>
      </c>
      <c r="K236" s="9">
        <v>0</v>
      </c>
      <c r="L236" s="9">
        <v>3</v>
      </c>
      <c r="M236" s="9">
        <v>3</v>
      </c>
    </row>
    <row r="237" spans="1:13">
      <c r="A237" s="9">
        <v>236</v>
      </c>
      <c r="B237" s="10">
        <v>40554</v>
      </c>
      <c r="C237" s="9">
        <v>2</v>
      </c>
      <c r="D237" s="9" t="b">
        <v>0</v>
      </c>
      <c r="E237" s="9" t="str">
        <f t="shared" si="3"/>
        <v>Weekday</v>
      </c>
      <c r="F237" s="9">
        <v>2</v>
      </c>
      <c r="G237" s="9">
        <v>0.16</v>
      </c>
      <c r="H237" s="9">
        <v>0.1515</v>
      </c>
      <c r="I237" s="9">
        <v>0.55000000000000004</v>
      </c>
      <c r="J237" s="9">
        <v>0.19400000000000001</v>
      </c>
      <c r="K237" s="9">
        <v>0</v>
      </c>
      <c r="L237" s="9">
        <v>3</v>
      </c>
      <c r="M237" s="9">
        <v>3</v>
      </c>
    </row>
    <row r="238" spans="1:13">
      <c r="A238" s="9">
        <v>237</v>
      </c>
      <c r="B238" s="10">
        <v>40554</v>
      </c>
      <c r="C238" s="9">
        <v>5</v>
      </c>
      <c r="D238" s="9" t="b">
        <v>0</v>
      </c>
      <c r="E238" s="9" t="str">
        <f t="shared" si="3"/>
        <v>Weekday</v>
      </c>
      <c r="F238" s="9">
        <v>2</v>
      </c>
      <c r="G238" s="9">
        <v>0.16</v>
      </c>
      <c r="H238" s="9">
        <v>0.18179999999999999</v>
      </c>
      <c r="I238" s="9">
        <v>0.55000000000000004</v>
      </c>
      <c r="J238" s="9">
        <v>0.1343</v>
      </c>
      <c r="K238" s="9">
        <v>0</v>
      </c>
      <c r="L238" s="9">
        <v>6</v>
      </c>
      <c r="M238" s="9">
        <v>6</v>
      </c>
    </row>
    <row r="239" spans="1:13">
      <c r="A239" s="9">
        <v>238</v>
      </c>
      <c r="B239" s="10">
        <v>40554</v>
      </c>
      <c r="C239" s="9">
        <v>6</v>
      </c>
      <c r="D239" s="9" t="b">
        <v>0</v>
      </c>
      <c r="E239" s="9" t="str">
        <f t="shared" si="3"/>
        <v>Weekday</v>
      </c>
      <c r="F239" s="9">
        <v>2</v>
      </c>
      <c r="G239" s="9">
        <v>0.16</v>
      </c>
      <c r="H239" s="9">
        <v>0.18179999999999999</v>
      </c>
      <c r="I239" s="9">
        <v>0.55000000000000004</v>
      </c>
      <c r="J239" s="9">
        <v>0.1343</v>
      </c>
      <c r="K239" s="9">
        <v>0</v>
      </c>
      <c r="L239" s="9">
        <v>27</v>
      </c>
      <c r="M239" s="9">
        <v>27</v>
      </c>
    </row>
    <row r="240" spans="1:13">
      <c r="A240" s="9">
        <v>239</v>
      </c>
      <c r="B240" s="10">
        <v>40554</v>
      </c>
      <c r="C240" s="9">
        <v>7</v>
      </c>
      <c r="D240" s="9" t="b">
        <v>0</v>
      </c>
      <c r="E240" s="9" t="str">
        <f t="shared" si="3"/>
        <v>Weekday</v>
      </c>
      <c r="F240" s="9">
        <v>2</v>
      </c>
      <c r="G240" s="9">
        <v>0.16</v>
      </c>
      <c r="H240" s="9">
        <v>0.2273</v>
      </c>
      <c r="I240" s="9">
        <v>0.55000000000000004</v>
      </c>
      <c r="J240" s="9">
        <v>0</v>
      </c>
      <c r="K240" s="9">
        <v>2</v>
      </c>
      <c r="L240" s="9">
        <v>97</v>
      </c>
      <c r="M240" s="9">
        <v>99</v>
      </c>
    </row>
    <row r="241" spans="1:13">
      <c r="A241" s="9">
        <v>240</v>
      </c>
      <c r="B241" s="10">
        <v>40554</v>
      </c>
      <c r="C241" s="9">
        <v>8</v>
      </c>
      <c r="D241" s="9" t="b">
        <v>0</v>
      </c>
      <c r="E241" s="9" t="str">
        <f t="shared" si="3"/>
        <v>Weekday</v>
      </c>
      <c r="F241" s="9">
        <v>2</v>
      </c>
      <c r="G241" s="9">
        <v>0.18</v>
      </c>
      <c r="H241" s="9">
        <v>0.21210000000000001</v>
      </c>
      <c r="I241" s="9">
        <v>0.51</v>
      </c>
      <c r="J241" s="9">
        <v>8.9599999999999999E-2</v>
      </c>
      <c r="K241" s="9">
        <v>3</v>
      </c>
      <c r="L241" s="9">
        <v>214</v>
      </c>
      <c r="M241" s="9">
        <v>217</v>
      </c>
    </row>
    <row r="242" spans="1:13">
      <c r="A242" s="9">
        <v>241</v>
      </c>
      <c r="B242" s="10">
        <v>40554</v>
      </c>
      <c r="C242" s="9">
        <v>9</v>
      </c>
      <c r="D242" s="9" t="b">
        <v>0</v>
      </c>
      <c r="E242" s="9" t="str">
        <f t="shared" si="3"/>
        <v>Weekday</v>
      </c>
      <c r="F242" s="9">
        <v>2</v>
      </c>
      <c r="G242" s="9">
        <v>0.18</v>
      </c>
      <c r="H242" s="9">
        <v>0.19700000000000001</v>
      </c>
      <c r="I242" s="9">
        <v>0.51</v>
      </c>
      <c r="J242" s="9">
        <v>0.16420000000000001</v>
      </c>
      <c r="K242" s="9">
        <v>3</v>
      </c>
      <c r="L242" s="9">
        <v>127</v>
      </c>
      <c r="M242" s="9">
        <v>130</v>
      </c>
    </row>
    <row r="243" spans="1:13">
      <c r="A243" s="9">
        <v>242</v>
      </c>
      <c r="B243" s="10">
        <v>40554</v>
      </c>
      <c r="C243" s="9">
        <v>10</v>
      </c>
      <c r="D243" s="9" t="b">
        <v>0</v>
      </c>
      <c r="E243" s="9" t="str">
        <f t="shared" si="3"/>
        <v>Weekday</v>
      </c>
      <c r="F243" s="9">
        <v>2</v>
      </c>
      <c r="G243" s="9">
        <v>0.2</v>
      </c>
      <c r="H243" s="9">
        <v>0.21210000000000001</v>
      </c>
      <c r="I243" s="9">
        <v>0.51</v>
      </c>
      <c r="J243" s="9">
        <v>0.16420000000000001</v>
      </c>
      <c r="K243" s="9">
        <v>3</v>
      </c>
      <c r="L243" s="9">
        <v>51</v>
      </c>
      <c r="M243" s="9">
        <v>54</v>
      </c>
    </row>
    <row r="244" spans="1:13">
      <c r="A244" s="9">
        <v>243</v>
      </c>
      <c r="B244" s="10">
        <v>40554</v>
      </c>
      <c r="C244" s="9">
        <v>11</v>
      </c>
      <c r="D244" s="9" t="b">
        <v>0</v>
      </c>
      <c r="E244" s="9" t="str">
        <f t="shared" si="3"/>
        <v>Weekday</v>
      </c>
      <c r="F244" s="9">
        <v>2</v>
      </c>
      <c r="G244" s="9">
        <v>0.2</v>
      </c>
      <c r="H244" s="9">
        <v>0.21210000000000001</v>
      </c>
      <c r="I244" s="9">
        <v>0.47</v>
      </c>
      <c r="J244" s="9">
        <v>0.1343</v>
      </c>
      <c r="K244" s="9">
        <v>4</v>
      </c>
      <c r="L244" s="9">
        <v>31</v>
      </c>
      <c r="M244" s="9">
        <v>35</v>
      </c>
    </row>
    <row r="245" spans="1:13">
      <c r="A245" s="9">
        <v>244</v>
      </c>
      <c r="B245" s="10">
        <v>40554</v>
      </c>
      <c r="C245" s="9">
        <v>12</v>
      </c>
      <c r="D245" s="9" t="b">
        <v>0</v>
      </c>
      <c r="E245" s="9" t="str">
        <f t="shared" si="3"/>
        <v>Weekday</v>
      </c>
      <c r="F245" s="9">
        <v>2</v>
      </c>
      <c r="G245" s="9">
        <v>0.2</v>
      </c>
      <c r="H245" s="9">
        <v>0.2273</v>
      </c>
      <c r="I245" s="9">
        <v>0.51</v>
      </c>
      <c r="J245" s="9">
        <v>0.1045</v>
      </c>
      <c r="K245" s="9">
        <v>2</v>
      </c>
      <c r="L245" s="9">
        <v>55</v>
      </c>
      <c r="M245" s="9">
        <v>57</v>
      </c>
    </row>
    <row r="246" spans="1:13">
      <c r="A246" s="9">
        <v>245</v>
      </c>
      <c r="B246" s="10">
        <v>40554</v>
      </c>
      <c r="C246" s="9">
        <v>13</v>
      </c>
      <c r="D246" s="9" t="b">
        <v>0</v>
      </c>
      <c r="E246" s="9" t="str">
        <f t="shared" si="3"/>
        <v>Weekday</v>
      </c>
      <c r="F246" s="9">
        <v>2</v>
      </c>
      <c r="G246" s="9">
        <v>0.2</v>
      </c>
      <c r="H246" s="9">
        <v>0.2273</v>
      </c>
      <c r="I246" s="9">
        <v>0.59</v>
      </c>
      <c r="J246" s="9">
        <v>8.9599999999999999E-2</v>
      </c>
      <c r="K246" s="9">
        <v>6</v>
      </c>
      <c r="L246" s="9">
        <v>46</v>
      </c>
      <c r="M246" s="9">
        <v>52</v>
      </c>
    </row>
    <row r="247" spans="1:13">
      <c r="A247" s="9">
        <v>246</v>
      </c>
      <c r="B247" s="10">
        <v>40554</v>
      </c>
      <c r="C247" s="9">
        <v>14</v>
      </c>
      <c r="D247" s="9" t="b">
        <v>0</v>
      </c>
      <c r="E247" s="9" t="str">
        <f t="shared" si="3"/>
        <v>Weekday</v>
      </c>
      <c r="F247" s="9">
        <v>2</v>
      </c>
      <c r="G247" s="9">
        <v>0.2</v>
      </c>
      <c r="H247" s="9">
        <v>0.2273</v>
      </c>
      <c r="I247" s="9">
        <v>0.59</v>
      </c>
      <c r="J247" s="9">
        <v>8.9599999999999999E-2</v>
      </c>
      <c r="K247" s="9">
        <v>3</v>
      </c>
      <c r="L247" s="9">
        <v>60</v>
      </c>
      <c r="M247" s="9">
        <v>63</v>
      </c>
    </row>
    <row r="248" spans="1:13">
      <c r="A248" s="9">
        <v>247</v>
      </c>
      <c r="B248" s="10">
        <v>40554</v>
      </c>
      <c r="C248" s="9">
        <v>15</v>
      </c>
      <c r="D248" s="9" t="b">
        <v>0</v>
      </c>
      <c r="E248" s="9" t="str">
        <f t="shared" si="3"/>
        <v>Weekday</v>
      </c>
      <c r="F248" s="9">
        <v>2</v>
      </c>
      <c r="G248" s="9">
        <v>0.16</v>
      </c>
      <c r="H248" s="9">
        <v>0.19700000000000001</v>
      </c>
      <c r="I248" s="9">
        <v>0.8</v>
      </c>
      <c r="J248" s="9">
        <v>8.9599999999999999E-2</v>
      </c>
      <c r="K248" s="9">
        <v>2</v>
      </c>
      <c r="L248" s="9">
        <v>45</v>
      </c>
      <c r="M248" s="9">
        <v>47</v>
      </c>
    </row>
    <row r="249" spans="1:13">
      <c r="A249" s="9">
        <v>248</v>
      </c>
      <c r="B249" s="10">
        <v>40554</v>
      </c>
      <c r="C249" s="9">
        <v>16</v>
      </c>
      <c r="D249" s="9" t="b">
        <v>0</v>
      </c>
      <c r="E249" s="9" t="str">
        <f t="shared" si="3"/>
        <v>Weekday</v>
      </c>
      <c r="F249" s="9">
        <v>2</v>
      </c>
      <c r="G249" s="9">
        <v>0.16</v>
      </c>
      <c r="H249" s="9">
        <v>0.1515</v>
      </c>
      <c r="I249" s="9">
        <v>0.86</v>
      </c>
      <c r="J249" s="9">
        <v>0.22389999999999999</v>
      </c>
      <c r="K249" s="9">
        <v>4</v>
      </c>
      <c r="L249" s="9">
        <v>72</v>
      </c>
      <c r="M249" s="9">
        <v>76</v>
      </c>
    </row>
    <row r="250" spans="1:13">
      <c r="A250" s="9">
        <v>249</v>
      </c>
      <c r="B250" s="10">
        <v>40554</v>
      </c>
      <c r="C250" s="9">
        <v>17</v>
      </c>
      <c r="D250" s="9" t="b">
        <v>0</v>
      </c>
      <c r="E250" s="9" t="str">
        <f t="shared" si="3"/>
        <v>Weekday</v>
      </c>
      <c r="F250" s="9">
        <v>2</v>
      </c>
      <c r="G250" s="9">
        <v>0.16</v>
      </c>
      <c r="H250" s="9">
        <v>0.1515</v>
      </c>
      <c r="I250" s="9">
        <v>0.86</v>
      </c>
      <c r="J250" s="9">
        <v>0.22389999999999999</v>
      </c>
      <c r="K250" s="9">
        <v>6</v>
      </c>
      <c r="L250" s="9">
        <v>130</v>
      </c>
      <c r="M250" s="9">
        <v>136</v>
      </c>
    </row>
    <row r="251" spans="1:13">
      <c r="A251" s="9">
        <v>250</v>
      </c>
      <c r="B251" s="10">
        <v>40554</v>
      </c>
      <c r="C251" s="9">
        <v>18</v>
      </c>
      <c r="D251" s="9" t="b">
        <v>0</v>
      </c>
      <c r="E251" s="9" t="str">
        <f t="shared" si="3"/>
        <v>Weekday</v>
      </c>
      <c r="F251" s="9">
        <v>3</v>
      </c>
      <c r="G251" s="9">
        <v>0.16</v>
      </c>
      <c r="H251" s="9">
        <v>0.18179999999999999</v>
      </c>
      <c r="I251" s="9">
        <v>0.93</v>
      </c>
      <c r="J251" s="9">
        <v>0.1045</v>
      </c>
      <c r="K251" s="9">
        <v>1</v>
      </c>
      <c r="L251" s="9">
        <v>94</v>
      </c>
      <c r="M251" s="9">
        <v>95</v>
      </c>
    </row>
    <row r="252" spans="1:13">
      <c r="A252" s="9">
        <v>251</v>
      </c>
      <c r="B252" s="10">
        <v>40554</v>
      </c>
      <c r="C252" s="9">
        <v>19</v>
      </c>
      <c r="D252" s="9" t="b">
        <v>0</v>
      </c>
      <c r="E252" s="9" t="str">
        <f t="shared" si="3"/>
        <v>Weekday</v>
      </c>
      <c r="F252" s="9">
        <v>3</v>
      </c>
      <c r="G252" s="9">
        <v>0.16</v>
      </c>
      <c r="H252" s="9">
        <v>0.2273</v>
      </c>
      <c r="I252" s="9">
        <v>0.93</v>
      </c>
      <c r="J252" s="9">
        <v>0</v>
      </c>
      <c r="K252" s="9">
        <v>0</v>
      </c>
      <c r="L252" s="9">
        <v>51</v>
      </c>
      <c r="M252" s="9">
        <v>51</v>
      </c>
    </row>
    <row r="253" spans="1:13">
      <c r="A253" s="9">
        <v>252</v>
      </c>
      <c r="B253" s="10">
        <v>40554</v>
      </c>
      <c r="C253" s="9">
        <v>20</v>
      </c>
      <c r="D253" s="9" t="b">
        <v>0</v>
      </c>
      <c r="E253" s="9" t="str">
        <f t="shared" si="3"/>
        <v>Weekday</v>
      </c>
      <c r="F253" s="9">
        <v>3</v>
      </c>
      <c r="G253" s="9">
        <v>0.16</v>
      </c>
      <c r="H253" s="9">
        <v>0.1515</v>
      </c>
      <c r="I253" s="9">
        <v>0.93</v>
      </c>
      <c r="J253" s="9">
        <v>0.19400000000000001</v>
      </c>
      <c r="K253" s="9">
        <v>0</v>
      </c>
      <c r="L253" s="9">
        <v>32</v>
      </c>
      <c r="M253" s="9">
        <v>32</v>
      </c>
    </row>
    <row r="254" spans="1:13">
      <c r="A254" s="9">
        <v>253</v>
      </c>
      <c r="B254" s="10">
        <v>40554</v>
      </c>
      <c r="C254" s="9">
        <v>21</v>
      </c>
      <c r="D254" s="9" t="b">
        <v>0</v>
      </c>
      <c r="E254" s="9" t="str">
        <f t="shared" si="3"/>
        <v>Weekday</v>
      </c>
      <c r="F254" s="9">
        <v>3</v>
      </c>
      <c r="G254" s="9">
        <v>0.16</v>
      </c>
      <c r="H254" s="9">
        <v>0.19700000000000001</v>
      </c>
      <c r="I254" s="9">
        <v>0.86</v>
      </c>
      <c r="J254" s="9">
        <v>8.9599999999999999E-2</v>
      </c>
      <c r="K254" s="9">
        <v>0</v>
      </c>
      <c r="L254" s="9">
        <v>20</v>
      </c>
      <c r="M254" s="9">
        <v>20</v>
      </c>
    </row>
    <row r="255" spans="1:13">
      <c r="A255" s="9">
        <v>254</v>
      </c>
      <c r="B255" s="10">
        <v>40554</v>
      </c>
      <c r="C255" s="9">
        <v>22</v>
      </c>
      <c r="D255" s="9" t="b">
        <v>0</v>
      </c>
      <c r="E255" s="9" t="str">
        <f t="shared" si="3"/>
        <v>Weekday</v>
      </c>
      <c r="F255" s="9">
        <v>3</v>
      </c>
      <c r="G255" s="9">
        <v>0.16</v>
      </c>
      <c r="H255" s="9">
        <v>0.18179999999999999</v>
      </c>
      <c r="I255" s="9">
        <v>0.93</v>
      </c>
      <c r="J255" s="9">
        <v>0.1045</v>
      </c>
      <c r="K255" s="9">
        <v>1</v>
      </c>
      <c r="L255" s="9">
        <v>28</v>
      </c>
      <c r="M255" s="9">
        <v>29</v>
      </c>
    </row>
    <row r="256" spans="1:13">
      <c r="A256" s="9">
        <v>255</v>
      </c>
      <c r="B256" s="10">
        <v>40554</v>
      </c>
      <c r="C256" s="9">
        <v>23</v>
      </c>
      <c r="D256" s="9" t="b">
        <v>0</v>
      </c>
      <c r="E256" s="9" t="str">
        <f t="shared" si="3"/>
        <v>Weekday</v>
      </c>
      <c r="F256" s="9">
        <v>3</v>
      </c>
      <c r="G256" s="9">
        <v>0.16</v>
      </c>
      <c r="H256" s="9">
        <v>0.19700000000000001</v>
      </c>
      <c r="I256" s="9">
        <v>0.93</v>
      </c>
      <c r="J256" s="9">
        <v>8.9599999999999999E-2</v>
      </c>
      <c r="K256" s="9">
        <v>1</v>
      </c>
      <c r="L256" s="9">
        <v>18</v>
      </c>
      <c r="M256" s="9">
        <v>19</v>
      </c>
    </row>
    <row r="257" spans="1:13">
      <c r="A257" s="9">
        <v>256</v>
      </c>
      <c r="B257" s="10">
        <v>40555</v>
      </c>
      <c r="C257" s="9">
        <v>0</v>
      </c>
      <c r="D257" s="9" t="b">
        <v>0</v>
      </c>
      <c r="E257" s="9" t="str">
        <f t="shared" si="3"/>
        <v>Weekday</v>
      </c>
      <c r="F257" s="9">
        <v>2</v>
      </c>
      <c r="G257" s="9">
        <v>0.16</v>
      </c>
      <c r="H257" s="9">
        <v>0.19700000000000001</v>
      </c>
      <c r="I257" s="9">
        <v>0.86</v>
      </c>
      <c r="J257" s="9">
        <v>8.9599999999999999E-2</v>
      </c>
      <c r="K257" s="9">
        <v>0</v>
      </c>
      <c r="L257" s="9">
        <v>7</v>
      </c>
      <c r="M257" s="9">
        <v>7</v>
      </c>
    </row>
    <row r="258" spans="1:13">
      <c r="A258" s="9">
        <v>257</v>
      </c>
      <c r="B258" s="10">
        <v>40555</v>
      </c>
      <c r="C258" s="9">
        <v>1</v>
      </c>
      <c r="D258" s="9" t="b">
        <v>0</v>
      </c>
      <c r="E258" s="9" t="str">
        <f t="shared" si="3"/>
        <v>Weekday</v>
      </c>
      <c r="F258" s="9">
        <v>2</v>
      </c>
      <c r="G258" s="9">
        <v>0.16</v>
      </c>
      <c r="H258" s="9">
        <v>0.18179999999999999</v>
      </c>
      <c r="I258" s="9">
        <v>0.86</v>
      </c>
      <c r="J258" s="9">
        <v>0.1045</v>
      </c>
      <c r="K258" s="9">
        <v>0</v>
      </c>
      <c r="L258" s="9">
        <v>6</v>
      </c>
      <c r="M258" s="9">
        <v>6</v>
      </c>
    </row>
    <row r="259" spans="1:13">
      <c r="A259" s="9">
        <v>258</v>
      </c>
      <c r="B259" s="10">
        <v>40555</v>
      </c>
      <c r="C259" s="9">
        <v>2</v>
      </c>
      <c r="D259" s="9" t="b">
        <v>0</v>
      </c>
      <c r="E259" s="9" t="str">
        <f t="shared" ref="E259:E322" si="4">IF(WEEKDAY(B259,2)&gt;=6,"Weekend","Weekday")</f>
        <v>Weekday</v>
      </c>
      <c r="F259" s="9">
        <v>1</v>
      </c>
      <c r="G259" s="9">
        <v>0.14000000000000001</v>
      </c>
      <c r="H259" s="9">
        <v>0.1515</v>
      </c>
      <c r="I259" s="9">
        <v>0.86</v>
      </c>
      <c r="J259" s="9">
        <v>0.1343</v>
      </c>
      <c r="K259" s="9">
        <v>0</v>
      </c>
      <c r="L259" s="9">
        <v>1</v>
      </c>
      <c r="M259" s="9">
        <v>1</v>
      </c>
    </row>
    <row r="260" spans="1:13">
      <c r="A260" s="9">
        <v>259</v>
      </c>
      <c r="B260" s="10">
        <v>40555</v>
      </c>
      <c r="C260" s="9">
        <v>5</v>
      </c>
      <c r="D260" s="9" t="b">
        <v>0</v>
      </c>
      <c r="E260" s="9" t="str">
        <f t="shared" si="4"/>
        <v>Weekday</v>
      </c>
      <c r="F260" s="9">
        <v>1</v>
      </c>
      <c r="G260" s="9">
        <v>0.14000000000000001</v>
      </c>
      <c r="H260" s="9">
        <v>0.1515</v>
      </c>
      <c r="I260" s="9">
        <v>0.86</v>
      </c>
      <c r="J260" s="9">
        <v>0.16420000000000001</v>
      </c>
      <c r="K260" s="9">
        <v>0</v>
      </c>
      <c r="L260" s="9">
        <v>5</v>
      </c>
      <c r="M260" s="9">
        <v>5</v>
      </c>
    </row>
    <row r="261" spans="1:13">
      <c r="A261" s="9">
        <v>260</v>
      </c>
      <c r="B261" s="10">
        <v>40555</v>
      </c>
      <c r="C261" s="9">
        <v>6</v>
      </c>
      <c r="D261" s="9" t="b">
        <v>0</v>
      </c>
      <c r="E261" s="9" t="str">
        <f t="shared" si="4"/>
        <v>Weekday</v>
      </c>
      <c r="F261" s="9">
        <v>1</v>
      </c>
      <c r="G261" s="9">
        <v>0.12</v>
      </c>
      <c r="H261" s="9">
        <v>0.1515</v>
      </c>
      <c r="I261" s="9">
        <v>0.93</v>
      </c>
      <c r="J261" s="9">
        <v>0.1343</v>
      </c>
      <c r="K261" s="9">
        <v>0</v>
      </c>
      <c r="L261" s="9">
        <v>16</v>
      </c>
      <c r="M261" s="9">
        <v>16</v>
      </c>
    </row>
    <row r="262" spans="1:13">
      <c r="A262" s="9">
        <v>261</v>
      </c>
      <c r="B262" s="10">
        <v>40555</v>
      </c>
      <c r="C262" s="9">
        <v>7</v>
      </c>
      <c r="D262" s="9" t="b">
        <v>0</v>
      </c>
      <c r="E262" s="9" t="str">
        <f t="shared" si="4"/>
        <v>Weekday</v>
      </c>
      <c r="F262" s="9">
        <v>1</v>
      </c>
      <c r="G262" s="9">
        <v>0.14000000000000001</v>
      </c>
      <c r="H262" s="9">
        <v>0.1515</v>
      </c>
      <c r="I262" s="9">
        <v>0.69</v>
      </c>
      <c r="J262" s="9">
        <v>0.1343</v>
      </c>
      <c r="K262" s="9">
        <v>0</v>
      </c>
      <c r="L262" s="9">
        <v>54</v>
      </c>
      <c r="M262" s="9">
        <v>54</v>
      </c>
    </row>
    <row r="263" spans="1:13">
      <c r="A263" s="9">
        <v>262</v>
      </c>
      <c r="B263" s="10">
        <v>40555</v>
      </c>
      <c r="C263" s="9">
        <v>8</v>
      </c>
      <c r="D263" s="9" t="b">
        <v>0</v>
      </c>
      <c r="E263" s="9" t="str">
        <f t="shared" si="4"/>
        <v>Weekday</v>
      </c>
      <c r="F263" s="9">
        <v>1</v>
      </c>
      <c r="G263" s="9">
        <v>0.16</v>
      </c>
      <c r="H263" s="9">
        <v>0.16669999999999999</v>
      </c>
      <c r="I263" s="9">
        <v>0.59</v>
      </c>
      <c r="J263" s="9">
        <v>0.16420000000000001</v>
      </c>
      <c r="K263" s="9">
        <v>3</v>
      </c>
      <c r="L263" s="9">
        <v>125</v>
      </c>
      <c r="M263" s="9">
        <v>128</v>
      </c>
    </row>
    <row r="264" spans="1:13">
      <c r="A264" s="9">
        <v>263</v>
      </c>
      <c r="B264" s="10">
        <v>40555</v>
      </c>
      <c r="C264" s="9">
        <v>9</v>
      </c>
      <c r="D264" s="9" t="b">
        <v>0</v>
      </c>
      <c r="E264" s="9" t="str">
        <f t="shared" si="4"/>
        <v>Weekday</v>
      </c>
      <c r="F264" s="9">
        <v>1</v>
      </c>
      <c r="G264" s="9">
        <v>0.16</v>
      </c>
      <c r="H264" s="9">
        <v>0.13639999999999999</v>
      </c>
      <c r="I264" s="9">
        <v>0.59</v>
      </c>
      <c r="J264" s="9">
        <v>0.32840000000000003</v>
      </c>
      <c r="K264" s="9">
        <v>3</v>
      </c>
      <c r="L264" s="9">
        <v>78</v>
      </c>
      <c r="M264" s="9">
        <v>81</v>
      </c>
    </row>
    <row r="265" spans="1:13">
      <c r="A265" s="9">
        <v>264</v>
      </c>
      <c r="B265" s="10">
        <v>40555</v>
      </c>
      <c r="C265" s="9">
        <v>10</v>
      </c>
      <c r="D265" s="9" t="b">
        <v>0</v>
      </c>
      <c r="E265" s="9" t="str">
        <f t="shared" si="4"/>
        <v>Weekday</v>
      </c>
      <c r="F265" s="9">
        <v>1</v>
      </c>
      <c r="G265" s="9">
        <v>0.18</v>
      </c>
      <c r="H265" s="9">
        <v>0.18179999999999999</v>
      </c>
      <c r="I265" s="9">
        <v>0.55000000000000004</v>
      </c>
      <c r="J265" s="9">
        <v>0.22389999999999999</v>
      </c>
      <c r="K265" s="9">
        <v>0</v>
      </c>
      <c r="L265" s="9">
        <v>39</v>
      </c>
      <c r="M265" s="9">
        <v>39</v>
      </c>
    </row>
    <row r="266" spans="1:13">
      <c r="A266" s="9">
        <v>265</v>
      </c>
      <c r="B266" s="10">
        <v>40555</v>
      </c>
      <c r="C266" s="9">
        <v>11</v>
      </c>
      <c r="D266" s="9" t="b">
        <v>0</v>
      </c>
      <c r="E266" s="9" t="str">
        <f t="shared" si="4"/>
        <v>Weekday</v>
      </c>
      <c r="F266" s="9">
        <v>1</v>
      </c>
      <c r="G266" s="9">
        <v>0.2</v>
      </c>
      <c r="H266" s="9">
        <v>0.18179999999999999</v>
      </c>
      <c r="I266" s="9">
        <v>0.51</v>
      </c>
      <c r="J266" s="9">
        <v>0.3881</v>
      </c>
      <c r="K266" s="9">
        <v>3</v>
      </c>
      <c r="L266" s="9">
        <v>32</v>
      </c>
      <c r="M266" s="9">
        <v>35</v>
      </c>
    </row>
    <row r="267" spans="1:13">
      <c r="A267" s="9">
        <v>266</v>
      </c>
      <c r="B267" s="10">
        <v>40555</v>
      </c>
      <c r="C267" s="9">
        <v>12</v>
      </c>
      <c r="D267" s="9" t="b">
        <v>0</v>
      </c>
      <c r="E267" s="9" t="str">
        <f t="shared" si="4"/>
        <v>Weekday</v>
      </c>
      <c r="F267" s="9">
        <v>1</v>
      </c>
      <c r="G267" s="9">
        <v>0.2</v>
      </c>
      <c r="H267" s="9">
        <v>0.1515</v>
      </c>
      <c r="I267" s="9">
        <v>0.47</v>
      </c>
      <c r="J267" s="9">
        <v>0.58209999999999995</v>
      </c>
      <c r="K267" s="9">
        <v>3</v>
      </c>
      <c r="L267" s="9">
        <v>52</v>
      </c>
      <c r="M267" s="9">
        <v>55</v>
      </c>
    </row>
    <row r="268" spans="1:13">
      <c r="A268" s="9">
        <v>267</v>
      </c>
      <c r="B268" s="10">
        <v>40555</v>
      </c>
      <c r="C268" s="9">
        <v>13</v>
      </c>
      <c r="D268" s="9" t="b">
        <v>0</v>
      </c>
      <c r="E268" s="9" t="str">
        <f t="shared" si="4"/>
        <v>Weekday</v>
      </c>
      <c r="F268" s="9">
        <v>1</v>
      </c>
      <c r="G268" s="9">
        <v>0.22</v>
      </c>
      <c r="H268" s="9">
        <v>0.19700000000000001</v>
      </c>
      <c r="I268" s="9">
        <v>0.44</v>
      </c>
      <c r="J268" s="9">
        <v>0.35820000000000002</v>
      </c>
      <c r="K268" s="9">
        <v>0</v>
      </c>
      <c r="L268" s="9">
        <v>49</v>
      </c>
      <c r="M268" s="9">
        <v>49</v>
      </c>
    </row>
    <row r="269" spans="1:13">
      <c r="A269" s="9">
        <v>268</v>
      </c>
      <c r="B269" s="10">
        <v>40555</v>
      </c>
      <c r="C269" s="9">
        <v>14</v>
      </c>
      <c r="D269" s="9" t="b">
        <v>0</v>
      </c>
      <c r="E269" s="9" t="str">
        <f t="shared" si="4"/>
        <v>Weekday</v>
      </c>
      <c r="F269" s="9">
        <v>1</v>
      </c>
      <c r="G269" s="9">
        <v>0.2</v>
      </c>
      <c r="H269" s="9">
        <v>0.18179999999999999</v>
      </c>
      <c r="I269" s="9">
        <v>0.47</v>
      </c>
      <c r="J269" s="9">
        <v>0.32840000000000003</v>
      </c>
      <c r="K269" s="9">
        <v>0</v>
      </c>
      <c r="L269" s="9">
        <v>44</v>
      </c>
      <c r="M269" s="9">
        <v>44</v>
      </c>
    </row>
    <row r="270" spans="1:13">
      <c r="A270" s="9">
        <v>269</v>
      </c>
      <c r="B270" s="10">
        <v>40555</v>
      </c>
      <c r="C270" s="9">
        <v>15</v>
      </c>
      <c r="D270" s="9" t="b">
        <v>0</v>
      </c>
      <c r="E270" s="9" t="str">
        <f t="shared" si="4"/>
        <v>Weekday</v>
      </c>
      <c r="F270" s="9">
        <v>1</v>
      </c>
      <c r="G270" s="9">
        <v>0.2</v>
      </c>
      <c r="H270" s="9">
        <v>0.16669999999999999</v>
      </c>
      <c r="I270" s="9">
        <v>0.47</v>
      </c>
      <c r="J270" s="9">
        <v>0.41789999999999999</v>
      </c>
      <c r="K270" s="9">
        <v>1</v>
      </c>
      <c r="L270" s="9">
        <v>48</v>
      </c>
      <c r="M270" s="9">
        <v>49</v>
      </c>
    </row>
    <row r="271" spans="1:13">
      <c r="A271" s="9">
        <v>270</v>
      </c>
      <c r="B271" s="10">
        <v>40555</v>
      </c>
      <c r="C271" s="9">
        <v>16</v>
      </c>
      <c r="D271" s="9" t="b">
        <v>0</v>
      </c>
      <c r="E271" s="9" t="str">
        <f t="shared" si="4"/>
        <v>Weekday</v>
      </c>
      <c r="F271" s="9">
        <v>1</v>
      </c>
      <c r="G271" s="9">
        <v>0.22</v>
      </c>
      <c r="H271" s="9">
        <v>0.19700000000000001</v>
      </c>
      <c r="I271" s="9">
        <v>0.44</v>
      </c>
      <c r="J271" s="9">
        <v>0.32840000000000003</v>
      </c>
      <c r="K271" s="9">
        <v>5</v>
      </c>
      <c r="L271" s="9">
        <v>63</v>
      </c>
      <c r="M271" s="9">
        <v>68</v>
      </c>
    </row>
    <row r="272" spans="1:13">
      <c r="A272" s="9">
        <v>271</v>
      </c>
      <c r="B272" s="10">
        <v>40555</v>
      </c>
      <c r="C272" s="9">
        <v>17</v>
      </c>
      <c r="D272" s="9" t="b">
        <v>0</v>
      </c>
      <c r="E272" s="9" t="str">
        <f t="shared" si="4"/>
        <v>Weekday</v>
      </c>
      <c r="F272" s="9">
        <v>1</v>
      </c>
      <c r="G272" s="9">
        <v>0.2</v>
      </c>
      <c r="H272" s="9">
        <v>0.18179999999999999</v>
      </c>
      <c r="I272" s="9">
        <v>0.47</v>
      </c>
      <c r="J272" s="9">
        <v>0.35820000000000002</v>
      </c>
      <c r="K272" s="9">
        <v>0</v>
      </c>
      <c r="L272" s="9">
        <v>139</v>
      </c>
      <c r="M272" s="9">
        <v>139</v>
      </c>
    </row>
    <row r="273" spans="1:13">
      <c r="A273" s="9">
        <v>272</v>
      </c>
      <c r="B273" s="10">
        <v>40555</v>
      </c>
      <c r="C273" s="9">
        <v>18</v>
      </c>
      <c r="D273" s="9" t="b">
        <v>0</v>
      </c>
      <c r="E273" s="9" t="str">
        <f t="shared" si="4"/>
        <v>Weekday</v>
      </c>
      <c r="F273" s="9">
        <v>1</v>
      </c>
      <c r="G273" s="9">
        <v>0.2</v>
      </c>
      <c r="H273" s="9">
        <v>0.1515</v>
      </c>
      <c r="I273" s="9">
        <v>0.47</v>
      </c>
      <c r="J273" s="9">
        <v>0.52239999999999998</v>
      </c>
      <c r="K273" s="9">
        <v>2</v>
      </c>
      <c r="L273" s="9">
        <v>135</v>
      </c>
      <c r="M273" s="9">
        <v>137</v>
      </c>
    </row>
    <row r="274" spans="1:13">
      <c r="A274" s="9">
        <v>273</v>
      </c>
      <c r="B274" s="10">
        <v>40555</v>
      </c>
      <c r="C274" s="9">
        <v>19</v>
      </c>
      <c r="D274" s="9" t="b">
        <v>0</v>
      </c>
      <c r="E274" s="9" t="str">
        <f t="shared" si="4"/>
        <v>Weekday</v>
      </c>
      <c r="F274" s="9">
        <v>1</v>
      </c>
      <c r="G274" s="9">
        <v>0.18</v>
      </c>
      <c r="H274" s="9">
        <v>0.1515</v>
      </c>
      <c r="I274" s="9">
        <v>0.47</v>
      </c>
      <c r="J274" s="9">
        <v>0.41789999999999999</v>
      </c>
      <c r="K274" s="9">
        <v>1</v>
      </c>
      <c r="L274" s="9">
        <v>82</v>
      </c>
      <c r="M274" s="9">
        <v>83</v>
      </c>
    </row>
    <row r="275" spans="1:13">
      <c r="A275" s="9">
        <v>274</v>
      </c>
      <c r="B275" s="10">
        <v>40555</v>
      </c>
      <c r="C275" s="9">
        <v>20</v>
      </c>
      <c r="D275" s="9" t="b">
        <v>0</v>
      </c>
      <c r="E275" s="9" t="str">
        <f t="shared" si="4"/>
        <v>Weekday</v>
      </c>
      <c r="F275" s="9">
        <v>1</v>
      </c>
      <c r="G275" s="9">
        <v>0.16</v>
      </c>
      <c r="H275" s="9">
        <v>0.13639999999999999</v>
      </c>
      <c r="I275" s="9">
        <v>0.5</v>
      </c>
      <c r="J275" s="9">
        <v>0.32840000000000003</v>
      </c>
      <c r="K275" s="9">
        <v>2</v>
      </c>
      <c r="L275" s="9">
        <v>54</v>
      </c>
      <c r="M275" s="9">
        <v>56</v>
      </c>
    </row>
    <row r="276" spans="1:13">
      <c r="A276" s="9">
        <v>275</v>
      </c>
      <c r="B276" s="10">
        <v>40555</v>
      </c>
      <c r="C276" s="9">
        <v>21</v>
      </c>
      <c r="D276" s="9" t="b">
        <v>0</v>
      </c>
      <c r="E276" s="9" t="str">
        <f t="shared" si="4"/>
        <v>Weekday</v>
      </c>
      <c r="F276" s="9">
        <v>1</v>
      </c>
      <c r="G276" s="9">
        <v>0.16</v>
      </c>
      <c r="H276" s="9">
        <v>0.13639999999999999</v>
      </c>
      <c r="I276" s="9">
        <v>0.55000000000000004</v>
      </c>
      <c r="J276" s="9">
        <v>0.32840000000000003</v>
      </c>
      <c r="K276" s="9">
        <v>0</v>
      </c>
      <c r="L276" s="9">
        <v>57</v>
      </c>
      <c r="M276" s="9">
        <v>57</v>
      </c>
    </row>
    <row r="277" spans="1:13">
      <c r="A277" s="9">
        <v>276</v>
      </c>
      <c r="B277" s="10">
        <v>40555</v>
      </c>
      <c r="C277" s="9">
        <v>22</v>
      </c>
      <c r="D277" s="9" t="b">
        <v>0</v>
      </c>
      <c r="E277" s="9" t="str">
        <f t="shared" si="4"/>
        <v>Weekday</v>
      </c>
      <c r="F277" s="9">
        <v>1</v>
      </c>
      <c r="G277" s="9">
        <v>0.16</v>
      </c>
      <c r="H277" s="9">
        <v>0.1212</v>
      </c>
      <c r="I277" s="9">
        <v>0.55000000000000004</v>
      </c>
      <c r="J277" s="9">
        <v>0.44779999999999998</v>
      </c>
      <c r="K277" s="9">
        <v>1</v>
      </c>
      <c r="L277" s="9">
        <v>32</v>
      </c>
      <c r="M277" s="9">
        <v>33</v>
      </c>
    </row>
    <row r="278" spans="1:13">
      <c r="A278" s="9">
        <v>277</v>
      </c>
      <c r="B278" s="10">
        <v>40555</v>
      </c>
      <c r="C278" s="9">
        <v>23</v>
      </c>
      <c r="D278" s="9" t="b">
        <v>0</v>
      </c>
      <c r="E278" s="9" t="str">
        <f t="shared" si="4"/>
        <v>Weekday</v>
      </c>
      <c r="F278" s="9">
        <v>1</v>
      </c>
      <c r="G278" s="9">
        <v>0.14000000000000001</v>
      </c>
      <c r="H278" s="9">
        <v>0.1061</v>
      </c>
      <c r="I278" s="9">
        <v>0.59</v>
      </c>
      <c r="J278" s="9">
        <v>0.41789999999999999</v>
      </c>
      <c r="K278" s="9">
        <v>1</v>
      </c>
      <c r="L278" s="9">
        <v>19</v>
      </c>
      <c r="M278" s="9">
        <v>20</v>
      </c>
    </row>
    <row r="279" spans="1:13">
      <c r="A279" s="9">
        <v>278</v>
      </c>
      <c r="B279" s="10">
        <v>40556</v>
      </c>
      <c r="C279" s="9">
        <v>0</v>
      </c>
      <c r="D279" s="9" t="b">
        <v>0</v>
      </c>
      <c r="E279" s="9" t="str">
        <f t="shared" si="4"/>
        <v>Weekday</v>
      </c>
      <c r="F279" s="9">
        <v>1</v>
      </c>
      <c r="G279" s="9">
        <v>0.14000000000000001</v>
      </c>
      <c r="H279" s="9">
        <v>0.1212</v>
      </c>
      <c r="I279" s="9">
        <v>0.59</v>
      </c>
      <c r="J279" s="9">
        <v>0.28360000000000002</v>
      </c>
      <c r="K279" s="9">
        <v>1</v>
      </c>
      <c r="L279" s="9">
        <v>6</v>
      </c>
      <c r="M279" s="9">
        <v>7</v>
      </c>
    </row>
    <row r="280" spans="1:13">
      <c r="A280" s="9">
        <v>279</v>
      </c>
      <c r="B280" s="10">
        <v>40556</v>
      </c>
      <c r="C280" s="9">
        <v>1</v>
      </c>
      <c r="D280" s="9" t="b">
        <v>0</v>
      </c>
      <c r="E280" s="9" t="str">
        <f t="shared" si="4"/>
        <v>Weekday</v>
      </c>
      <c r="F280" s="9">
        <v>1</v>
      </c>
      <c r="G280" s="9">
        <v>0.14000000000000001</v>
      </c>
      <c r="H280" s="9">
        <v>0.1212</v>
      </c>
      <c r="I280" s="9">
        <v>0.5</v>
      </c>
      <c r="J280" s="9">
        <v>0.28360000000000002</v>
      </c>
      <c r="K280" s="9">
        <v>0</v>
      </c>
      <c r="L280" s="9">
        <v>2</v>
      </c>
      <c r="M280" s="9">
        <v>2</v>
      </c>
    </row>
    <row r="281" spans="1:13">
      <c r="A281" s="9">
        <v>280</v>
      </c>
      <c r="B281" s="10">
        <v>40556</v>
      </c>
      <c r="C281" s="9">
        <v>2</v>
      </c>
      <c r="D281" s="9" t="b">
        <v>0</v>
      </c>
      <c r="E281" s="9" t="str">
        <f t="shared" si="4"/>
        <v>Weekday</v>
      </c>
      <c r="F281" s="9">
        <v>1</v>
      </c>
      <c r="G281" s="9">
        <v>0.14000000000000001</v>
      </c>
      <c r="H281" s="9">
        <v>0.1212</v>
      </c>
      <c r="I281" s="9">
        <v>0.5</v>
      </c>
      <c r="J281" s="9">
        <v>0.35820000000000002</v>
      </c>
      <c r="K281" s="9">
        <v>0</v>
      </c>
      <c r="L281" s="9">
        <v>2</v>
      </c>
      <c r="M281" s="9">
        <v>2</v>
      </c>
    </row>
    <row r="282" spans="1:13">
      <c r="A282" s="9">
        <v>281</v>
      </c>
      <c r="B282" s="10">
        <v>40556</v>
      </c>
      <c r="C282" s="9">
        <v>3</v>
      </c>
      <c r="D282" s="9" t="b">
        <v>0</v>
      </c>
      <c r="E282" s="9" t="str">
        <f t="shared" si="4"/>
        <v>Weekday</v>
      </c>
      <c r="F282" s="9">
        <v>1</v>
      </c>
      <c r="G282" s="9">
        <v>0.14000000000000001</v>
      </c>
      <c r="H282" s="9">
        <v>0.1212</v>
      </c>
      <c r="I282" s="9">
        <v>0.5</v>
      </c>
      <c r="J282" s="9">
        <v>0.32840000000000003</v>
      </c>
      <c r="K282" s="9">
        <v>0</v>
      </c>
      <c r="L282" s="9">
        <v>3</v>
      </c>
      <c r="M282" s="9">
        <v>3</v>
      </c>
    </row>
    <row r="283" spans="1:13">
      <c r="A283" s="9">
        <v>282</v>
      </c>
      <c r="B283" s="10">
        <v>40556</v>
      </c>
      <c r="C283" s="9">
        <v>4</v>
      </c>
      <c r="D283" s="9" t="b">
        <v>0</v>
      </c>
      <c r="E283" s="9" t="str">
        <f t="shared" si="4"/>
        <v>Weekday</v>
      </c>
      <c r="F283" s="9">
        <v>1</v>
      </c>
      <c r="G283" s="9">
        <v>0.14000000000000001</v>
      </c>
      <c r="H283" s="9">
        <v>0.1212</v>
      </c>
      <c r="I283" s="9">
        <v>0.5</v>
      </c>
      <c r="J283" s="9">
        <v>0.25369999999999998</v>
      </c>
      <c r="K283" s="9">
        <v>0</v>
      </c>
      <c r="L283" s="9">
        <v>4</v>
      </c>
      <c r="M283" s="9">
        <v>4</v>
      </c>
    </row>
    <row r="284" spans="1:13">
      <c r="A284" s="9">
        <v>283</v>
      </c>
      <c r="B284" s="10">
        <v>40556</v>
      </c>
      <c r="C284" s="9">
        <v>5</v>
      </c>
      <c r="D284" s="9" t="b">
        <v>0</v>
      </c>
      <c r="E284" s="9" t="str">
        <f t="shared" si="4"/>
        <v>Weekday</v>
      </c>
      <c r="F284" s="9">
        <v>1</v>
      </c>
      <c r="G284" s="9">
        <v>0.14000000000000001</v>
      </c>
      <c r="H284" s="9">
        <v>0.1212</v>
      </c>
      <c r="I284" s="9">
        <v>0.5</v>
      </c>
      <c r="J284" s="9">
        <v>0.29849999999999999</v>
      </c>
      <c r="K284" s="9">
        <v>0</v>
      </c>
      <c r="L284" s="9">
        <v>3</v>
      </c>
      <c r="M284" s="9">
        <v>3</v>
      </c>
    </row>
    <row r="285" spans="1:13">
      <c r="A285" s="9">
        <v>284</v>
      </c>
      <c r="B285" s="10">
        <v>40556</v>
      </c>
      <c r="C285" s="9">
        <v>6</v>
      </c>
      <c r="D285" s="9" t="b">
        <v>0</v>
      </c>
      <c r="E285" s="9" t="str">
        <f t="shared" si="4"/>
        <v>Weekday</v>
      </c>
      <c r="F285" s="9">
        <v>1</v>
      </c>
      <c r="G285" s="9">
        <v>0.12</v>
      </c>
      <c r="H285" s="9">
        <v>0.1515</v>
      </c>
      <c r="I285" s="9">
        <v>0.54</v>
      </c>
      <c r="J285" s="9">
        <v>0.1343</v>
      </c>
      <c r="K285" s="9">
        <v>0</v>
      </c>
      <c r="L285" s="9">
        <v>28</v>
      </c>
      <c r="M285" s="9">
        <v>28</v>
      </c>
    </row>
    <row r="286" spans="1:13">
      <c r="A286" s="9">
        <v>285</v>
      </c>
      <c r="B286" s="10">
        <v>40556</v>
      </c>
      <c r="C286" s="9">
        <v>7</v>
      </c>
      <c r="D286" s="9" t="b">
        <v>0</v>
      </c>
      <c r="E286" s="9" t="str">
        <f t="shared" si="4"/>
        <v>Weekday</v>
      </c>
      <c r="F286" s="9">
        <v>1</v>
      </c>
      <c r="G286" s="9">
        <v>0.12</v>
      </c>
      <c r="H286" s="9">
        <v>0.1515</v>
      </c>
      <c r="I286" s="9">
        <v>0.54</v>
      </c>
      <c r="J286" s="9">
        <v>0.1343</v>
      </c>
      <c r="K286" s="9">
        <v>0</v>
      </c>
      <c r="L286" s="9">
        <v>72</v>
      </c>
      <c r="M286" s="9">
        <v>72</v>
      </c>
    </row>
    <row r="287" spans="1:13">
      <c r="A287" s="9">
        <v>286</v>
      </c>
      <c r="B287" s="10">
        <v>40556</v>
      </c>
      <c r="C287" s="9">
        <v>8</v>
      </c>
      <c r="D287" s="9" t="b">
        <v>0</v>
      </c>
      <c r="E287" s="9" t="str">
        <f t="shared" si="4"/>
        <v>Weekday</v>
      </c>
      <c r="F287" s="9">
        <v>1</v>
      </c>
      <c r="G287" s="9">
        <v>0.14000000000000001</v>
      </c>
      <c r="H287" s="9">
        <v>0.13639999999999999</v>
      </c>
      <c r="I287" s="9">
        <v>0.5</v>
      </c>
      <c r="J287" s="9">
        <v>0.19400000000000001</v>
      </c>
      <c r="K287" s="9">
        <v>5</v>
      </c>
      <c r="L287" s="9">
        <v>197</v>
      </c>
      <c r="M287" s="9">
        <v>202</v>
      </c>
    </row>
    <row r="288" spans="1:13">
      <c r="A288" s="9">
        <v>287</v>
      </c>
      <c r="B288" s="10">
        <v>40556</v>
      </c>
      <c r="C288" s="9">
        <v>9</v>
      </c>
      <c r="D288" s="9" t="b">
        <v>0</v>
      </c>
      <c r="E288" s="9" t="str">
        <f t="shared" si="4"/>
        <v>Weekday</v>
      </c>
      <c r="F288" s="9">
        <v>1</v>
      </c>
      <c r="G288" s="9">
        <v>0.14000000000000001</v>
      </c>
      <c r="H288" s="9">
        <v>0.1212</v>
      </c>
      <c r="I288" s="9">
        <v>0.5</v>
      </c>
      <c r="J288" s="9">
        <v>0.32840000000000003</v>
      </c>
      <c r="K288" s="9">
        <v>2</v>
      </c>
      <c r="L288" s="9">
        <v>137</v>
      </c>
      <c r="M288" s="9">
        <v>139</v>
      </c>
    </row>
    <row r="289" spans="1:13">
      <c r="A289" s="9">
        <v>288</v>
      </c>
      <c r="B289" s="10">
        <v>40556</v>
      </c>
      <c r="C289" s="9">
        <v>10</v>
      </c>
      <c r="D289" s="9" t="b">
        <v>0</v>
      </c>
      <c r="E289" s="9" t="str">
        <f t="shared" si="4"/>
        <v>Weekday</v>
      </c>
      <c r="F289" s="9">
        <v>2</v>
      </c>
      <c r="G289" s="9">
        <v>0.16</v>
      </c>
      <c r="H289" s="9">
        <v>0.13639999999999999</v>
      </c>
      <c r="I289" s="9">
        <v>0.5</v>
      </c>
      <c r="J289" s="9">
        <v>0.35820000000000002</v>
      </c>
      <c r="K289" s="9">
        <v>2</v>
      </c>
      <c r="L289" s="9">
        <v>36</v>
      </c>
      <c r="M289" s="9">
        <v>38</v>
      </c>
    </row>
    <row r="290" spans="1:13">
      <c r="A290" s="9">
        <v>289</v>
      </c>
      <c r="B290" s="10">
        <v>40556</v>
      </c>
      <c r="C290" s="9">
        <v>11</v>
      </c>
      <c r="D290" s="9" t="b">
        <v>0</v>
      </c>
      <c r="E290" s="9" t="str">
        <f t="shared" si="4"/>
        <v>Weekday</v>
      </c>
      <c r="F290" s="9">
        <v>2</v>
      </c>
      <c r="G290" s="9">
        <v>0.2</v>
      </c>
      <c r="H290" s="9">
        <v>0.16669999999999999</v>
      </c>
      <c r="I290" s="9">
        <v>0.44</v>
      </c>
      <c r="J290" s="9">
        <v>0.44779999999999998</v>
      </c>
      <c r="K290" s="9">
        <v>4</v>
      </c>
      <c r="L290" s="9">
        <v>33</v>
      </c>
      <c r="M290" s="9">
        <v>37</v>
      </c>
    </row>
    <row r="291" spans="1:13">
      <c r="A291" s="9">
        <v>290</v>
      </c>
      <c r="B291" s="10">
        <v>40556</v>
      </c>
      <c r="C291" s="9">
        <v>12</v>
      </c>
      <c r="D291" s="9" t="b">
        <v>0</v>
      </c>
      <c r="E291" s="9" t="str">
        <f t="shared" si="4"/>
        <v>Weekday</v>
      </c>
      <c r="F291" s="9">
        <v>1</v>
      </c>
      <c r="G291" s="9">
        <v>0.2</v>
      </c>
      <c r="H291" s="9">
        <v>0.16669999999999999</v>
      </c>
      <c r="I291" s="9">
        <v>0.44</v>
      </c>
      <c r="J291" s="9">
        <v>0.41789999999999999</v>
      </c>
      <c r="K291" s="9">
        <v>3</v>
      </c>
      <c r="L291" s="9">
        <v>49</v>
      </c>
      <c r="M291" s="9">
        <v>52</v>
      </c>
    </row>
    <row r="292" spans="1:13">
      <c r="A292" s="9">
        <v>291</v>
      </c>
      <c r="B292" s="10">
        <v>40556</v>
      </c>
      <c r="C292" s="9">
        <v>13</v>
      </c>
      <c r="D292" s="9" t="b">
        <v>0</v>
      </c>
      <c r="E292" s="9" t="str">
        <f t="shared" si="4"/>
        <v>Weekday</v>
      </c>
      <c r="F292" s="9">
        <v>1</v>
      </c>
      <c r="G292" s="9">
        <v>0.22</v>
      </c>
      <c r="H292" s="9">
        <v>0.19700000000000001</v>
      </c>
      <c r="I292" s="9">
        <v>0.41</v>
      </c>
      <c r="J292" s="9">
        <v>0.44779999999999998</v>
      </c>
      <c r="K292" s="9">
        <v>2</v>
      </c>
      <c r="L292" s="9">
        <v>81</v>
      </c>
      <c r="M292" s="9">
        <v>83</v>
      </c>
    </row>
    <row r="293" spans="1:13">
      <c r="A293" s="9">
        <v>292</v>
      </c>
      <c r="B293" s="10">
        <v>40556</v>
      </c>
      <c r="C293" s="9">
        <v>14</v>
      </c>
      <c r="D293" s="9" t="b">
        <v>0</v>
      </c>
      <c r="E293" s="9" t="str">
        <f t="shared" si="4"/>
        <v>Weekday</v>
      </c>
      <c r="F293" s="9">
        <v>1</v>
      </c>
      <c r="G293" s="9">
        <v>0.22</v>
      </c>
      <c r="H293" s="9">
        <v>0.19700000000000001</v>
      </c>
      <c r="I293" s="9">
        <v>0.41</v>
      </c>
      <c r="J293" s="9">
        <v>0.3881</v>
      </c>
      <c r="K293" s="9">
        <v>3</v>
      </c>
      <c r="L293" s="9">
        <v>39</v>
      </c>
      <c r="M293" s="9">
        <v>42</v>
      </c>
    </row>
    <row r="294" spans="1:13">
      <c r="A294" s="9">
        <v>293</v>
      </c>
      <c r="B294" s="10">
        <v>40556</v>
      </c>
      <c r="C294" s="9">
        <v>15</v>
      </c>
      <c r="D294" s="9" t="b">
        <v>0</v>
      </c>
      <c r="E294" s="9" t="str">
        <f t="shared" si="4"/>
        <v>Weekday</v>
      </c>
      <c r="F294" s="9">
        <v>1</v>
      </c>
      <c r="G294" s="9">
        <v>0.24</v>
      </c>
      <c r="H294" s="9">
        <v>0.21210000000000001</v>
      </c>
      <c r="I294" s="9">
        <v>0.38</v>
      </c>
      <c r="J294" s="9">
        <v>0.29849999999999999</v>
      </c>
      <c r="K294" s="9">
        <v>5</v>
      </c>
      <c r="L294" s="9">
        <v>55</v>
      </c>
      <c r="M294" s="9">
        <v>60</v>
      </c>
    </row>
    <row r="295" spans="1:13">
      <c r="A295" s="9">
        <v>294</v>
      </c>
      <c r="B295" s="10">
        <v>40556</v>
      </c>
      <c r="C295" s="9">
        <v>16</v>
      </c>
      <c r="D295" s="9" t="b">
        <v>0</v>
      </c>
      <c r="E295" s="9" t="str">
        <f t="shared" si="4"/>
        <v>Weekday</v>
      </c>
      <c r="F295" s="9">
        <v>1</v>
      </c>
      <c r="G295" s="9">
        <v>0.24</v>
      </c>
      <c r="H295" s="9">
        <v>0.21210000000000001</v>
      </c>
      <c r="I295" s="9">
        <v>0.38</v>
      </c>
      <c r="J295" s="9">
        <v>0.35820000000000002</v>
      </c>
      <c r="K295" s="9">
        <v>2</v>
      </c>
      <c r="L295" s="9">
        <v>76</v>
      </c>
      <c r="M295" s="9">
        <v>78</v>
      </c>
    </row>
    <row r="296" spans="1:13">
      <c r="A296" s="9">
        <v>295</v>
      </c>
      <c r="B296" s="10">
        <v>40556</v>
      </c>
      <c r="C296" s="9">
        <v>17</v>
      </c>
      <c r="D296" s="9" t="b">
        <v>0</v>
      </c>
      <c r="E296" s="9" t="str">
        <f t="shared" si="4"/>
        <v>Weekday</v>
      </c>
      <c r="F296" s="9">
        <v>1</v>
      </c>
      <c r="G296" s="9">
        <v>0.2</v>
      </c>
      <c r="H296" s="9">
        <v>0.18179999999999999</v>
      </c>
      <c r="I296" s="9">
        <v>0.4</v>
      </c>
      <c r="J296" s="9">
        <v>0.28360000000000002</v>
      </c>
      <c r="K296" s="9">
        <v>4</v>
      </c>
      <c r="L296" s="9">
        <v>158</v>
      </c>
      <c r="M296" s="9">
        <v>162</v>
      </c>
    </row>
    <row r="297" spans="1:13">
      <c r="A297" s="9">
        <v>296</v>
      </c>
      <c r="B297" s="10">
        <v>40556</v>
      </c>
      <c r="C297" s="9">
        <v>18</v>
      </c>
      <c r="D297" s="9" t="b">
        <v>0</v>
      </c>
      <c r="E297" s="9" t="str">
        <f t="shared" si="4"/>
        <v>Weekday</v>
      </c>
      <c r="F297" s="9">
        <v>1</v>
      </c>
      <c r="G297" s="9">
        <v>0.2</v>
      </c>
      <c r="H297" s="9">
        <v>0.18179999999999999</v>
      </c>
      <c r="I297" s="9">
        <v>0.4</v>
      </c>
      <c r="J297" s="9">
        <v>0.32840000000000003</v>
      </c>
      <c r="K297" s="9">
        <v>3</v>
      </c>
      <c r="L297" s="9">
        <v>141</v>
      </c>
      <c r="M297" s="9">
        <v>144</v>
      </c>
    </row>
    <row r="298" spans="1:13">
      <c r="A298" s="9">
        <v>297</v>
      </c>
      <c r="B298" s="10">
        <v>40556</v>
      </c>
      <c r="C298" s="9">
        <v>19</v>
      </c>
      <c r="D298" s="9" t="b">
        <v>0</v>
      </c>
      <c r="E298" s="9" t="str">
        <f t="shared" si="4"/>
        <v>Weekday</v>
      </c>
      <c r="F298" s="9">
        <v>1</v>
      </c>
      <c r="G298" s="9">
        <v>0.16</v>
      </c>
      <c r="H298" s="9">
        <v>0.1515</v>
      </c>
      <c r="I298" s="9">
        <v>0.47</v>
      </c>
      <c r="J298" s="9">
        <v>0.25369999999999998</v>
      </c>
      <c r="K298" s="9">
        <v>1</v>
      </c>
      <c r="L298" s="9">
        <v>98</v>
      </c>
      <c r="M298" s="9">
        <v>99</v>
      </c>
    </row>
    <row r="299" spans="1:13">
      <c r="A299" s="9">
        <v>298</v>
      </c>
      <c r="B299" s="10">
        <v>40556</v>
      </c>
      <c r="C299" s="9">
        <v>20</v>
      </c>
      <c r="D299" s="9" t="b">
        <v>0</v>
      </c>
      <c r="E299" s="9" t="str">
        <f t="shared" si="4"/>
        <v>Weekday</v>
      </c>
      <c r="F299" s="9">
        <v>1</v>
      </c>
      <c r="G299" s="9">
        <v>0.16</v>
      </c>
      <c r="H299" s="9">
        <v>0.1515</v>
      </c>
      <c r="I299" s="9">
        <v>0.47</v>
      </c>
      <c r="J299" s="9">
        <v>0.22389999999999999</v>
      </c>
      <c r="K299" s="9">
        <v>0</v>
      </c>
      <c r="L299" s="9">
        <v>64</v>
      </c>
      <c r="M299" s="9">
        <v>64</v>
      </c>
    </row>
    <row r="300" spans="1:13">
      <c r="A300" s="9">
        <v>299</v>
      </c>
      <c r="B300" s="10">
        <v>40556</v>
      </c>
      <c r="C300" s="9">
        <v>21</v>
      </c>
      <c r="D300" s="9" t="b">
        <v>0</v>
      </c>
      <c r="E300" s="9" t="str">
        <f t="shared" si="4"/>
        <v>Weekday</v>
      </c>
      <c r="F300" s="9">
        <v>1</v>
      </c>
      <c r="G300" s="9">
        <v>0.14000000000000001</v>
      </c>
      <c r="H300" s="9">
        <v>0.1212</v>
      </c>
      <c r="I300" s="9">
        <v>0.46</v>
      </c>
      <c r="J300" s="9">
        <v>0.29849999999999999</v>
      </c>
      <c r="K300" s="9">
        <v>0</v>
      </c>
      <c r="L300" s="9">
        <v>40</v>
      </c>
      <c r="M300" s="9">
        <v>40</v>
      </c>
    </row>
    <row r="301" spans="1:13">
      <c r="A301" s="9">
        <v>300</v>
      </c>
      <c r="B301" s="10">
        <v>40556</v>
      </c>
      <c r="C301" s="9">
        <v>22</v>
      </c>
      <c r="D301" s="9" t="b">
        <v>0</v>
      </c>
      <c r="E301" s="9" t="str">
        <f t="shared" si="4"/>
        <v>Weekday</v>
      </c>
      <c r="F301" s="9">
        <v>1</v>
      </c>
      <c r="G301" s="9">
        <v>0.14000000000000001</v>
      </c>
      <c r="H301" s="9">
        <v>0.1212</v>
      </c>
      <c r="I301" s="9">
        <v>0.46</v>
      </c>
      <c r="J301" s="9">
        <v>0.32840000000000003</v>
      </c>
      <c r="K301" s="9">
        <v>0</v>
      </c>
      <c r="L301" s="9">
        <v>30</v>
      </c>
      <c r="M301" s="9">
        <v>30</v>
      </c>
    </row>
    <row r="302" spans="1:13">
      <c r="A302" s="9">
        <v>301</v>
      </c>
      <c r="B302" s="10">
        <v>40556</v>
      </c>
      <c r="C302" s="9">
        <v>23</v>
      </c>
      <c r="D302" s="9" t="b">
        <v>0</v>
      </c>
      <c r="E302" s="9" t="str">
        <f t="shared" si="4"/>
        <v>Weekday</v>
      </c>
      <c r="F302" s="9">
        <v>1</v>
      </c>
      <c r="G302" s="9">
        <v>0.12</v>
      </c>
      <c r="H302" s="9">
        <v>0.13639999999999999</v>
      </c>
      <c r="I302" s="9">
        <v>0.5</v>
      </c>
      <c r="J302" s="9">
        <v>0.19400000000000001</v>
      </c>
      <c r="K302" s="9">
        <v>1</v>
      </c>
      <c r="L302" s="9">
        <v>14</v>
      </c>
      <c r="M302" s="9">
        <v>15</v>
      </c>
    </row>
    <row r="303" spans="1:13">
      <c r="A303" s="9">
        <v>302</v>
      </c>
      <c r="B303" s="10">
        <v>40557</v>
      </c>
      <c r="C303" s="9">
        <v>0</v>
      </c>
      <c r="D303" s="9" t="b">
        <v>0</v>
      </c>
      <c r="E303" s="9" t="str">
        <f t="shared" si="4"/>
        <v>Weekday</v>
      </c>
      <c r="F303" s="9">
        <v>1</v>
      </c>
      <c r="G303" s="9">
        <v>0.12</v>
      </c>
      <c r="H303" s="9">
        <v>0.13639999999999999</v>
      </c>
      <c r="I303" s="9">
        <v>0.5</v>
      </c>
      <c r="J303" s="9">
        <v>0.19400000000000001</v>
      </c>
      <c r="K303" s="9">
        <v>0</v>
      </c>
      <c r="L303" s="9">
        <v>14</v>
      </c>
      <c r="M303" s="9">
        <v>14</v>
      </c>
    </row>
    <row r="304" spans="1:13">
      <c r="A304" s="9">
        <v>303</v>
      </c>
      <c r="B304" s="10">
        <v>40557</v>
      </c>
      <c r="C304" s="9">
        <v>1</v>
      </c>
      <c r="D304" s="9" t="b">
        <v>0</v>
      </c>
      <c r="E304" s="9" t="str">
        <f t="shared" si="4"/>
        <v>Weekday</v>
      </c>
      <c r="F304" s="9">
        <v>1</v>
      </c>
      <c r="G304" s="9">
        <v>0.1</v>
      </c>
      <c r="H304" s="9">
        <v>0.1212</v>
      </c>
      <c r="I304" s="9">
        <v>0.54</v>
      </c>
      <c r="J304" s="9">
        <v>0.16420000000000001</v>
      </c>
      <c r="K304" s="9">
        <v>0</v>
      </c>
      <c r="L304" s="9">
        <v>5</v>
      </c>
      <c r="M304" s="9">
        <v>5</v>
      </c>
    </row>
    <row r="305" spans="1:13">
      <c r="A305" s="9">
        <v>304</v>
      </c>
      <c r="B305" s="10">
        <v>40557</v>
      </c>
      <c r="C305" s="9">
        <v>2</v>
      </c>
      <c r="D305" s="9" t="b">
        <v>0</v>
      </c>
      <c r="E305" s="9" t="str">
        <f t="shared" si="4"/>
        <v>Weekday</v>
      </c>
      <c r="F305" s="9">
        <v>1</v>
      </c>
      <c r="G305" s="9">
        <v>0.1</v>
      </c>
      <c r="H305" s="9">
        <v>0.1212</v>
      </c>
      <c r="I305" s="9">
        <v>0.54</v>
      </c>
      <c r="J305" s="9">
        <v>0.1343</v>
      </c>
      <c r="K305" s="9">
        <v>0</v>
      </c>
      <c r="L305" s="9">
        <v>1</v>
      </c>
      <c r="M305" s="9">
        <v>1</v>
      </c>
    </row>
    <row r="306" spans="1:13">
      <c r="A306" s="9">
        <v>305</v>
      </c>
      <c r="B306" s="10">
        <v>40557</v>
      </c>
      <c r="C306" s="9">
        <v>3</v>
      </c>
      <c r="D306" s="9" t="b">
        <v>0</v>
      </c>
      <c r="E306" s="9" t="str">
        <f t="shared" si="4"/>
        <v>Weekday</v>
      </c>
      <c r="F306" s="9">
        <v>1</v>
      </c>
      <c r="G306" s="9">
        <v>0.1</v>
      </c>
      <c r="H306" s="9">
        <v>0.13639999999999999</v>
      </c>
      <c r="I306" s="9">
        <v>0.54</v>
      </c>
      <c r="J306" s="9">
        <v>0.1045</v>
      </c>
      <c r="K306" s="9">
        <v>0</v>
      </c>
      <c r="L306" s="9">
        <v>1</v>
      </c>
      <c r="M306" s="9">
        <v>1</v>
      </c>
    </row>
    <row r="307" spans="1:13">
      <c r="A307" s="9">
        <v>306</v>
      </c>
      <c r="B307" s="10">
        <v>40557</v>
      </c>
      <c r="C307" s="9">
        <v>5</v>
      </c>
      <c r="D307" s="9" t="b">
        <v>0</v>
      </c>
      <c r="E307" s="9" t="str">
        <f t="shared" si="4"/>
        <v>Weekday</v>
      </c>
      <c r="F307" s="9">
        <v>1</v>
      </c>
      <c r="G307" s="9">
        <v>0.1</v>
      </c>
      <c r="H307" s="9">
        <v>0.13639999999999999</v>
      </c>
      <c r="I307" s="9">
        <v>0.54</v>
      </c>
      <c r="J307" s="9">
        <v>8.9599999999999999E-2</v>
      </c>
      <c r="K307" s="9">
        <v>0</v>
      </c>
      <c r="L307" s="9">
        <v>8</v>
      </c>
      <c r="M307" s="9">
        <v>8</v>
      </c>
    </row>
    <row r="308" spans="1:13">
      <c r="A308" s="9">
        <v>307</v>
      </c>
      <c r="B308" s="10">
        <v>40557</v>
      </c>
      <c r="C308" s="9">
        <v>6</v>
      </c>
      <c r="D308" s="9" t="b">
        <v>0</v>
      </c>
      <c r="E308" s="9" t="str">
        <f t="shared" si="4"/>
        <v>Weekday</v>
      </c>
      <c r="F308" s="9">
        <v>1</v>
      </c>
      <c r="G308" s="9">
        <v>0.1</v>
      </c>
      <c r="H308" s="9">
        <v>0.18179999999999999</v>
      </c>
      <c r="I308" s="9">
        <v>0.54</v>
      </c>
      <c r="J308" s="9">
        <v>0</v>
      </c>
      <c r="K308" s="9">
        <v>0</v>
      </c>
      <c r="L308" s="9">
        <v>17</v>
      </c>
      <c r="M308" s="9">
        <v>17</v>
      </c>
    </row>
    <row r="309" spans="1:13">
      <c r="A309" s="9">
        <v>308</v>
      </c>
      <c r="B309" s="10">
        <v>40557</v>
      </c>
      <c r="C309" s="9">
        <v>7</v>
      </c>
      <c r="D309" s="9" t="b">
        <v>0</v>
      </c>
      <c r="E309" s="9" t="str">
        <f t="shared" si="4"/>
        <v>Weekday</v>
      </c>
      <c r="F309" s="9">
        <v>1</v>
      </c>
      <c r="G309" s="9">
        <v>0.1</v>
      </c>
      <c r="H309" s="9">
        <v>0.1212</v>
      </c>
      <c r="I309" s="9">
        <v>0.74</v>
      </c>
      <c r="J309" s="9">
        <v>0.16420000000000001</v>
      </c>
      <c r="K309" s="9">
        <v>0</v>
      </c>
      <c r="L309" s="9">
        <v>70</v>
      </c>
      <c r="M309" s="9">
        <v>70</v>
      </c>
    </row>
    <row r="310" spans="1:13">
      <c r="A310" s="9">
        <v>309</v>
      </c>
      <c r="B310" s="10">
        <v>40557</v>
      </c>
      <c r="C310" s="9">
        <v>8</v>
      </c>
      <c r="D310" s="9" t="b">
        <v>0</v>
      </c>
      <c r="E310" s="9" t="str">
        <f t="shared" si="4"/>
        <v>Weekday</v>
      </c>
      <c r="F310" s="9">
        <v>1</v>
      </c>
      <c r="G310" s="9">
        <v>0.12</v>
      </c>
      <c r="H310" s="9">
        <v>0.16669999999999999</v>
      </c>
      <c r="I310" s="9">
        <v>0.68</v>
      </c>
      <c r="J310" s="9">
        <v>0</v>
      </c>
      <c r="K310" s="9">
        <v>2</v>
      </c>
      <c r="L310" s="9">
        <v>156</v>
      </c>
      <c r="M310" s="9">
        <v>158</v>
      </c>
    </row>
    <row r="311" spans="1:13">
      <c r="A311" s="9">
        <v>310</v>
      </c>
      <c r="B311" s="10">
        <v>40557</v>
      </c>
      <c r="C311" s="9">
        <v>9</v>
      </c>
      <c r="D311" s="9" t="b">
        <v>0</v>
      </c>
      <c r="E311" s="9" t="str">
        <f t="shared" si="4"/>
        <v>Weekday</v>
      </c>
      <c r="F311" s="9">
        <v>1</v>
      </c>
      <c r="G311" s="9">
        <v>0.14000000000000001</v>
      </c>
      <c r="H311" s="9">
        <v>0.1515</v>
      </c>
      <c r="I311" s="9">
        <v>0.69</v>
      </c>
      <c r="J311" s="9">
        <v>0.1343</v>
      </c>
      <c r="K311" s="9">
        <v>0</v>
      </c>
      <c r="L311" s="9">
        <v>117</v>
      </c>
      <c r="M311" s="9">
        <v>117</v>
      </c>
    </row>
    <row r="312" spans="1:13">
      <c r="A312" s="9">
        <v>311</v>
      </c>
      <c r="B312" s="10">
        <v>40557</v>
      </c>
      <c r="C312" s="9">
        <v>10</v>
      </c>
      <c r="D312" s="9" t="b">
        <v>0</v>
      </c>
      <c r="E312" s="9" t="str">
        <f t="shared" si="4"/>
        <v>Weekday</v>
      </c>
      <c r="F312" s="9">
        <v>1</v>
      </c>
      <c r="G312" s="9">
        <v>0.18</v>
      </c>
      <c r="H312" s="9">
        <v>0.18179999999999999</v>
      </c>
      <c r="I312" s="9">
        <v>0.55000000000000004</v>
      </c>
      <c r="J312" s="9">
        <v>0.19400000000000001</v>
      </c>
      <c r="K312" s="9">
        <v>4</v>
      </c>
      <c r="L312" s="9">
        <v>40</v>
      </c>
      <c r="M312" s="9">
        <v>44</v>
      </c>
    </row>
    <row r="313" spans="1:13">
      <c r="A313" s="9">
        <v>312</v>
      </c>
      <c r="B313" s="10">
        <v>40557</v>
      </c>
      <c r="C313" s="9">
        <v>11</v>
      </c>
      <c r="D313" s="9" t="b">
        <v>0</v>
      </c>
      <c r="E313" s="9" t="str">
        <f t="shared" si="4"/>
        <v>Weekday</v>
      </c>
      <c r="F313" s="9">
        <v>1</v>
      </c>
      <c r="G313" s="9">
        <v>0.18</v>
      </c>
      <c r="H313" s="9">
        <v>0.16669999999999999</v>
      </c>
      <c r="I313" s="9">
        <v>0.51</v>
      </c>
      <c r="J313" s="9">
        <v>0.28360000000000002</v>
      </c>
      <c r="K313" s="9">
        <v>6</v>
      </c>
      <c r="L313" s="9">
        <v>47</v>
      </c>
      <c r="M313" s="9">
        <v>53</v>
      </c>
    </row>
    <row r="314" spans="1:13">
      <c r="A314" s="9">
        <v>313</v>
      </c>
      <c r="B314" s="10">
        <v>40557</v>
      </c>
      <c r="C314" s="9">
        <v>12</v>
      </c>
      <c r="D314" s="9" t="b">
        <v>0</v>
      </c>
      <c r="E314" s="9" t="str">
        <f t="shared" si="4"/>
        <v>Weekday</v>
      </c>
      <c r="F314" s="9">
        <v>1</v>
      </c>
      <c r="G314" s="9">
        <v>0.2</v>
      </c>
      <c r="H314" s="9">
        <v>0.19700000000000001</v>
      </c>
      <c r="I314" s="9">
        <v>0.44</v>
      </c>
      <c r="J314" s="9">
        <v>0.25369999999999998</v>
      </c>
      <c r="K314" s="9">
        <v>2</v>
      </c>
      <c r="L314" s="9">
        <v>59</v>
      </c>
      <c r="M314" s="9">
        <v>61</v>
      </c>
    </row>
    <row r="315" spans="1:13">
      <c r="A315" s="9">
        <v>314</v>
      </c>
      <c r="B315" s="10">
        <v>40557</v>
      </c>
      <c r="C315" s="9">
        <v>13</v>
      </c>
      <c r="D315" s="9" t="b">
        <v>0</v>
      </c>
      <c r="E315" s="9" t="str">
        <f t="shared" si="4"/>
        <v>Weekday</v>
      </c>
      <c r="F315" s="9">
        <v>1</v>
      </c>
      <c r="G315" s="9">
        <v>0.22</v>
      </c>
      <c r="H315" s="9">
        <v>0.19700000000000001</v>
      </c>
      <c r="I315" s="9">
        <v>0.37</v>
      </c>
      <c r="J315" s="9">
        <v>0.3881</v>
      </c>
      <c r="K315" s="9">
        <v>4</v>
      </c>
      <c r="L315" s="9">
        <v>73</v>
      </c>
      <c r="M315" s="9">
        <v>77</v>
      </c>
    </row>
    <row r="316" spans="1:13">
      <c r="A316" s="9">
        <v>315</v>
      </c>
      <c r="B316" s="10">
        <v>40557</v>
      </c>
      <c r="C316" s="9">
        <v>14</v>
      </c>
      <c r="D316" s="9" t="b">
        <v>0</v>
      </c>
      <c r="E316" s="9" t="str">
        <f t="shared" si="4"/>
        <v>Weekday</v>
      </c>
      <c r="F316" s="9">
        <v>1</v>
      </c>
      <c r="G316" s="9">
        <v>0.22</v>
      </c>
      <c r="H316" s="9">
        <v>0.21210000000000001</v>
      </c>
      <c r="I316" s="9">
        <v>0.41</v>
      </c>
      <c r="J316" s="9">
        <v>0.28360000000000002</v>
      </c>
      <c r="K316" s="9">
        <v>5</v>
      </c>
      <c r="L316" s="9">
        <v>59</v>
      </c>
      <c r="M316" s="9">
        <v>64</v>
      </c>
    </row>
    <row r="317" spans="1:13">
      <c r="A317" s="9">
        <v>316</v>
      </c>
      <c r="B317" s="10">
        <v>40557</v>
      </c>
      <c r="C317" s="9">
        <v>15</v>
      </c>
      <c r="D317" s="9" t="b">
        <v>0</v>
      </c>
      <c r="E317" s="9" t="str">
        <f t="shared" si="4"/>
        <v>Weekday</v>
      </c>
      <c r="F317" s="9">
        <v>1</v>
      </c>
      <c r="G317" s="9">
        <v>0.24</v>
      </c>
      <c r="H317" s="9">
        <v>0.2424</v>
      </c>
      <c r="I317" s="9">
        <v>0.38</v>
      </c>
      <c r="J317" s="9">
        <v>0.16420000000000001</v>
      </c>
      <c r="K317" s="9">
        <v>9</v>
      </c>
      <c r="L317" s="9">
        <v>59</v>
      </c>
      <c r="M317" s="9">
        <v>68</v>
      </c>
    </row>
    <row r="318" spans="1:13">
      <c r="A318" s="9">
        <v>317</v>
      </c>
      <c r="B318" s="10">
        <v>40557</v>
      </c>
      <c r="C318" s="9">
        <v>16</v>
      </c>
      <c r="D318" s="9" t="b">
        <v>0</v>
      </c>
      <c r="E318" s="9" t="str">
        <f t="shared" si="4"/>
        <v>Weekday</v>
      </c>
      <c r="F318" s="9">
        <v>1</v>
      </c>
      <c r="G318" s="9">
        <v>0.22</v>
      </c>
      <c r="H318" s="9">
        <v>0.2424</v>
      </c>
      <c r="I318" s="9">
        <v>0.41</v>
      </c>
      <c r="J318" s="9">
        <v>0.1045</v>
      </c>
      <c r="K318" s="9">
        <v>3</v>
      </c>
      <c r="L318" s="9">
        <v>87</v>
      </c>
      <c r="M318" s="9">
        <v>90</v>
      </c>
    </row>
    <row r="319" spans="1:13">
      <c r="A319" s="9">
        <v>318</v>
      </c>
      <c r="B319" s="10">
        <v>40557</v>
      </c>
      <c r="C319" s="9">
        <v>17</v>
      </c>
      <c r="D319" s="9" t="b">
        <v>0</v>
      </c>
      <c r="E319" s="9" t="str">
        <f t="shared" si="4"/>
        <v>Weekday</v>
      </c>
      <c r="F319" s="9">
        <v>1</v>
      </c>
      <c r="G319" s="9">
        <v>0.22</v>
      </c>
      <c r="H319" s="9">
        <v>0.2273</v>
      </c>
      <c r="I319" s="9">
        <v>0.41</v>
      </c>
      <c r="J319" s="9">
        <v>0.16420000000000001</v>
      </c>
      <c r="K319" s="9">
        <v>4</v>
      </c>
      <c r="L319" s="9">
        <v>155</v>
      </c>
      <c r="M319" s="9">
        <v>159</v>
      </c>
    </row>
    <row r="320" spans="1:13">
      <c r="A320" s="9">
        <v>319</v>
      </c>
      <c r="B320" s="10">
        <v>40557</v>
      </c>
      <c r="C320" s="9">
        <v>18</v>
      </c>
      <c r="D320" s="9" t="b">
        <v>0</v>
      </c>
      <c r="E320" s="9" t="str">
        <f t="shared" si="4"/>
        <v>Weekday</v>
      </c>
      <c r="F320" s="9">
        <v>1</v>
      </c>
      <c r="G320" s="9">
        <v>0.2</v>
      </c>
      <c r="H320" s="9">
        <v>0.2576</v>
      </c>
      <c r="I320" s="9">
        <v>0.47</v>
      </c>
      <c r="J320" s="9">
        <v>0</v>
      </c>
      <c r="K320" s="9">
        <v>5</v>
      </c>
      <c r="L320" s="9">
        <v>134</v>
      </c>
      <c r="M320" s="9">
        <v>139</v>
      </c>
    </row>
    <row r="321" spans="1:13">
      <c r="A321" s="9">
        <v>320</v>
      </c>
      <c r="B321" s="10">
        <v>40557</v>
      </c>
      <c r="C321" s="9">
        <v>19</v>
      </c>
      <c r="D321" s="9" t="b">
        <v>0</v>
      </c>
      <c r="E321" s="9" t="str">
        <f t="shared" si="4"/>
        <v>Weekday</v>
      </c>
      <c r="F321" s="9">
        <v>1</v>
      </c>
      <c r="G321" s="9">
        <v>0.16</v>
      </c>
      <c r="H321" s="9">
        <v>0.19700000000000001</v>
      </c>
      <c r="I321" s="9">
        <v>0.59</v>
      </c>
      <c r="J321" s="9">
        <v>8.9599999999999999E-2</v>
      </c>
      <c r="K321" s="9">
        <v>3</v>
      </c>
      <c r="L321" s="9">
        <v>89</v>
      </c>
      <c r="M321" s="9">
        <v>92</v>
      </c>
    </row>
    <row r="322" spans="1:13">
      <c r="A322" s="9">
        <v>321</v>
      </c>
      <c r="B322" s="10">
        <v>40557</v>
      </c>
      <c r="C322" s="9">
        <v>20</v>
      </c>
      <c r="D322" s="9" t="b">
        <v>0</v>
      </c>
      <c r="E322" s="9" t="str">
        <f t="shared" si="4"/>
        <v>Weekday</v>
      </c>
      <c r="F322" s="9">
        <v>1</v>
      </c>
      <c r="G322" s="9">
        <v>0.18</v>
      </c>
      <c r="H322" s="9">
        <v>0.2424</v>
      </c>
      <c r="I322" s="9">
        <v>0.59</v>
      </c>
      <c r="J322" s="9">
        <v>0</v>
      </c>
      <c r="K322" s="9">
        <v>0</v>
      </c>
      <c r="L322" s="9">
        <v>68</v>
      </c>
      <c r="M322" s="9">
        <v>68</v>
      </c>
    </row>
    <row r="323" spans="1:13">
      <c r="A323" s="9">
        <v>322</v>
      </c>
      <c r="B323" s="10">
        <v>40557</v>
      </c>
      <c r="C323" s="9">
        <v>21</v>
      </c>
      <c r="D323" s="9" t="b">
        <v>0</v>
      </c>
      <c r="E323" s="9" t="str">
        <f t="shared" ref="E323:E386" si="5">IF(WEEKDAY(B323,2)&gt;=6,"Weekend","Weekday")</f>
        <v>Weekday</v>
      </c>
      <c r="F323" s="9">
        <v>1</v>
      </c>
      <c r="G323" s="9">
        <v>0.16</v>
      </c>
      <c r="H323" s="9">
        <v>0.2273</v>
      </c>
      <c r="I323" s="9">
        <v>0.69</v>
      </c>
      <c r="J323" s="9">
        <v>0</v>
      </c>
      <c r="K323" s="9">
        <v>4</v>
      </c>
      <c r="L323" s="9">
        <v>48</v>
      </c>
      <c r="M323" s="9">
        <v>52</v>
      </c>
    </row>
    <row r="324" spans="1:13">
      <c r="A324" s="9">
        <v>323</v>
      </c>
      <c r="B324" s="10">
        <v>40557</v>
      </c>
      <c r="C324" s="9">
        <v>22</v>
      </c>
      <c r="D324" s="9" t="b">
        <v>0</v>
      </c>
      <c r="E324" s="9" t="str">
        <f t="shared" si="5"/>
        <v>Weekday</v>
      </c>
      <c r="F324" s="9">
        <v>2</v>
      </c>
      <c r="G324" s="9">
        <v>0.16</v>
      </c>
      <c r="H324" s="9">
        <v>0.2273</v>
      </c>
      <c r="I324" s="9">
        <v>0.69</v>
      </c>
      <c r="J324" s="9">
        <v>0</v>
      </c>
      <c r="K324" s="9">
        <v>2</v>
      </c>
      <c r="L324" s="9">
        <v>34</v>
      </c>
      <c r="M324" s="9">
        <v>36</v>
      </c>
    </row>
    <row r="325" spans="1:13">
      <c r="A325" s="9">
        <v>324</v>
      </c>
      <c r="B325" s="10">
        <v>40557</v>
      </c>
      <c r="C325" s="9">
        <v>23</v>
      </c>
      <c r="D325" s="9" t="b">
        <v>0</v>
      </c>
      <c r="E325" s="9" t="str">
        <f t="shared" si="5"/>
        <v>Weekday</v>
      </c>
      <c r="F325" s="9">
        <v>2</v>
      </c>
      <c r="G325" s="9">
        <v>0.18</v>
      </c>
      <c r="H325" s="9">
        <v>0.2424</v>
      </c>
      <c r="I325" s="9">
        <v>0.55000000000000004</v>
      </c>
      <c r="J325" s="9">
        <v>0</v>
      </c>
      <c r="K325" s="9">
        <v>1</v>
      </c>
      <c r="L325" s="9">
        <v>26</v>
      </c>
      <c r="M325" s="9">
        <v>27</v>
      </c>
    </row>
    <row r="326" spans="1:13">
      <c r="A326" s="9">
        <v>325</v>
      </c>
      <c r="B326" s="10">
        <v>40558</v>
      </c>
      <c r="C326" s="9">
        <v>0</v>
      </c>
      <c r="D326" s="9" t="b">
        <v>0</v>
      </c>
      <c r="E326" s="9" t="str">
        <f t="shared" si="5"/>
        <v>Weekend</v>
      </c>
      <c r="F326" s="9">
        <v>1</v>
      </c>
      <c r="G326" s="9">
        <v>0.18</v>
      </c>
      <c r="H326" s="9">
        <v>0.2424</v>
      </c>
      <c r="I326" s="9">
        <v>0.55000000000000004</v>
      </c>
      <c r="J326" s="9">
        <v>0</v>
      </c>
      <c r="K326" s="9">
        <v>3</v>
      </c>
      <c r="L326" s="9">
        <v>25</v>
      </c>
      <c r="M326" s="9">
        <v>28</v>
      </c>
    </row>
    <row r="327" spans="1:13">
      <c r="A327" s="9">
        <v>326</v>
      </c>
      <c r="B327" s="10">
        <v>40558</v>
      </c>
      <c r="C327" s="9">
        <v>1</v>
      </c>
      <c r="D327" s="9" t="b">
        <v>0</v>
      </c>
      <c r="E327" s="9" t="str">
        <f t="shared" si="5"/>
        <v>Weekend</v>
      </c>
      <c r="F327" s="9">
        <v>2</v>
      </c>
      <c r="G327" s="9">
        <v>0.16</v>
      </c>
      <c r="H327" s="9">
        <v>0.19700000000000001</v>
      </c>
      <c r="I327" s="9">
        <v>0.59</v>
      </c>
      <c r="J327" s="9">
        <v>8.9599999999999999E-2</v>
      </c>
      <c r="K327" s="9">
        <v>2</v>
      </c>
      <c r="L327" s="9">
        <v>18</v>
      </c>
      <c r="M327" s="9">
        <v>20</v>
      </c>
    </row>
    <row r="328" spans="1:13">
      <c r="A328" s="9">
        <v>327</v>
      </c>
      <c r="B328" s="10">
        <v>40558</v>
      </c>
      <c r="C328" s="9">
        <v>2</v>
      </c>
      <c r="D328" s="9" t="b">
        <v>0</v>
      </c>
      <c r="E328" s="9" t="str">
        <f t="shared" si="5"/>
        <v>Weekend</v>
      </c>
      <c r="F328" s="9">
        <v>2</v>
      </c>
      <c r="G328" s="9">
        <v>0.16</v>
      </c>
      <c r="H328" s="9">
        <v>0.19700000000000001</v>
      </c>
      <c r="I328" s="9">
        <v>0.59</v>
      </c>
      <c r="J328" s="9">
        <v>8.9599999999999999E-2</v>
      </c>
      <c r="K328" s="9">
        <v>0</v>
      </c>
      <c r="L328" s="9">
        <v>12</v>
      </c>
      <c r="M328" s="9">
        <v>12</v>
      </c>
    </row>
    <row r="329" spans="1:13">
      <c r="A329" s="9">
        <v>328</v>
      </c>
      <c r="B329" s="10">
        <v>40558</v>
      </c>
      <c r="C329" s="9">
        <v>3</v>
      </c>
      <c r="D329" s="9" t="b">
        <v>0</v>
      </c>
      <c r="E329" s="9" t="str">
        <f t="shared" si="5"/>
        <v>Weekend</v>
      </c>
      <c r="F329" s="9">
        <v>2</v>
      </c>
      <c r="G329" s="9">
        <v>0.16</v>
      </c>
      <c r="H329" s="9">
        <v>0.2273</v>
      </c>
      <c r="I329" s="9">
        <v>0.59</v>
      </c>
      <c r="J329" s="9">
        <v>0</v>
      </c>
      <c r="K329" s="9">
        <v>1</v>
      </c>
      <c r="L329" s="9">
        <v>7</v>
      </c>
      <c r="M329" s="9">
        <v>8</v>
      </c>
    </row>
    <row r="330" spans="1:13">
      <c r="A330" s="9">
        <v>329</v>
      </c>
      <c r="B330" s="10">
        <v>40558</v>
      </c>
      <c r="C330" s="9">
        <v>4</v>
      </c>
      <c r="D330" s="9" t="b">
        <v>0</v>
      </c>
      <c r="E330" s="9" t="str">
        <f t="shared" si="5"/>
        <v>Weekend</v>
      </c>
      <c r="F330" s="9">
        <v>2</v>
      </c>
      <c r="G330" s="9">
        <v>0.16</v>
      </c>
      <c r="H330" s="9">
        <v>0.2273</v>
      </c>
      <c r="I330" s="9">
        <v>0.59</v>
      </c>
      <c r="J330" s="9">
        <v>0</v>
      </c>
      <c r="K330" s="9">
        <v>0</v>
      </c>
      <c r="L330" s="9">
        <v>5</v>
      </c>
      <c r="M330" s="9">
        <v>5</v>
      </c>
    </row>
    <row r="331" spans="1:13">
      <c r="A331" s="9">
        <v>330</v>
      </c>
      <c r="B331" s="10">
        <v>40558</v>
      </c>
      <c r="C331" s="9">
        <v>5</v>
      </c>
      <c r="D331" s="9" t="b">
        <v>0</v>
      </c>
      <c r="E331" s="9" t="str">
        <f t="shared" si="5"/>
        <v>Weekend</v>
      </c>
      <c r="F331" s="9">
        <v>1</v>
      </c>
      <c r="G331" s="9">
        <v>0.16</v>
      </c>
      <c r="H331" s="9">
        <v>0.2273</v>
      </c>
      <c r="I331" s="9">
        <v>0.59</v>
      </c>
      <c r="J331" s="9">
        <v>0</v>
      </c>
      <c r="K331" s="9">
        <v>0</v>
      </c>
      <c r="L331" s="9">
        <v>1</v>
      </c>
      <c r="M331" s="9">
        <v>1</v>
      </c>
    </row>
    <row r="332" spans="1:13">
      <c r="A332" s="9">
        <v>331</v>
      </c>
      <c r="B332" s="10">
        <v>40558</v>
      </c>
      <c r="C332" s="9">
        <v>6</v>
      </c>
      <c r="D332" s="9" t="b">
        <v>0</v>
      </c>
      <c r="E332" s="9" t="str">
        <f t="shared" si="5"/>
        <v>Weekend</v>
      </c>
      <c r="F332" s="9">
        <v>1</v>
      </c>
      <c r="G332" s="9">
        <v>0.14000000000000001</v>
      </c>
      <c r="H332" s="9">
        <v>0.16669999999999999</v>
      </c>
      <c r="I332" s="9">
        <v>0.63</v>
      </c>
      <c r="J332" s="9">
        <v>0.1045</v>
      </c>
      <c r="K332" s="9">
        <v>1</v>
      </c>
      <c r="L332" s="9">
        <v>2</v>
      </c>
      <c r="M332" s="9">
        <v>3</v>
      </c>
    </row>
    <row r="333" spans="1:13">
      <c r="A333" s="9">
        <v>332</v>
      </c>
      <c r="B333" s="10">
        <v>40558</v>
      </c>
      <c r="C333" s="9">
        <v>7</v>
      </c>
      <c r="D333" s="9" t="b">
        <v>0</v>
      </c>
      <c r="E333" s="9" t="str">
        <f t="shared" si="5"/>
        <v>Weekend</v>
      </c>
      <c r="F333" s="9">
        <v>1</v>
      </c>
      <c r="G333" s="9">
        <v>0.14000000000000001</v>
      </c>
      <c r="H333" s="9">
        <v>0.21210000000000001</v>
      </c>
      <c r="I333" s="9">
        <v>0.63</v>
      </c>
      <c r="J333" s="9">
        <v>0</v>
      </c>
      <c r="K333" s="9">
        <v>1</v>
      </c>
      <c r="L333" s="9">
        <v>9</v>
      </c>
      <c r="M333" s="9">
        <v>10</v>
      </c>
    </row>
    <row r="334" spans="1:13">
      <c r="A334" s="9">
        <v>333</v>
      </c>
      <c r="B334" s="10">
        <v>40558</v>
      </c>
      <c r="C334" s="9">
        <v>8</v>
      </c>
      <c r="D334" s="9" t="b">
        <v>0</v>
      </c>
      <c r="E334" s="9" t="str">
        <f t="shared" si="5"/>
        <v>Weekend</v>
      </c>
      <c r="F334" s="9">
        <v>1</v>
      </c>
      <c r="G334" s="9">
        <v>0.14000000000000001</v>
      </c>
      <c r="H334" s="9">
        <v>0.1515</v>
      </c>
      <c r="I334" s="9">
        <v>0.63</v>
      </c>
      <c r="J334" s="9">
        <v>0.1343</v>
      </c>
      <c r="K334" s="9">
        <v>1</v>
      </c>
      <c r="L334" s="9">
        <v>22</v>
      </c>
      <c r="M334" s="9">
        <v>23</v>
      </c>
    </row>
    <row r="335" spans="1:13">
      <c r="A335" s="9">
        <v>334</v>
      </c>
      <c r="B335" s="10">
        <v>40558</v>
      </c>
      <c r="C335" s="9">
        <v>9</v>
      </c>
      <c r="D335" s="9" t="b">
        <v>0</v>
      </c>
      <c r="E335" s="9" t="str">
        <f t="shared" si="5"/>
        <v>Weekend</v>
      </c>
      <c r="F335" s="9">
        <v>1</v>
      </c>
      <c r="G335" s="9">
        <v>0.16</v>
      </c>
      <c r="H335" s="9">
        <v>0.18179999999999999</v>
      </c>
      <c r="I335" s="9">
        <v>0.64</v>
      </c>
      <c r="J335" s="9">
        <v>0.1343</v>
      </c>
      <c r="K335" s="9">
        <v>2</v>
      </c>
      <c r="L335" s="9">
        <v>31</v>
      </c>
      <c r="M335" s="9">
        <v>33</v>
      </c>
    </row>
    <row r="336" spans="1:13">
      <c r="A336" s="9">
        <v>335</v>
      </c>
      <c r="B336" s="10">
        <v>40558</v>
      </c>
      <c r="C336" s="9">
        <v>10</v>
      </c>
      <c r="D336" s="9" t="b">
        <v>0</v>
      </c>
      <c r="E336" s="9" t="str">
        <f t="shared" si="5"/>
        <v>Weekend</v>
      </c>
      <c r="F336" s="9">
        <v>1</v>
      </c>
      <c r="G336" s="9">
        <v>0.18</v>
      </c>
      <c r="H336" s="9">
        <v>0.19700000000000001</v>
      </c>
      <c r="I336" s="9">
        <v>0.59</v>
      </c>
      <c r="J336" s="9">
        <v>0.16420000000000001</v>
      </c>
      <c r="K336" s="9">
        <v>2</v>
      </c>
      <c r="L336" s="9">
        <v>57</v>
      </c>
      <c r="M336" s="9">
        <v>59</v>
      </c>
    </row>
    <row r="337" spans="1:13">
      <c r="A337" s="9">
        <v>336</v>
      </c>
      <c r="B337" s="10">
        <v>40558</v>
      </c>
      <c r="C337" s="9">
        <v>11</v>
      </c>
      <c r="D337" s="9" t="b">
        <v>0</v>
      </c>
      <c r="E337" s="9" t="str">
        <f t="shared" si="5"/>
        <v>Weekend</v>
      </c>
      <c r="F337" s="9">
        <v>1</v>
      </c>
      <c r="G337" s="9">
        <v>0.2</v>
      </c>
      <c r="H337" s="9">
        <v>0.19700000000000001</v>
      </c>
      <c r="I337" s="9">
        <v>0.55000000000000004</v>
      </c>
      <c r="J337" s="9">
        <v>0.22389999999999999</v>
      </c>
      <c r="K337" s="9">
        <v>18</v>
      </c>
      <c r="L337" s="9">
        <v>54</v>
      </c>
      <c r="M337" s="9">
        <v>72</v>
      </c>
    </row>
    <row r="338" spans="1:13">
      <c r="A338" s="9">
        <v>337</v>
      </c>
      <c r="B338" s="10">
        <v>40558</v>
      </c>
      <c r="C338" s="9">
        <v>12</v>
      </c>
      <c r="D338" s="9" t="b">
        <v>0</v>
      </c>
      <c r="E338" s="9" t="str">
        <f t="shared" si="5"/>
        <v>Weekend</v>
      </c>
      <c r="F338" s="9">
        <v>1</v>
      </c>
      <c r="G338" s="9">
        <v>0.24</v>
      </c>
      <c r="H338" s="9">
        <v>0.2273</v>
      </c>
      <c r="I338" s="9">
        <v>0.48</v>
      </c>
      <c r="J338" s="9">
        <v>0.22389999999999999</v>
      </c>
      <c r="K338" s="9">
        <v>15</v>
      </c>
      <c r="L338" s="9">
        <v>74</v>
      </c>
      <c r="M338" s="9">
        <v>89</v>
      </c>
    </row>
    <row r="339" spans="1:13">
      <c r="A339" s="9">
        <v>338</v>
      </c>
      <c r="B339" s="10">
        <v>40558</v>
      </c>
      <c r="C339" s="9">
        <v>13</v>
      </c>
      <c r="D339" s="9" t="b">
        <v>0</v>
      </c>
      <c r="E339" s="9" t="str">
        <f t="shared" si="5"/>
        <v>Weekend</v>
      </c>
      <c r="F339" s="9">
        <v>1</v>
      </c>
      <c r="G339" s="9">
        <v>0.28000000000000003</v>
      </c>
      <c r="H339" s="9">
        <v>0.2576</v>
      </c>
      <c r="I339" s="9">
        <v>0.38</v>
      </c>
      <c r="J339" s="9">
        <v>0.29849999999999999</v>
      </c>
      <c r="K339" s="9">
        <v>21</v>
      </c>
      <c r="L339" s="9">
        <v>80</v>
      </c>
      <c r="M339" s="9">
        <v>101</v>
      </c>
    </row>
    <row r="340" spans="1:13">
      <c r="A340" s="9">
        <v>339</v>
      </c>
      <c r="B340" s="10">
        <v>40558</v>
      </c>
      <c r="C340" s="9">
        <v>14</v>
      </c>
      <c r="D340" s="9" t="b">
        <v>0</v>
      </c>
      <c r="E340" s="9" t="str">
        <f t="shared" si="5"/>
        <v>Weekend</v>
      </c>
      <c r="F340" s="9">
        <v>1</v>
      </c>
      <c r="G340" s="9">
        <v>0.3</v>
      </c>
      <c r="H340" s="9">
        <v>0.28789999999999999</v>
      </c>
      <c r="I340" s="9">
        <v>0.39</v>
      </c>
      <c r="J340" s="9">
        <v>0.28360000000000002</v>
      </c>
      <c r="K340" s="9">
        <v>26</v>
      </c>
      <c r="L340" s="9">
        <v>92</v>
      </c>
      <c r="M340" s="9">
        <v>118</v>
      </c>
    </row>
    <row r="341" spans="1:13">
      <c r="A341" s="9">
        <v>340</v>
      </c>
      <c r="B341" s="10">
        <v>40558</v>
      </c>
      <c r="C341" s="9">
        <v>15</v>
      </c>
      <c r="D341" s="9" t="b">
        <v>0</v>
      </c>
      <c r="E341" s="9" t="str">
        <f t="shared" si="5"/>
        <v>Weekend</v>
      </c>
      <c r="F341" s="9">
        <v>2</v>
      </c>
      <c r="G341" s="9">
        <v>0.32</v>
      </c>
      <c r="H341" s="9">
        <v>0.31819999999999998</v>
      </c>
      <c r="I341" s="9">
        <v>0.36</v>
      </c>
      <c r="J341" s="9">
        <v>0.19400000000000001</v>
      </c>
      <c r="K341" s="9">
        <v>21</v>
      </c>
      <c r="L341" s="9">
        <v>108</v>
      </c>
      <c r="M341" s="9">
        <v>129</v>
      </c>
    </row>
    <row r="342" spans="1:13">
      <c r="A342" s="9">
        <v>341</v>
      </c>
      <c r="B342" s="10">
        <v>40558</v>
      </c>
      <c r="C342" s="9">
        <v>16</v>
      </c>
      <c r="D342" s="9" t="b">
        <v>0</v>
      </c>
      <c r="E342" s="9" t="str">
        <f t="shared" si="5"/>
        <v>Weekend</v>
      </c>
      <c r="F342" s="9">
        <v>2</v>
      </c>
      <c r="G342" s="9">
        <v>0.34</v>
      </c>
      <c r="H342" s="9">
        <v>0.33329999999999999</v>
      </c>
      <c r="I342" s="9">
        <v>0.34</v>
      </c>
      <c r="J342" s="9">
        <v>0.19400000000000001</v>
      </c>
      <c r="K342" s="9">
        <v>33</v>
      </c>
      <c r="L342" s="9">
        <v>95</v>
      </c>
      <c r="M342" s="9">
        <v>128</v>
      </c>
    </row>
    <row r="343" spans="1:13">
      <c r="A343" s="9">
        <v>342</v>
      </c>
      <c r="B343" s="10">
        <v>40558</v>
      </c>
      <c r="C343" s="9">
        <v>17</v>
      </c>
      <c r="D343" s="9" t="b">
        <v>0</v>
      </c>
      <c r="E343" s="9" t="str">
        <f t="shared" si="5"/>
        <v>Weekend</v>
      </c>
      <c r="F343" s="9">
        <v>2</v>
      </c>
      <c r="G343" s="9">
        <v>0.32</v>
      </c>
      <c r="H343" s="9">
        <v>0.30299999999999999</v>
      </c>
      <c r="I343" s="9">
        <v>0.36</v>
      </c>
      <c r="J343" s="9">
        <v>0.28360000000000002</v>
      </c>
      <c r="K343" s="9">
        <v>29</v>
      </c>
      <c r="L343" s="9">
        <v>54</v>
      </c>
      <c r="M343" s="9">
        <v>83</v>
      </c>
    </row>
    <row r="344" spans="1:13">
      <c r="A344" s="9">
        <v>343</v>
      </c>
      <c r="B344" s="10">
        <v>40558</v>
      </c>
      <c r="C344" s="9">
        <v>18</v>
      </c>
      <c r="D344" s="9" t="b">
        <v>0</v>
      </c>
      <c r="E344" s="9" t="str">
        <f t="shared" si="5"/>
        <v>Weekend</v>
      </c>
      <c r="F344" s="9">
        <v>2</v>
      </c>
      <c r="G344" s="9">
        <v>0.3</v>
      </c>
      <c r="H344" s="9">
        <v>0.28789999999999999</v>
      </c>
      <c r="I344" s="9">
        <v>0.45</v>
      </c>
      <c r="J344" s="9">
        <v>0.25369999999999998</v>
      </c>
      <c r="K344" s="9">
        <v>15</v>
      </c>
      <c r="L344" s="9">
        <v>69</v>
      </c>
      <c r="M344" s="9">
        <v>84</v>
      </c>
    </row>
    <row r="345" spans="1:13">
      <c r="A345" s="9">
        <v>344</v>
      </c>
      <c r="B345" s="10">
        <v>40558</v>
      </c>
      <c r="C345" s="9">
        <v>19</v>
      </c>
      <c r="D345" s="9" t="b">
        <v>0</v>
      </c>
      <c r="E345" s="9" t="str">
        <f t="shared" si="5"/>
        <v>Weekend</v>
      </c>
      <c r="F345" s="9">
        <v>2</v>
      </c>
      <c r="G345" s="9">
        <v>0.32</v>
      </c>
      <c r="H345" s="9">
        <v>0.30299999999999999</v>
      </c>
      <c r="I345" s="9">
        <v>0.39</v>
      </c>
      <c r="J345" s="9">
        <v>0.25369999999999998</v>
      </c>
      <c r="K345" s="9">
        <v>14</v>
      </c>
      <c r="L345" s="9">
        <v>60</v>
      </c>
      <c r="M345" s="9">
        <v>74</v>
      </c>
    </row>
    <row r="346" spans="1:13">
      <c r="A346" s="9">
        <v>345</v>
      </c>
      <c r="B346" s="10">
        <v>40558</v>
      </c>
      <c r="C346" s="9">
        <v>20</v>
      </c>
      <c r="D346" s="9" t="b">
        <v>0</v>
      </c>
      <c r="E346" s="9" t="str">
        <f t="shared" si="5"/>
        <v>Weekend</v>
      </c>
      <c r="F346" s="9">
        <v>2</v>
      </c>
      <c r="G346" s="9">
        <v>0.32</v>
      </c>
      <c r="H346" s="9">
        <v>0.30299999999999999</v>
      </c>
      <c r="I346" s="9">
        <v>0.39</v>
      </c>
      <c r="J346" s="9">
        <v>0.25369999999999998</v>
      </c>
      <c r="K346" s="9">
        <v>6</v>
      </c>
      <c r="L346" s="9">
        <v>35</v>
      </c>
      <c r="M346" s="9">
        <v>41</v>
      </c>
    </row>
    <row r="347" spans="1:13">
      <c r="A347" s="9">
        <v>346</v>
      </c>
      <c r="B347" s="10">
        <v>40558</v>
      </c>
      <c r="C347" s="9">
        <v>21</v>
      </c>
      <c r="D347" s="9" t="b">
        <v>0</v>
      </c>
      <c r="E347" s="9" t="str">
        <f t="shared" si="5"/>
        <v>Weekend</v>
      </c>
      <c r="F347" s="9">
        <v>2</v>
      </c>
      <c r="G347" s="9">
        <v>0.32</v>
      </c>
      <c r="H347" s="9">
        <v>0.30299999999999999</v>
      </c>
      <c r="I347" s="9">
        <v>0.39</v>
      </c>
      <c r="J347" s="9">
        <v>0.22389999999999999</v>
      </c>
      <c r="K347" s="9">
        <v>6</v>
      </c>
      <c r="L347" s="9">
        <v>51</v>
      </c>
      <c r="M347" s="9">
        <v>57</v>
      </c>
    </row>
    <row r="348" spans="1:13">
      <c r="A348" s="9">
        <v>347</v>
      </c>
      <c r="B348" s="10">
        <v>40558</v>
      </c>
      <c r="C348" s="9">
        <v>22</v>
      </c>
      <c r="D348" s="9" t="b">
        <v>0</v>
      </c>
      <c r="E348" s="9" t="str">
        <f t="shared" si="5"/>
        <v>Weekend</v>
      </c>
      <c r="F348" s="9">
        <v>2</v>
      </c>
      <c r="G348" s="9">
        <v>0.3</v>
      </c>
      <c r="H348" s="9">
        <v>0.31819999999999998</v>
      </c>
      <c r="I348" s="9">
        <v>0.42</v>
      </c>
      <c r="J348" s="9">
        <v>0.1045</v>
      </c>
      <c r="K348" s="9">
        <v>0</v>
      </c>
      <c r="L348" s="9">
        <v>26</v>
      </c>
      <c r="M348" s="9">
        <v>26</v>
      </c>
    </row>
    <row r="349" spans="1:13">
      <c r="A349" s="9">
        <v>348</v>
      </c>
      <c r="B349" s="10">
        <v>40558</v>
      </c>
      <c r="C349" s="9">
        <v>23</v>
      </c>
      <c r="D349" s="9" t="b">
        <v>0</v>
      </c>
      <c r="E349" s="9" t="str">
        <f t="shared" si="5"/>
        <v>Weekend</v>
      </c>
      <c r="F349" s="9">
        <v>1</v>
      </c>
      <c r="G349" s="9">
        <v>0.3</v>
      </c>
      <c r="H349" s="9">
        <v>0.28789999999999999</v>
      </c>
      <c r="I349" s="9">
        <v>0.45</v>
      </c>
      <c r="J349" s="9">
        <v>0.28360000000000002</v>
      </c>
      <c r="K349" s="9">
        <v>5</v>
      </c>
      <c r="L349" s="9">
        <v>39</v>
      </c>
      <c r="M349" s="9">
        <v>44</v>
      </c>
    </row>
    <row r="350" spans="1:13">
      <c r="A350" s="9">
        <v>349</v>
      </c>
      <c r="B350" s="10">
        <v>40559</v>
      </c>
      <c r="C350" s="9">
        <v>0</v>
      </c>
      <c r="D350" s="9" t="b">
        <v>0</v>
      </c>
      <c r="E350" s="9" t="str">
        <f t="shared" si="5"/>
        <v>Weekend</v>
      </c>
      <c r="F350" s="9">
        <v>1</v>
      </c>
      <c r="G350" s="9">
        <v>0.26</v>
      </c>
      <c r="H350" s="9">
        <v>0.30299999999999999</v>
      </c>
      <c r="I350" s="9">
        <v>0.56000000000000005</v>
      </c>
      <c r="J350" s="9">
        <v>0</v>
      </c>
      <c r="K350" s="9">
        <v>6</v>
      </c>
      <c r="L350" s="9">
        <v>33</v>
      </c>
      <c r="M350" s="9">
        <v>39</v>
      </c>
    </row>
    <row r="351" spans="1:13">
      <c r="A351" s="9">
        <v>350</v>
      </c>
      <c r="B351" s="10">
        <v>40559</v>
      </c>
      <c r="C351" s="9">
        <v>1</v>
      </c>
      <c r="D351" s="9" t="b">
        <v>0</v>
      </c>
      <c r="E351" s="9" t="str">
        <f t="shared" si="5"/>
        <v>Weekend</v>
      </c>
      <c r="F351" s="9">
        <v>1</v>
      </c>
      <c r="G351" s="9">
        <v>0.26</v>
      </c>
      <c r="H351" s="9">
        <v>0.2727</v>
      </c>
      <c r="I351" s="9">
        <v>0.56000000000000005</v>
      </c>
      <c r="J351" s="9">
        <v>0.1343</v>
      </c>
      <c r="K351" s="9">
        <v>4</v>
      </c>
      <c r="L351" s="9">
        <v>19</v>
      </c>
      <c r="M351" s="9">
        <v>23</v>
      </c>
    </row>
    <row r="352" spans="1:13">
      <c r="A352" s="9">
        <v>351</v>
      </c>
      <c r="B352" s="10">
        <v>40559</v>
      </c>
      <c r="C352" s="9">
        <v>2</v>
      </c>
      <c r="D352" s="9" t="b">
        <v>0</v>
      </c>
      <c r="E352" s="9" t="str">
        <f t="shared" si="5"/>
        <v>Weekend</v>
      </c>
      <c r="F352" s="9">
        <v>1</v>
      </c>
      <c r="G352" s="9">
        <v>0.26</v>
      </c>
      <c r="H352" s="9">
        <v>0.28789999999999999</v>
      </c>
      <c r="I352" s="9">
        <v>0.56000000000000005</v>
      </c>
      <c r="J352" s="9">
        <v>8.9599999999999999E-2</v>
      </c>
      <c r="K352" s="9">
        <v>3</v>
      </c>
      <c r="L352" s="9">
        <v>13</v>
      </c>
      <c r="M352" s="9">
        <v>16</v>
      </c>
    </row>
    <row r="353" spans="1:13">
      <c r="A353" s="9">
        <v>352</v>
      </c>
      <c r="B353" s="10">
        <v>40559</v>
      </c>
      <c r="C353" s="9">
        <v>3</v>
      </c>
      <c r="D353" s="9" t="b">
        <v>0</v>
      </c>
      <c r="E353" s="9" t="str">
        <f t="shared" si="5"/>
        <v>Weekend</v>
      </c>
      <c r="F353" s="9">
        <v>1</v>
      </c>
      <c r="G353" s="9">
        <v>0.22</v>
      </c>
      <c r="H353" s="9">
        <v>0.2727</v>
      </c>
      <c r="I353" s="9">
        <v>0.69</v>
      </c>
      <c r="J353" s="9">
        <v>0</v>
      </c>
      <c r="K353" s="9">
        <v>9</v>
      </c>
      <c r="L353" s="9">
        <v>6</v>
      </c>
      <c r="M353" s="9">
        <v>15</v>
      </c>
    </row>
    <row r="354" spans="1:13">
      <c r="A354" s="9">
        <v>353</v>
      </c>
      <c r="B354" s="10">
        <v>40559</v>
      </c>
      <c r="C354" s="9">
        <v>4</v>
      </c>
      <c r="D354" s="9" t="b">
        <v>0</v>
      </c>
      <c r="E354" s="9" t="str">
        <f t="shared" si="5"/>
        <v>Weekend</v>
      </c>
      <c r="F354" s="9">
        <v>1</v>
      </c>
      <c r="G354" s="9">
        <v>0.26</v>
      </c>
      <c r="H354" s="9">
        <v>0.2576</v>
      </c>
      <c r="I354" s="9">
        <v>0.56000000000000005</v>
      </c>
      <c r="J354" s="9">
        <v>0.16420000000000001</v>
      </c>
      <c r="K354" s="9">
        <v>0</v>
      </c>
      <c r="L354" s="9">
        <v>1</v>
      </c>
      <c r="M354" s="9">
        <v>1</v>
      </c>
    </row>
    <row r="355" spans="1:13">
      <c r="A355" s="9">
        <v>354</v>
      </c>
      <c r="B355" s="10">
        <v>40559</v>
      </c>
      <c r="C355" s="9">
        <v>5</v>
      </c>
      <c r="D355" s="9" t="b">
        <v>0</v>
      </c>
      <c r="E355" s="9" t="str">
        <f t="shared" si="5"/>
        <v>Weekend</v>
      </c>
      <c r="F355" s="9">
        <v>2</v>
      </c>
      <c r="G355" s="9">
        <v>0.26</v>
      </c>
      <c r="H355" s="9">
        <v>0.2576</v>
      </c>
      <c r="I355" s="9">
        <v>0.56000000000000005</v>
      </c>
      <c r="J355" s="9">
        <v>0.16420000000000001</v>
      </c>
      <c r="K355" s="9">
        <v>1</v>
      </c>
      <c r="L355" s="9">
        <v>1</v>
      </c>
      <c r="M355" s="9">
        <v>2</v>
      </c>
    </row>
    <row r="356" spans="1:13">
      <c r="A356" s="9">
        <v>355</v>
      </c>
      <c r="B356" s="10">
        <v>40559</v>
      </c>
      <c r="C356" s="9">
        <v>6</v>
      </c>
      <c r="D356" s="9" t="b">
        <v>0</v>
      </c>
      <c r="E356" s="9" t="str">
        <f t="shared" si="5"/>
        <v>Weekend</v>
      </c>
      <c r="F356" s="9">
        <v>2</v>
      </c>
      <c r="G356" s="9">
        <v>0.26</v>
      </c>
      <c r="H356" s="9">
        <v>0.2576</v>
      </c>
      <c r="I356" s="9">
        <v>0.56000000000000005</v>
      </c>
      <c r="J356" s="9">
        <v>0.16420000000000001</v>
      </c>
      <c r="K356" s="9">
        <v>0</v>
      </c>
      <c r="L356" s="9">
        <v>1</v>
      </c>
      <c r="M356" s="9">
        <v>1</v>
      </c>
    </row>
    <row r="357" spans="1:13">
      <c r="A357" s="9">
        <v>356</v>
      </c>
      <c r="B357" s="10">
        <v>40559</v>
      </c>
      <c r="C357" s="9">
        <v>7</v>
      </c>
      <c r="D357" s="9" t="b">
        <v>0</v>
      </c>
      <c r="E357" s="9" t="str">
        <f t="shared" si="5"/>
        <v>Weekend</v>
      </c>
      <c r="F357" s="9">
        <v>2</v>
      </c>
      <c r="G357" s="9">
        <v>0.24</v>
      </c>
      <c r="H357" s="9">
        <v>0.21210000000000001</v>
      </c>
      <c r="I357" s="9">
        <v>0.56000000000000005</v>
      </c>
      <c r="J357" s="9">
        <v>0.29849999999999999</v>
      </c>
      <c r="K357" s="9">
        <v>0</v>
      </c>
      <c r="L357" s="9">
        <v>3</v>
      </c>
      <c r="M357" s="9">
        <v>3</v>
      </c>
    </row>
    <row r="358" spans="1:13">
      <c r="A358" s="9">
        <v>357</v>
      </c>
      <c r="B358" s="10">
        <v>40559</v>
      </c>
      <c r="C358" s="9">
        <v>8</v>
      </c>
      <c r="D358" s="9" t="b">
        <v>0</v>
      </c>
      <c r="E358" s="9" t="str">
        <f t="shared" si="5"/>
        <v>Weekend</v>
      </c>
      <c r="F358" s="9">
        <v>1</v>
      </c>
      <c r="G358" s="9">
        <v>0.22</v>
      </c>
      <c r="H358" s="9">
        <v>0.21210000000000001</v>
      </c>
      <c r="I358" s="9">
        <v>0.55000000000000004</v>
      </c>
      <c r="J358" s="9">
        <v>0.28360000000000002</v>
      </c>
      <c r="K358" s="9">
        <v>0</v>
      </c>
      <c r="L358" s="9">
        <v>18</v>
      </c>
      <c r="M358" s="9">
        <v>18</v>
      </c>
    </row>
    <row r="359" spans="1:13">
      <c r="A359" s="9">
        <v>358</v>
      </c>
      <c r="B359" s="10">
        <v>40559</v>
      </c>
      <c r="C359" s="9">
        <v>9</v>
      </c>
      <c r="D359" s="9" t="b">
        <v>0</v>
      </c>
      <c r="E359" s="9" t="str">
        <f t="shared" si="5"/>
        <v>Weekend</v>
      </c>
      <c r="F359" s="9">
        <v>1</v>
      </c>
      <c r="G359" s="9">
        <v>0.22</v>
      </c>
      <c r="H359" s="9">
        <v>0.21210000000000001</v>
      </c>
      <c r="I359" s="9">
        <v>0.51</v>
      </c>
      <c r="J359" s="9">
        <v>0.25369999999999998</v>
      </c>
      <c r="K359" s="9">
        <v>3</v>
      </c>
      <c r="L359" s="9">
        <v>29</v>
      </c>
      <c r="M359" s="9">
        <v>32</v>
      </c>
    </row>
    <row r="360" spans="1:13">
      <c r="A360" s="9">
        <v>359</v>
      </c>
      <c r="B360" s="10">
        <v>40559</v>
      </c>
      <c r="C360" s="9">
        <v>10</v>
      </c>
      <c r="D360" s="9" t="b">
        <v>0</v>
      </c>
      <c r="E360" s="9" t="str">
        <f t="shared" si="5"/>
        <v>Weekend</v>
      </c>
      <c r="F360" s="9">
        <v>1</v>
      </c>
      <c r="G360" s="9">
        <v>0.22</v>
      </c>
      <c r="H360" s="9">
        <v>0.21210000000000001</v>
      </c>
      <c r="I360" s="9">
        <v>0.51</v>
      </c>
      <c r="J360" s="9">
        <v>0.28360000000000002</v>
      </c>
      <c r="K360" s="9">
        <v>8</v>
      </c>
      <c r="L360" s="9">
        <v>71</v>
      </c>
      <c r="M360" s="9">
        <v>79</v>
      </c>
    </row>
    <row r="361" spans="1:13">
      <c r="A361" s="9">
        <v>360</v>
      </c>
      <c r="B361" s="10">
        <v>40559</v>
      </c>
      <c r="C361" s="9">
        <v>11</v>
      </c>
      <c r="D361" s="9" t="b">
        <v>0</v>
      </c>
      <c r="E361" s="9" t="str">
        <f t="shared" si="5"/>
        <v>Weekend</v>
      </c>
      <c r="F361" s="9">
        <v>1</v>
      </c>
      <c r="G361" s="9">
        <v>0.24</v>
      </c>
      <c r="H361" s="9">
        <v>0.2273</v>
      </c>
      <c r="I361" s="9">
        <v>0.44</v>
      </c>
      <c r="J361" s="9">
        <v>0.25369999999999998</v>
      </c>
      <c r="K361" s="9">
        <v>23</v>
      </c>
      <c r="L361" s="9">
        <v>70</v>
      </c>
      <c r="M361" s="9">
        <v>93</v>
      </c>
    </row>
    <row r="362" spans="1:13">
      <c r="A362" s="9">
        <v>361</v>
      </c>
      <c r="B362" s="10">
        <v>40559</v>
      </c>
      <c r="C362" s="9">
        <v>12</v>
      </c>
      <c r="D362" s="9" t="b">
        <v>0</v>
      </c>
      <c r="E362" s="9" t="str">
        <f t="shared" si="5"/>
        <v>Weekend</v>
      </c>
      <c r="F362" s="9">
        <v>1</v>
      </c>
      <c r="G362" s="9">
        <v>0.24</v>
      </c>
      <c r="H362" s="9">
        <v>0.21210000000000001</v>
      </c>
      <c r="I362" s="9">
        <v>0.41</v>
      </c>
      <c r="J362" s="9">
        <v>0.28360000000000002</v>
      </c>
      <c r="K362" s="9">
        <v>29</v>
      </c>
      <c r="L362" s="9">
        <v>75</v>
      </c>
      <c r="M362" s="9">
        <v>104</v>
      </c>
    </row>
    <row r="363" spans="1:13">
      <c r="A363" s="9">
        <v>362</v>
      </c>
      <c r="B363" s="10">
        <v>40559</v>
      </c>
      <c r="C363" s="9">
        <v>13</v>
      </c>
      <c r="D363" s="9" t="b">
        <v>0</v>
      </c>
      <c r="E363" s="9" t="str">
        <f t="shared" si="5"/>
        <v>Weekend</v>
      </c>
      <c r="F363" s="9">
        <v>1</v>
      </c>
      <c r="G363" s="9">
        <v>0.26</v>
      </c>
      <c r="H363" s="9">
        <v>0.2273</v>
      </c>
      <c r="I363" s="9">
        <v>0.35</v>
      </c>
      <c r="J363" s="9">
        <v>0.29849999999999999</v>
      </c>
      <c r="K363" s="9">
        <v>23</v>
      </c>
      <c r="L363" s="9">
        <v>95</v>
      </c>
      <c r="M363" s="9">
        <v>118</v>
      </c>
    </row>
    <row r="364" spans="1:13">
      <c r="A364" s="9">
        <v>363</v>
      </c>
      <c r="B364" s="10">
        <v>40559</v>
      </c>
      <c r="C364" s="9">
        <v>14</v>
      </c>
      <c r="D364" s="9" t="b">
        <v>0</v>
      </c>
      <c r="E364" s="9" t="str">
        <f t="shared" si="5"/>
        <v>Weekend</v>
      </c>
      <c r="F364" s="9">
        <v>1</v>
      </c>
      <c r="G364" s="9">
        <v>0.28000000000000003</v>
      </c>
      <c r="H364" s="9">
        <v>0.2727</v>
      </c>
      <c r="I364" s="9">
        <v>0.36</v>
      </c>
      <c r="J364" s="9">
        <v>0.25369999999999998</v>
      </c>
      <c r="K364" s="9">
        <v>22</v>
      </c>
      <c r="L364" s="9">
        <v>69</v>
      </c>
      <c r="M364" s="9">
        <v>91</v>
      </c>
    </row>
    <row r="365" spans="1:13">
      <c r="A365" s="9">
        <v>364</v>
      </c>
      <c r="B365" s="10">
        <v>40559</v>
      </c>
      <c r="C365" s="9">
        <v>15</v>
      </c>
      <c r="D365" s="9" t="b">
        <v>0</v>
      </c>
      <c r="E365" s="9" t="str">
        <f t="shared" si="5"/>
        <v>Weekend</v>
      </c>
      <c r="F365" s="9">
        <v>1</v>
      </c>
      <c r="G365" s="9">
        <v>0.26</v>
      </c>
      <c r="H365" s="9">
        <v>0.2424</v>
      </c>
      <c r="I365" s="9">
        <v>0.38</v>
      </c>
      <c r="J365" s="9">
        <v>0.25369999999999998</v>
      </c>
      <c r="K365" s="9">
        <v>35</v>
      </c>
      <c r="L365" s="9">
        <v>78</v>
      </c>
      <c r="M365" s="9">
        <v>113</v>
      </c>
    </row>
    <row r="366" spans="1:13">
      <c r="A366" s="9">
        <v>365</v>
      </c>
      <c r="B366" s="10">
        <v>40559</v>
      </c>
      <c r="C366" s="9">
        <v>16</v>
      </c>
      <c r="D366" s="9" t="b">
        <v>0</v>
      </c>
      <c r="E366" s="9" t="str">
        <f t="shared" si="5"/>
        <v>Weekend</v>
      </c>
      <c r="F366" s="9">
        <v>1</v>
      </c>
      <c r="G366" s="9">
        <v>0.24</v>
      </c>
      <c r="H366" s="9">
        <v>0.2273</v>
      </c>
      <c r="I366" s="9">
        <v>0.38</v>
      </c>
      <c r="J366" s="9">
        <v>0.22389999999999999</v>
      </c>
      <c r="K366" s="9">
        <v>22</v>
      </c>
      <c r="L366" s="9">
        <v>77</v>
      </c>
      <c r="M366" s="9">
        <v>99</v>
      </c>
    </row>
    <row r="367" spans="1:13">
      <c r="A367" s="9">
        <v>366</v>
      </c>
      <c r="B367" s="10">
        <v>40559</v>
      </c>
      <c r="C367" s="9">
        <v>17</v>
      </c>
      <c r="D367" s="9" t="b">
        <v>0</v>
      </c>
      <c r="E367" s="9" t="str">
        <f t="shared" si="5"/>
        <v>Weekend</v>
      </c>
      <c r="F367" s="9">
        <v>1</v>
      </c>
      <c r="G367" s="9">
        <v>0.22</v>
      </c>
      <c r="H367" s="9">
        <v>0.21210000000000001</v>
      </c>
      <c r="I367" s="9">
        <v>0.37</v>
      </c>
      <c r="J367" s="9">
        <v>0.25369999999999998</v>
      </c>
      <c r="K367" s="9">
        <v>23</v>
      </c>
      <c r="L367" s="9">
        <v>82</v>
      </c>
      <c r="M367" s="9">
        <v>105</v>
      </c>
    </row>
    <row r="368" spans="1:13">
      <c r="A368" s="9">
        <v>367</v>
      </c>
      <c r="B368" s="10">
        <v>40559</v>
      </c>
      <c r="C368" s="9">
        <v>18</v>
      </c>
      <c r="D368" s="9" t="b">
        <v>0</v>
      </c>
      <c r="E368" s="9" t="str">
        <f t="shared" si="5"/>
        <v>Weekend</v>
      </c>
      <c r="F368" s="9">
        <v>1</v>
      </c>
      <c r="G368" s="9">
        <v>0.2</v>
      </c>
      <c r="H368" s="9">
        <v>0.21210000000000001</v>
      </c>
      <c r="I368" s="9">
        <v>0.4</v>
      </c>
      <c r="J368" s="9">
        <v>0.16420000000000001</v>
      </c>
      <c r="K368" s="9">
        <v>11</v>
      </c>
      <c r="L368" s="9">
        <v>56</v>
      </c>
      <c r="M368" s="9">
        <v>67</v>
      </c>
    </row>
    <row r="369" spans="1:13">
      <c r="A369" s="9">
        <v>368</v>
      </c>
      <c r="B369" s="10">
        <v>40559</v>
      </c>
      <c r="C369" s="9">
        <v>19</v>
      </c>
      <c r="D369" s="9" t="b">
        <v>0</v>
      </c>
      <c r="E369" s="9" t="str">
        <f t="shared" si="5"/>
        <v>Weekend</v>
      </c>
      <c r="F369" s="9">
        <v>1</v>
      </c>
      <c r="G369" s="9">
        <v>0.18</v>
      </c>
      <c r="H369" s="9">
        <v>0.19700000000000001</v>
      </c>
      <c r="I369" s="9">
        <v>0.47</v>
      </c>
      <c r="J369" s="9">
        <v>0.1343</v>
      </c>
      <c r="K369" s="9">
        <v>14</v>
      </c>
      <c r="L369" s="9">
        <v>47</v>
      </c>
      <c r="M369" s="9">
        <v>61</v>
      </c>
    </row>
    <row r="370" spans="1:13">
      <c r="A370" s="9">
        <v>369</v>
      </c>
      <c r="B370" s="10">
        <v>40559</v>
      </c>
      <c r="C370" s="9">
        <v>20</v>
      </c>
      <c r="D370" s="9" t="b">
        <v>0</v>
      </c>
      <c r="E370" s="9" t="str">
        <f t="shared" si="5"/>
        <v>Weekend</v>
      </c>
      <c r="F370" s="9">
        <v>1</v>
      </c>
      <c r="G370" s="9">
        <v>0.18</v>
      </c>
      <c r="H370" s="9">
        <v>0.19700000000000001</v>
      </c>
      <c r="I370" s="9">
        <v>0.47</v>
      </c>
      <c r="J370" s="9">
        <v>0.16420000000000001</v>
      </c>
      <c r="K370" s="9">
        <v>7</v>
      </c>
      <c r="L370" s="9">
        <v>50</v>
      </c>
      <c r="M370" s="9">
        <v>57</v>
      </c>
    </row>
    <row r="371" spans="1:13">
      <c r="A371" s="9">
        <v>370</v>
      </c>
      <c r="B371" s="10">
        <v>40559</v>
      </c>
      <c r="C371" s="9">
        <v>21</v>
      </c>
      <c r="D371" s="9" t="b">
        <v>0</v>
      </c>
      <c r="E371" s="9" t="str">
        <f t="shared" si="5"/>
        <v>Weekend</v>
      </c>
      <c r="F371" s="9">
        <v>1</v>
      </c>
      <c r="G371" s="9">
        <v>0.18</v>
      </c>
      <c r="H371" s="9">
        <v>0.19700000000000001</v>
      </c>
      <c r="I371" s="9">
        <v>0.51</v>
      </c>
      <c r="J371" s="9">
        <v>0.16420000000000001</v>
      </c>
      <c r="K371" s="9">
        <v>6</v>
      </c>
      <c r="L371" s="9">
        <v>22</v>
      </c>
      <c r="M371" s="9">
        <v>28</v>
      </c>
    </row>
    <row r="372" spans="1:13">
      <c r="A372" s="9">
        <v>371</v>
      </c>
      <c r="B372" s="10">
        <v>40559</v>
      </c>
      <c r="C372" s="9">
        <v>22</v>
      </c>
      <c r="D372" s="9" t="b">
        <v>0</v>
      </c>
      <c r="E372" s="9" t="str">
        <f t="shared" si="5"/>
        <v>Weekend</v>
      </c>
      <c r="F372" s="9">
        <v>2</v>
      </c>
      <c r="G372" s="9">
        <v>0.2</v>
      </c>
      <c r="H372" s="9">
        <v>0.21210000000000001</v>
      </c>
      <c r="I372" s="9">
        <v>0.49</v>
      </c>
      <c r="J372" s="9">
        <v>0.1343</v>
      </c>
      <c r="K372" s="9">
        <v>2</v>
      </c>
      <c r="L372" s="9">
        <v>19</v>
      </c>
      <c r="M372" s="9">
        <v>21</v>
      </c>
    </row>
    <row r="373" spans="1:13">
      <c r="A373" s="9">
        <v>372</v>
      </c>
      <c r="B373" s="10">
        <v>40559</v>
      </c>
      <c r="C373" s="9">
        <v>23</v>
      </c>
      <c r="D373" s="9" t="b">
        <v>0</v>
      </c>
      <c r="E373" s="9" t="str">
        <f t="shared" si="5"/>
        <v>Weekend</v>
      </c>
      <c r="F373" s="9">
        <v>2</v>
      </c>
      <c r="G373" s="9">
        <v>0.2</v>
      </c>
      <c r="H373" s="9">
        <v>0.2273</v>
      </c>
      <c r="I373" s="9">
        <v>0.4</v>
      </c>
      <c r="J373" s="9">
        <v>0.1045</v>
      </c>
      <c r="K373" s="9">
        <v>0</v>
      </c>
      <c r="L373" s="9">
        <v>18</v>
      </c>
      <c r="M373" s="9">
        <v>18</v>
      </c>
    </row>
    <row r="374" spans="1:13">
      <c r="A374" s="9">
        <v>373</v>
      </c>
      <c r="B374" s="10">
        <v>40560</v>
      </c>
      <c r="C374" s="9">
        <v>0</v>
      </c>
      <c r="D374" s="9" t="b">
        <v>1</v>
      </c>
      <c r="E374" s="9" t="str">
        <f t="shared" si="5"/>
        <v>Weekday</v>
      </c>
      <c r="F374" s="9">
        <v>2</v>
      </c>
      <c r="G374" s="9">
        <v>0.2</v>
      </c>
      <c r="H374" s="9">
        <v>0.19700000000000001</v>
      </c>
      <c r="I374" s="9">
        <v>0.47</v>
      </c>
      <c r="J374" s="9">
        <v>0.22389999999999999</v>
      </c>
      <c r="K374" s="9">
        <v>1</v>
      </c>
      <c r="L374" s="9">
        <v>16</v>
      </c>
      <c r="M374" s="9">
        <v>17</v>
      </c>
    </row>
    <row r="375" spans="1:13">
      <c r="A375" s="9">
        <v>374</v>
      </c>
      <c r="B375" s="10">
        <v>40560</v>
      </c>
      <c r="C375" s="9">
        <v>1</v>
      </c>
      <c r="D375" s="9" t="b">
        <v>1</v>
      </c>
      <c r="E375" s="9" t="str">
        <f t="shared" si="5"/>
        <v>Weekday</v>
      </c>
      <c r="F375" s="9">
        <v>2</v>
      </c>
      <c r="G375" s="9">
        <v>0.2</v>
      </c>
      <c r="H375" s="9">
        <v>0.19700000000000001</v>
      </c>
      <c r="I375" s="9">
        <v>0.44</v>
      </c>
      <c r="J375" s="9">
        <v>0.19400000000000001</v>
      </c>
      <c r="K375" s="9">
        <v>1</v>
      </c>
      <c r="L375" s="9">
        <v>15</v>
      </c>
      <c r="M375" s="9">
        <v>16</v>
      </c>
    </row>
    <row r="376" spans="1:13">
      <c r="A376" s="9">
        <v>375</v>
      </c>
      <c r="B376" s="10">
        <v>40560</v>
      </c>
      <c r="C376" s="9">
        <v>2</v>
      </c>
      <c r="D376" s="9" t="b">
        <v>1</v>
      </c>
      <c r="E376" s="9" t="str">
        <f t="shared" si="5"/>
        <v>Weekday</v>
      </c>
      <c r="F376" s="9">
        <v>2</v>
      </c>
      <c r="G376" s="9">
        <v>0.18</v>
      </c>
      <c r="H376" s="9">
        <v>0.16669999999999999</v>
      </c>
      <c r="I376" s="9">
        <v>0.43</v>
      </c>
      <c r="J376" s="9">
        <v>0.25369999999999998</v>
      </c>
      <c r="K376" s="9">
        <v>0</v>
      </c>
      <c r="L376" s="9">
        <v>8</v>
      </c>
      <c r="M376" s="9">
        <v>8</v>
      </c>
    </row>
    <row r="377" spans="1:13">
      <c r="A377" s="9">
        <v>376</v>
      </c>
      <c r="B377" s="10">
        <v>40560</v>
      </c>
      <c r="C377" s="9">
        <v>3</v>
      </c>
      <c r="D377" s="9" t="b">
        <v>1</v>
      </c>
      <c r="E377" s="9" t="str">
        <f t="shared" si="5"/>
        <v>Weekday</v>
      </c>
      <c r="F377" s="9">
        <v>2</v>
      </c>
      <c r="G377" s="9">
        <v>0.18</v>
      </c>
      <c r="H377" s="9">
        <v>0.18179999999999999</v>
      </c>
      <c r="I377" s="9">
        <v>0.43</v>
      </c>
      <c r="J377" s="9">
        <v>0.19400000000000001</v>
      </c>
      <c r="K377" s="9">
        <v>0</v>
      </c>
      <c r="L377" s="9">
        <v>2</v>
      </c>
      <c r="M377" s="9">
        <v>2</v>
      </c>
    </row>
    <row r="378" spans="1:13">
      <c r="A378" s="9">
        <v>377</v>
      </c>
      <c r="B378" s="10">
        <v>40560</v>
      </c>
      <c r="C378" s="9">
        <v>4</v>
      </c>
      <c r="D378" s="9" t="b">
        <v>1</v>
      </c>
      <c r="E378" s="9" t="str">
        <f t="shared" si="5"/>
        <v>Weekday</v>
      </c>
      <c r="F378" s="9">
        <v>2</v>
      </c>
      <c r="G378" s="9">
        <v>0.18</v>
      </c>
      <c r="H378" s="9">
        <v>0.19700000000000001</v>
      </c>
      <c r="I378" s="9">
        <v>0.43</v>
      </c>
      <c r="J378" s="9">
        <v>0.1343</v>
      </c>
      <c r="K378" s="9">
        <v>1</v>
      </c>
      <c r="L378" s="9">
        <v>2</v>
      </c>
      <c r="M378" s="9">
        <v>3</v>
      </c>
    </row>
    <row r="379" spans="1:13">
      <c r="A379" s="9">
        <v>378</v>
      </c>
      <c r="B379" s="10">
        <v>40560</v>
      </c>
      <c r="C379" s="9">
        <v>5</v>
      </c>
      <c r="D379" s="9" t="b">
        <v>1</v>
      </c>
      <c r="E379" s="9" t="str">
        <f t="shared" si="5"/>
        <v>Weekday</v>
      </c>
      <c r="F379" s="9">
        <v>2</v>
      </c>
      <c r="G379" s="9">
        <v>0.18</v>
      </c>
      <c r="H379" s="9">
        <v>0.19700000000000001</v>
      </c>
      <c r="I379" s="9">
        <v>0.43</v>
      </c>
      <c r="J379" s="9">
        <v>0.16420000000000001</v>
      </c>
      <c r="K379" s="9">
        <v>0</v>
      </c>
      <c r="L379" s="9">
        <v>1</v>
      </c>
      <c r="M379" s="9">
        <v>1</v>
      </c>
    </row>
    <row r="380" spans="1:13">
      <c r="A380" s="9">
        <v>379</v>
      </c>
      <c r="B380" s="10">
        <v>40560</v>
      </c>
      <c r="C380" s="9">
        <v>6</v>
      </c>
      <c r="D380" s="9" t="b">
        <v>1</v>
      </c>
      <c r="E380" s="9" t="str">
        <f t="shared" si="5"/>
        <v>Weekday</v>
      </c>
      <c r="F380" s="9">
        <v>2</v>
      </c>
      <c r="G380" s="9">
        <v>0.18</v>
      </c>
      <c r="H380" s="9">
        <v>0.18179999999999999</v>
      </c>
      <c r="I380" s="9">
        <v>0.43</v>
      </c>
      <c r="J380" s="9">
        <v>0.19400000000000001</v>
      </c>
      <c r="K380" s="9">
        <v>0</v>
      </c>
      <c r="L380" s="9">
        <v>5</v>
      </c>
      <c r="M380" s="9">
        <v>5</v>
      </c>
    </row>
    <row r="381" spans="1:13">
      <c r="A381" s="9">
        <v>380</v>
      </c>
      <c r="B381" s="10">
        <v>40560</v>
      </c>
      <c r="C381" s="9">
        <v>7</v>
      </c>
      <c r="D381" s="9" t="b">
        <v>1</v>
      </c>
      <c r="E381" s="9" t="str">
        <f t="shared" si="5"/>
        <v>Weekday</v>
      </c>
      <c r="F381" s="9">
        <v>2</v>
      </c>
      <c r="G381" s="9">
        <v>0.16</v>
      </c>
      <c r="H381" s="9">
        <v>0.18179999999999999</v>
      </c>
      <c r="I381" s="9">
        <v>0.5</v>
      </c>
      <c r="J381" s="9">
        <v>0.1343</v>
      </c>
      <c r="K381" s="9">
        <v>4</v>
      </c>
      <c r="L381" s="9">
        <v>9</v>
      </c>
      <c r="M381" s="9">
        <v>13</v>
      </c>
    </row>
    <row r="382" spans="1:13">
      <c r="A382" s="9">
        <v>381</v>
      </c>
      <c r="B382" s="10">
        <v>40560</v>
      </c>
      <c r="C382" s="9">
        <v>8</v>
      </c>
      <c r="D382" s="9" t="b">
        <v>1</v>
      </c>
      <c r="E382" s="9" t="str">
        <f t="shared" si="5"/>
        <v>Weekday</v>
      </c>
      <c r="F382" s="9">
        <v>2</v>
      </c>
      <c r="G382" s="9">
        <v>0.16</v>
      </c>
      <c r="H382" s="9">
        <v>0.1515</v>
      </c>
      <c r="I382" s="9">
        <v>0.47</v>
      </c>
      <c r="J382" s="9">
        <v>0.22389999999999999</v>
      </c>
      <c r="K382" s="9">
        <v>3</v>
      </c>
      <c r="L382" s="9">
        <v>30</v>
      </c>
      <c r="M382" s="9">
        <v>33</v>
      </c>
    </row>
    <row r="383" spans="1:13">
      <c r="A383" s="9">
        <v>382</v>
      </c>
      <c r="B383" s="10">
        <v>40560</v>
      </c>
      <c r="C383" s="9">
        <v>9</v>
      </c>
      <c r="D383" s="9" t="b">
        <v>1</v>
      </c>
      <c r="E383" s="9" t="str">
        <f t="shared" si="5"/>
        <v>Weekday</v>
      </c>
      <c r="F383" s="9">
        <v>2</v>
      </c>
      <c r="G383" s="9">
        <v>0.16</v>
      </c>
      <c r="H383" s="9">
        <v>0.1515</v>
      </c>
      <c r="I383" s="9">
        <v>0.47</v>
      </c>
      <c r="J383" s="9">
        <v>0.22389999999999999</v>
      </c>
      <c r="K383" s="9">
        <v>8</v>
      </c>
      <c r="L383" s="9">
        <v>39</v>
      </c>
      <c r="M383" s="9">
        <v>47</v>
      </c>
    </row>
    <row r="384" spans="1:13">
      <c r="A384" s="9">
        <v>383</v>
      </c>
      <c r="B384" s="10">
        <v>40560</v>
      </c>
      <c r="C384" s="9">
        <v>10</v>
      </c>
      <c r="D384" s="9" t="b">
        <v>1</v>
      </c>
      <c r="E384" s="9" t="str">
        <f t="shared" si="5"/>
        <v>Weekday</v>
      </c>
      <c r="F384" s="9">
        <v>2</v>
      </c>
      <c r="G384" s="9">
        <v>0.16</v>
      </c>
      <c r="H384" s="9">
        <v>0.1515</v>
      </c>
      <c r="I384" s="9">
        <v>0.5</v>
      </c>
      <c r="J384" s="9">
        <v>0.25369999999999998</v>
      </c>
      <c r="K384" s="9">
        <v>7</v>
      </c>
      <c r="L384" s="9">
        <v>50</v>
      </c>
      <c r="M384" s="9">
        <v>57</v>
      </c>
    </row>
    <row r="385" spans="1:13">
      <c r="A385" s="9">
        <v>384</v>
      </c>
      <c r="B385" s="10">
        <v>40560</v>
      </c>
      <c r="C385" s="9">
        <v>11</v>
      </c>
      <c r="D385" s="9" t="b">
        <v>1</v>
      </c>
      <c r="E385" s="9" t="str">
        <f t="shared" si="5"/>
        <v>Weekday</v>
      </c>
      <c r="F385" s="9">
        <v>2</v>
      </c>
      <c r="G385" s="9">
        <v>0.16</v>
      </c>
      <c r="H385" s="9">
        <v>0.1515</v>
      </c>
      <c r="I385" s="9">
        <v>0.55000000000000004</v>
      </c>
      <c r="J385" s="9">
        <v>0.19400000000000001</v>
      </c>
      <c r="K385" s="9">
        <v>9</v>
      </c>
      <c r="L385" s="9">
        <v>55</v>
      </c>
      <c r="M385" s="9">
        <v>64</v>
      </c>
    </row>
    <row r="386" spans="1:13">
      <c r="A386" s="9">
        <v>385</v>
      </c>
      <c r="B386" s="10">
        <v>40560</v>
      </c>
      <c r="C386" s="9">
        <v>12</v>
      </c>
      <c r="D386" s="9" t="b">
        <v>1</v>
      </c>
      <c r="E386" s="9" t="str">
        <f t="shared" si="5"/>
        <v>Weekday</v>
      </c>
      <c r="F386" s="9">
        <v>2</v>
      </c>
      <c r="G386" s="9">
        <v>0.18</v>
      </c>
      <c r="H386" s="9">
        <v>0.19700000000000001</v>
      </c>
      <c r="I386" s="9">
        <v>0.47</v>
      </c>
      <c r="J386" s="9">
        <v>0.1343</v>
      </c>
      <c r="K386" s="9">
        <v>10</v>
      </c>
      <c r="L386" s="9">
        <v>70</v>
      </c>
      <c r="M386" s="9">
        <v>80</v>
      </c>
    </row>
    <row r="387" spans="1:13">
      <c r="A387" s="9">
        <v>386</v>
      </c>
      <c r="B387" s="10">
        <v>40560</v>
      </c>
      <c r="C387" s="9">
        <v>13</v>
      </c>
      <c r="D387" s="9" t="b">
        <v>1</v>
      </c>
      <c r="E387" s="9" t="str">
        <f t="shared" ref="E387:E450" si="6">IF(WEEKDAY(B387,2)&gt;=6,"Weekend","Weekday")</f>
        <v>Weekday</v>
      </c>
      <c r="F387" s="9">
        <v>2</v>
      </c>
      <c r="G387" s="9">
        <v>0.18</v>
      </c>
      <c r="H387" s="9">
        <v>0.19700000000000001</v>
      </c>
      <c r="I387" s="9">
        <v>0.47</v>
      </c>
      <c r="J387" s="9">
        <v>0.1343</v>
      </c>
      <c r="K387" s="9">
        <v>13</v>
      </c>
      <c r="L387" s="9">
        <v>80</v>
      </c>
      <c r="M387" s="9">
        <v>93</v>
      </c>
    </row>
    <row r="388" spans="1:13">
      <c r="A388" s="9">
        <v>387</v>
      </c>
      <c r="B388" s="10">
        <v>40560</v>
      </c>
      <c r="C388" s="9">
        <v>14</v>
      </c>
      <c r="D388" s="9" t="b">
        <v>1</v>
      </c>
      <c r="E388" s="9" t="str">
        <f t="shared" si="6"/>
        <v>Weekday</v>
      </c>
      <c r="F388" s="9">
        <v>2</v>
      </c>
      <c r="G388" s="9">
        <v>0.18</v>
      </c>
      <c r="H388" s="9">
        <v>0.21210000000000001</v>
      </c>
      <c r="I388" s="9">
        <v>0.43</v>
      </c>
      <c r="J388" s="9">
        <v>0.1045</v>
      </c>
      <c r="K388" s="9">
        <v>12</v>
      </c>
      <c r="L388" s="9">
        <v>74</v>
      </c>
      <c r="M388" s="9">
        <v>86</v>
      </c>
    </row>
    <row r="389" spans="1:13">
      <c r="A389" s="9">
        <v>388</v>
      </c>
      <c r="B389" s="10">
        <v>40560</v>
      </c>
      <c r="C389" s="9">
        <v>15</v>
      </c>
      <c r="D389" s="9" t="b">
        <v>1</v>
      </c>
      <c r="E389" s="9" t="str">
        <f t="shared" si="6"/>
        <v>Weekday</v>
      </c>
      <c r="F389" s="9">
        <v>2</v>
      </c>
      <c r="G389" s="9">
        <v>0.2</v>
      </c>
      <c r="H389" s="9">
        <v>0.21210000000000001</v>
      </c>
      <c r="I389" s="9">
        <v>0.47</v>
      </c>
      <c r="J389" s="9">
        <v>0.16420000000000001</v>
      </c>
      <c r="K389" s="9">
        <v>21</v>
      </c>
      <c r="L389" s="9">
        <v>72</v>
      </c>
      <c r="M389" s="9">
        <v>93</v>
      </c>
    </row>
    <row r="390" spans="1:13">
      <c r="A390" s="9">
        <v>389</v>
      </c>
      <c r="B390" s="10">
        <v>40560</v>
      </c>
      <c r="C390" s="9">
        <v>16</v>
      </c>
      <c r="D390" s="9" t="b">
        <v>1</v>
      </c>
      <c r="E390" s="9" t="str">
        <f t="shared" si="6"/>
        <v>Weekday</v>
      </c>
      <c r="F390" s="9">
        <v>2</v>
      </c>
      <c r="G390" s="9">
        <v>0.2</v>
      </c>
      <c r="H390" s="9">
        <v>0.21210000000000001</v>
      </c>
      <c r="I390" s="9">
        <v>0.47</v>
      </c>
      <c r="J390" s="9">
        <v>0.16420000000000001</v>
      </c>
      <c r="K390" s="9">
        <v>6</v>
      </c>
      <c r="L390" s="9">
        <v>76</v>
      </c>
      <c r="M390" s="9">
        <v>82</v>
      </c>
    </row>
    <row r="391" spans="1:13">
      <c r="A391" s="9">
        <v>390</v>
      </c>
      <c r="B391" s="10">
        <v>40560</v>
      </c>
      <c r="C391" s="9">
        <v>17</v>
      </c>
      <c r="D391" s="9" t="b">
        <v>1</v>
      </c>
      <c r="E391" s="9" t="str">
        <f t="shared" si="6"/>
        <v>Weekday</v>
      </c>
      <c r="F391" s="9">
        <v>1</v>
      </c>
      <c r="G391" s="9">
        <v>0.2</v>
      </c>
      <c r="H391" s="9">
        <v>0.19700000000000001</v>
      </c>
      <c r="I391" s="9">
        <v>0.51</v>
      </c>
      <c r="J391" s="9">
        <v>0.19400000000000001</v>
      </c>
      <c r="K391" s="9">
        <v>4</v>
      </c>
      <c r="L391" s="9">
        <v>67</v>
      </c>
      <c r="M391" s="9">
        <v>71</v>
      </c>
    </row>
    <row r="392" spans="1:13">
      <c r="A392" s="9">
        <v>391</v>
      </c>
      <c r="B392" s="10">
        <v>40560</v>
      </c>
      <c r="C392" s="9">
        <v>18</v>
      </c>
      <c r="D392" s="9" t="b">
        <v>1</v>
      </c>
      <c r="E392" s="9" t="str">
        <f t="shared" si="6"/>
        <v>Weekday</v>
      </c>
      <c r="F392" s="9">
        <v>2</v>
      </c>
      <c r="G392" s="9">
        <v>0.18</v>
      </c>
      <c r="H392" s="9">
        <v>0.16669999999999999</v>
      </c>
      <c r="I392" s="9">
        <v>0.55000000000000004</v>
      </c>
      <c r="J392" s="9">
        <v>0.25369999999999998</v>
      </c>
      <c r="K392" s="9">
        <v>7</v>
      </c>
      <c r="L392" s="9">
        <v>85</v>
      </c>
      <c r="M392" s="9">
        <v>92</v>
      </c>
    </row>
    <row r="393" spans="1:13">
      <c r="A393" s="9">
        <v>392</v>
      </c>
      <c r="B393" s="10">
        <v>40560</v>
      </c>
      <c r="C393" s="9">
        <v>19</v>
      </c>
      <c r="D393" s="9" t="b">
        <v>1</v>
      </c>
      <c r="E393" s="9" t="str">
        <f t="shared" si="6"/>
        <v>Weekday</v>
      </c>
      <c r="F393" s="9">
        <v>3</v>
      </c>
      <c r="G393" s="9">
        <v>0.18</v>
      </c>
      <c r="H393" s="9">
        <v>0.18179999999999999</v>
      </c>
      <c r="I393" s="9">
        <v>0.59</v>
      </c>
      <c r="J393" s="9">
        <v>0.19400000000000001</v>
      </c>
      <c r="K393" s="9">
        <v>2</v>
      </c>
      <c r="L393" s="9">
        <v>58</v>
      </c>
      <c r="M393" s="9">
        <v>60</v>
      </c>
    </row>
    <row r="394" spans="1:13">
      <c r="A394" s="9">
        <v>393</v>
      </c>
      <c r="B394" s="10">
        <v>40560</v>
      </c>
      <c r="C394" s="9">
        <v>20</v>
      </c>
      <c r="D394" s="9" t="b">
        <v>1</v>
      </c>
      <c r="E394" s="9" t="str">
        <f t="shared" si="6"/>
        <v>Weekday</v>
      </c>
      <c r="F394" s="9">
        <v>3</v>
      </c>
      <c r="G394" s="9">
        <v>0.16</v>
      </c>
      <c r="H394" s="9">
        <v>0.1515</v>
      </c>
      <c r="I394" s="9">
        <v>0.8</v>
      </c>
      <c r="J394" s="9">
        <v>0.19400000000000001</v>
      </c>
      <c r="K394" s="9">
        <v>4</v>
      </c>
      <c r="L394" s="9">
        <v>29</v>
      </c>
      <c r="M394" s="9">
        <v>33</v>
      </c>
    </row>
    <row r="395" spans="1:13">
      <c r="A395" s="9">
        <v>394</v>
      </c>
      <c r="B395" s="10">
        <v>40560</v>
      </c>
      <c r="C395" s="9">
        <v>21</v>
      </c>
      <c r="D395" s="9" t="b">
        <v>1</v>
      </c>
      <c r="E395" s="9" t="str">
        <f t="shared" si="6"/>
        <v>Weekday</v>
      </c>
      <c r="F395" s="9">
        <v>3</v>
      </c>
      <c r="G395" s="9">
        <v>0.16</v>
      </c>
      <c r="H395" s="9">
        <v>0.1515</v>
      </c>
      <c r="I395" s="9">
        <v>0.8</v>
      </c>
      <c r="J395" s="9">
        <v>0.19400000000000001</v>
      </c>
      <c r="K395" s="9">
        <v>3</v>
      </c>
      <c r="L395" s="9">
        <v>24</v>
      </c>
      <c r="M395" s="9">
        <v>27</v>
      </c>
    </row>
    <row r="396" spans="1:13">
      <c r="A396" s="9">
        <v>395</v>
      </c>
      <c r="B396" s="10">
        <v>40560</v>
      </c>
      <c r="C396" s="9">
        <v>22</v>
      </c>
      <c r="D396" s="9" t="b">
        <v>1</v>
      </c>
      <c r="E396" s="9" t="str">
        <f t="shared" si="6"/>
        <v>Weekday</v>
      </c>
      <c r="F396" s="9">
        <v>3</v>
      </c>
      <c r="G396" s="9">
        <v>0.14000000000000001</v>
      </c>
      <c r="H396" s="9">
        <v>0.1212</v>
      </c>
      <c r="I396" s="9">
        <v>0.93</v>
      </c>
      <c r="J396" s="9">
        <v>0.25369999999999998</v>
      </c>
      <c r="K396" s="9">
        <v>0</v>
      </c>
      <c r="L396" s="9">
        <v>13</v>
      </c>
      <c r="M396" s="9">
        <v>13</v>
      </c>
    </row>
    <row r="397" spans="1:13">
      <c r="A397" s="9">
        <v>396</v>
      </c>
      <c r="B397" s="10">
        <v>40560</v>
      </c>
      <c r="C397" s="9">
        <v>23</v>
      </c>
      <c r="D397" s="9" t="b">
        <v>1</v>
      </c>
      <c r="E397" s="9" t="str">
        <f t="shared" si="6"/>
        <v>Weekday</v>
      </c>
      <c r="F397" s="9">
        <v>3</v>
      </c>
      <c r="G397" s="9">
        <v>0.16</v>
      </c>
      <c r="H397" s="9">
        <v>0.13639999999999999</v>
      </c>
      <c r="I397" s="9">
        <v>0.86</v>
      </c>
      <c r="J397" s="9">
        <v>0.28360000000000002</v>
      </c>
      <c r="K397" s="9">
        <v>1</v>
      </c>
      <c r="L397" s="9">
        <v>3</v>
      </c>
      <c r="M397" s="9">
        <v>4</v>
      </c>
    </row>
    <row r="398" spans="1:13">
      <c r="A398" s="9">
        <v>397</v>
      </c>
      <c r="B398" s="10">
        <v>40561</v>
      </c>
      <c r="C398" s="9">
        <v>12</v>
      </c>
      <c r="D398" s="9" t="b">
        <v>0</v>
      </c>
      <c r="E398" s="9" t="str">
        <f t="shared" si="6"/>
        <v>Weekday</v>
      </c>
      <c r="F398" s="9">
        <v>2</v>
      </c>
      <c r="G398" s="9">
        <v>0.2</v>
      </c>
      <c r="H398" s="9">
        <v>0.18179999999999999</v>
      </c>
      <c r="I398" s="9">
        <v>0.86</v>
      </c>
      <c r="J398" s="9">
        <v>0.32840000000000003</v>
      </c>
      <c r="K398" s="9">
        <v>0</v>
      </c>
      <c r="L398" s="9">
        <v>3</v>
      </c>
      <c r="M398" s="9">
        <v>3</v>
      </c>
    </row>
    <row r="399" spans="1:13">
      <c r="A399" s="9">
        <v>398</v>
      </c>
      <c r="B399" s="10">
        <v>40561</v>
      </c>
      <c r="C399" s="9">
        <v>13</v>
      </c>
      <c r="D399" s="9" t="b">
        <v>0</v>
      </c>
      <c r="E399" s="9" t="str">
        <f t="shared" si="6"/>
        <v>Weekday</v>
      </c>
      <c r="F399" s="9">
        <v>2</v>
      </c>
      <c r="G399" s="9">
        <v>0.2</v>
      </c>
      <c r="H399" s="9">
        <v>0.19700000000000001</v>
      </c>
      <c r="I399" s="9">
        <v>0.86</v>
      </c>
      <c r="J399" s="9">
        <v>0.22389999999999999</v>
      </c>
      <c r="K399" s="9">
        <v>0</v>
      </c>
      <c r="L399" s="9">
        <v>22</v>
      </c>
      <c r="M399" s="9">
        <v>22</v>
      </c>
    </row>
    <row r="400" spans="1:13">
      <c r="A400" s="9">
        <v>399</v>
      </c>
      <c r="B400" s="10">
        <v>40561</v>
      </c>
      <c r="C400" s="9">
        <v>14</v>
      </c>
      <c r="D400" s="9" t="b">
        <v>0</v>
      </c>
      <c r="E400" s="9" t="str">
        <f t="shared" si="6"/>
        <v>Weekday</v>
      </c>
      <c r="F400" s="9">
        <v>2</v>
      </c>
      <c r="G400" s="9">
        <v>0.22</v>
      </c>
      <c r="H400" s="9">
        <v>0.2273</v>
      </c>
      <c r="I400" s="9">
        <v>0.8</v>
      </c>
      <c r="J400" s="9">
        <v>0.16420000000000001</v>
      </c>
      <c r="K400" s="9">
        <v>2</v>
      </c>
      <c r="L400" s="9">
        <v>26</v>
      </c>
      <c r="M400" s="9">
        <v>28</v>
      </c>
    </row>
    <row r="401" spans="1:13">
      <c r="A401" s="9">
        <v>400</v>
      </c>
      <c r="B401" s="10">
        <v>40561</v>
      </c>
      <c r="C401" s="9">
        <v>15</v>
      </c>
      <c r="D401" s="9" t="b">
        <v>0</v>
      </c>
      <c r="E401" s="9" t="str">
        <f t="shared" si="6"/>
        <v>Weekday</v>
      </c>
      <c r="F401" s="9">
        <v>2</v>
      </c>
      <c r="G401" s="9">
        <v>0.22</v>
      </c>
      <c r="H401" s="9">
        <v>0.2273</v>
      </c>
      <c r="I401" s="9">
        <v>0.87</v>
      </c>
      <c r="J401" s="9">
        <v>0.16420000000000001</v>
      </c>
      <c r="K401" s="9">
        <v>3</v>
      </c>
      <c r="L401" s="9">
        <v>32</v>
      </c>
      <c r="M401" s="9">
        <v>35</v>
      </c>
    </row>
    <row r="402" spans="1:13">
      <c r="A402" s="9">
        <v>401</v>
      </c>
      <c r="B402" s="10">
        <v>40561</v>
      </c>
      <c r="C402" s="9">
        <v>16</v>
      </c>
      <c r="D402" s="9" t="b">
        <v>0</v>
      </c>
      <c r="E402" s="9" t="str">
        <f t="shared" si="6"/>
        <v>Weekday</v>
      </c>
      <c r="F402" s="9">
        <v>2</v>
      </c>
      <c r="G402" s="9">
        <v>0.22</v>
      </c>
      <c r="H402" s="9">
        <v>0.2273</v>
      </c>
      <c r="I402" s="9">
        <v>0.87</v>
      </c>
      <c r="J402" s="9">
        <v>0.19400000000000001</v>
      </c>
      <c r="K402" s="9">
        <v>0</v>
      </c>
      <c r="L402" s="9">
        <v>61</v>
      </c>
      <c r="M402" s="9">
        <v>61</v>
      </c>
    </row>
    <row r="403" spans="1:13">
      <c r="A403" s="9">
        <v>402</v>
      </c>
      <c r="B403" s="10">
        <v>40561</v>
      </c>
      <c r="C403" s="9">
        <v>17</v>
      </c>
      <c r="D403" s="9" t="b">
        <v>0</v>
      </c>
      <c r="E403" s="9" t="str">
        <f t="shared" si="6"/>
        <v>Weekday</v>
      </c>
      <c r="F403" s="9">
        <v>2</v>
      </c>
      <c r="G403" s="9">
        <v>0.22</v>
      </c>
      <c r="H403" s="9">
        <v>0.2273</v>
      </c>
      <c r="I403" s="9">
        <v>0.82</v>
      </c>
      <c r="J403" s="9">
        <v>0.19400000000000001</v>
      </c>
      <c r="K403" s="9">
        <v>1</v>
      </c>
      <c r="L403" s="9">
        <v>124</v>
      </c>
      <c r="M403" s="9">
        <v>125</v>
      </c>
    </row>
    <row r="404" spans="1:13">
      <c r="A404" s="9">
        <v>403</v>
      </c>
      <c r="B404" s="10">
        <v>40561</v>
      </c>
      <c r="C404" s="9">
        <v>18</v>
      </c>
      <c r="D404" s="9" t="b">
        <v>0</v>
      </c>
      <c r="E404" s="9" t="str">
        <f t="shared" si="6"/>
        <v>Weekday</v>
      </c>
      <c r="F404" s="9">
        <v>2</v>
      </c>
      <c r="G404" s="9">
        <v>0.22</v>
      </c>
      <c r="H404" s="9">
        <v>0.2273</v>
      </c>
      <c r="I404" s="9">
        <v>0.8</v>
      </c>
      <c r="J404" s="9">
        <v>0.16420000000000001</v>
      </c>
      <c r="K404" s="9">
        <v>1</v>
      </c>
      <c r="L404" s="9">
        <v>132</v>
      </c>
      <c r="M404" s="9">
        <v>133</v>
      </c>
    </row>
    <row r="405" spans="1:13">
      <c r="A405" s="9">
        <v>404</v>
      </c>
      <c r="B405" s="10">
        <v>40561</v>
      </c>
      <c r="C405" s="9">
        <v>19</v>
      </c>
      <c r="D405" s="9" t="b">
        <v>0</v>
      </c>
      <c r="E405" s="9" t="str">
        <f t="shared" si="6"/>
        <v>Weekday</v>
      </c>
      <c r="F405" s="9">
        <v>2</v>
      </c>
      <c r="G405" s="9">
        <v>0.22</v>
      </c>
      <c r="H405" s="9">
        <v>0.2273</v>
      </c>
      <c r="I405" s="9">
        <v>0.8</v>
      </c>
      <c r="J405" s="9">
        <v>0.1343</v>
      </c>
      <c r="K405" s="9">
        <v>1</v>
      </c>
      <c r="L405" s="9">
        <v>98</v>
      </c>
      <c r="M405" s="9">
        <v>99</v>
      </c>
    </row>
    <row r="406" spans="1:13">
      <c r="A406" s="9">
        <v>405</v>
      </c>
      <c r="B406" s="10">
        <v>40561</v>
      </c>
      <c r="C406" s="9">
        <v>20</v>
      </c>
      <c r="D406" s="9" t="b">
        <v>0</v>
      </c>
      <c r="E406" s="9" t="str">
        <f t="shared" si="6"/>
        <v>Weekday</v>
      </c>
      <c r="F406" s="9">
        <v>2</v>
      </c>
      <c r="G406" s="9">
        <v>0.22</v>
      </c>
      <c r="H406" s="9">
        <v>0.2727</v>
      </c>
      <c r="I406" s="9">
        <v>0.87</v>
      </c>
      <c r="J406" s="9">
        <v>0</v>
      </c>
      <c r="K406" s="9">
        <v>0</v>
      </c>
      <c r="L406" s="9">
        <v>83</v>
      </c>
      <c r="M406" s="9">
        <v>83</v>
      </c>
    </row>
    <row r="407" spans="1:13">
      <c r="A407" s="9">
        <v>406</v>
      </c>
      <c r="B407" s="10">
        <v>40561</v>
      </c>
      <c r="C407" s="9">
        <v>21</v>
      </c>
      <c r="D407" s="9" t="b">
        <v>0</v>
      </c>
      <c r="E407" s="9" t="str">
        <f t="shared" si="6"/>
        <v>Weekday</v>
      </c>
      <c r="F407" s="9">
        <v>2</v>
      </c>
      <c r="G407" s="9">
        <v>0.22</v>
      </c>
      <c r="H407" s="9">
        <v>0.2424</v>
      </c>
      <c r="I407" s="9">
        <v>0.93</v>
      </c>
      <c r="J407" s="9">
        <v>0.1045</v>
      </c>
      <c r="K407" s="9">
        <v>0</v>
      </c>
      <c r="L407" s="9">
        <v>41</v>
      </c>
      <c r="M407" s="9">
        <v>41</v>
      </c>
    </row>
    <row r="408" spans="1:13">
      <c r="A408" s="9">
        <v>407</v>
      </c>
      <c r="B408" s="10">
        <v>40561</v>
      </c>
      <c r="C408" s="9">
        <v>22</v>
      </c>
      <c r="D408" s="9" t="b">
        <v>0</v>
      </c>
      <c r="E408" s="9" t="str">
        <f t="shared" si="6"/>
        <v>Weekday</v>
      </c>
      <c r="F408" s="9">
        <v>2</v>
      </c>
      <c r="G408" s="9">
        <v>0.22</v>
      </c>
      <c r="H408" s="9">
        <v>0.2576</v>
      </c>
      <c r="I408" s="9">
        <v>0.93</v>
      </c>
      <c r="J408" s="9">
        <v>8.9599999999999999E-2</v>
      </c>
      <c r="K408" s="9">
        <v>0</v>
      </c>
      <c r="L408" s="9">
        <v>33</v>
      </c>
      <c r="M408" s="9">
        <v>33</v>
      </c>
    </row>
    <row r="409" spans="1:13">
      <c r="A409" s="9">
        <v>408</v>
      </c>
      <c r="B409" s="10">
        <v>40561</v>
      </c>
      <c r="C409" s="9">
        <v>23</v>
      </c>
      <c r="D409" s="9" t="b">
        <v>0</v>
      </c>
      <c r="E409" s="9" t="str">
        <f t="shared" si="6"/>
        <v>Weekday</v>
      </c>
      <c r="F409" s="9">
        <v>2</v>
      </c>
      <c r="G409" s="9">
        <v>0.22</v>
      </c>
      <c r="H409" s="9">
        <v>0.2727</v>
      </c>
      <c r="I409" s="9">
        <v>0.93</v>
      </c>
      <c r="J409" s="9">
        <v>0</v>
      </c>
      <c r="K409" s="9">
        <v>1</v>
      </c>
      <c r="L409" s="9">
        <v>19</v>
      </c>
      <c r="M409" s="9">
        <v>20</v>
      </c>
    </row>
    <row r="410" spans="1:13">
      <c r="A410" s="9">
        <v>409</v>
      </c>
      <c r="B410" s="10">
        <v>40562</v>
      </c>
      <c r="C410" s="9">
        <v>0</v>
      </c>
      <c r="D410" s="9" t="b">
        <v>0</v>
      </c>
      <c r="E410" s="9" t="str">
        <f t="shared" si="6"/>
        <v>Weekday</v>
      </c>
      <c r="F410" s="9">
        <v>2</v>
      </c>
      <c r="G410" s="9">
        <v>0.22</v>
      </c>
      <c r="H410" s="9">
        <v>0.2727</v>
      </c>
      <c r="I410" s="9">
        <v>0.93</v>
      </c>
      <c r="J410" s="9">
        <v>0</v>
      </c>
      <c r="K410" s="9">
        <v>0</v>
      </c>
      <c r="L410" s="9">
        <v>3</v>
      </c>
      <c r="M410" s="9">
        <v>3</v>
      </c>
    </row>
    <row r="411" spans="1:13">
      <c r="A411" s="9">
        <v>410</v>
      </c>
      <c r="B411" s="10">
        <v>40562</v>
      </c>
      <c r="C411" s="9">
        <v>1</v>
      </c>
      <c r="D411" s="9" t="b">
        <v>0</v>
      </c>
      <c r="E411" s="9" t="str">
        <f t="shared" si="6"/>
        <v>Weekday</v>
      </c>
      <c r="F411" s="9">
        <v>3</v>
      </c>
      <c r="G411" s="9">
        <v>0.22</v>
      </c>
      <c r="H411" s="9">
        <v>0.2273</v>
      </c>
      <c r="I411" s="9">
        <v>0.93</v>
      </c>
      <c r="J411" s="9">
        <v>0.1343</v>
      </c>
      <c r="K411" s="9">
        <v>1</v>
      </c>
      <c r="L411" s="9">
        <v>6</v>
      </c>
      <c r="M411" s="9">
        <v>7</v>
      </c>
    </row>
    <row r="412" spans="1:13">
      <c r="A412" s="9">
        <v>411</v>
      </c>
      <c r="B412" s="10">
        <v>40562</v>
      </c>
      <c r="C412" s="9">
        <v>2</v>
      </c>
      <c r="D412" s="9" t="b">
        <v>0</v>
      </c>
      <c r="E412" s="9" t="str">
        <f t="shared" si="6"/>
        <v>Weekday</v>
      </c>
      <c r="F412" s="9">
        <v>3</v>
      </c>
      <c r="G412" s="9">
        <v>0.22</v>
      </c>
      <c r="H412" s="9">
        <v>0.2273</v>
      </c>
      <c r="I412" s="9">
        <v>0.93</v>
      </c>
      <c r="J412" s="9">
        <v>0.1343</v>
      </c>
      <c r="K412" s="9">
        <v>0</v>
      </c>
      <c r="L412" s="9">
        <v>3</v>
      </c>
      <c r="M412" s="9">
        <v>3</v>
      </c>
    </row>
    <row r="413" spans="1:13">
      <c r="A413" s="9">
        <v>412</v>
      </c>
      <c r="B413" s="10">
        <v>40562</v>
      </c>
      <c r="C413" s="9">
        <v>4</v>
      </c>
      <c r="D413" s="9" t="b">
        <v>0</v>
      </c>
      <c r="E413" s="9" t="str">
        <f t="shared" si="6"/>
        <v>Weekday</v>
      </c>
      <c r="F413" s="9">
        <v>3</v>
      </c>
      <c r="G413" s="9">
        <v>0.22</v>
      </c>
      <c r="H413" s="9">
        <v>0.2273</v>
      </c>
      <c r="I413" s="9">
        <v>0.93</v>
      </c>
      <c r="J413" s="9">
        <v>0.1343</v>
      </c>
      <c r="K413" s="9">
        <v>1</v>
      </c>
      <c r="L413" s="9">
        <v>1</v>
      </c>
      <c r="M413" s="9">
        <v>2</v>
      </c>
    </row>
    <row r="414" spans="1:13">
      <c r="A414" s="9">
        <v>413</v>
      </c>
      <c r="B414" s="10">
        <v>40562</v>
      </c>
      <c r="C414" s="9">
        <v>5</v>
      </c>
      <c r="D414" s="9" t="b">
        <v>0</v>
      </c>
      <c r="E414" s="9" t="str">
        <f t="shared" si="6"/>
        <v>Weekday</v>
      </c>
      <c r="F414" s="9">
        <v>2</v>
      </c>
      <c r="G414" s="9">
        <v>0.22</v>
      </c>
      <c r="H414" s="9">
        <v>0.2576</v>
      </c>
      <c r="I414" s="9">
        <v>0.93</v>
      </c>
      <c r="J414" s="9">
        <v>8.9599999999999999E-2</v>
      </c>
      <c r="K414" s="9">
        <v>0</v>
      </c>
      <c r="L414" s="9">
        <v>7</v>
      </c>
      <c r="M414" s="9">
        <v>7</v>
      </c>
    </row>
    <row r="415" spans="1:13">
      <c r="A415" s="9">
        <v>414</v>
      </c>
      <c r="B415" s="10">
        <v>40562</v>
      </c>
      <c r="C415" s="9">
        <v>6</v>
      </c>
      <c r="D415" s="9" t="b">
        <v>0</v>
      </c>
      <c r="E415" s="9" t="str">
        <f t="shared" si="6"/>
        <v>Weekday</v>
      </c>
      <c r="F415" s="9">
        <v>2</v>
      </c>
      <c r="G415" s="9">
        <v>0.22</v>
      </c>
      <c r="H415" s="9">
        <v>0.2576</v>
      </c>
      <c r="I415" s="9">
        <v>0.93</v>
      </c>
      <c r="J415" s="9">
        <v>8.9599999999999999E-2</v>
      </c>
      <c r="K415" s="9">
        <v>0</v>
      </c>
      <c r="L415" s="9">
        <v>32</v>
      </c>
      <c r="M415" s="9">
        <v>32</v>
      </c>
    </row>
    <row r="416" spans="1:13">
      <c r="A416" s="9">
        <v>415</v>
      </c>
      <c r="B416" s="10">
        <v>40562</v>
      </c>
      <c r="C416" s="9">
        <v>7</v>
      </c>
      <c r="D416" s="9" t="b">
        <v>0</v>
      </c>
      <c r="E416" s="9" t="str">
        <f t="shared" si="6"/>
        <v>Weekday</v>
      </c>
      <c r="F416" s="9">
        <v>2</v>
      </c>
      <c r="G416" s="9">
        <v>0.24</v>
      </c>
      <c r="H416" s="9">
        <v>0.2576</v>
      </c>
      <c r="I416" s="9">
        <v>0.92</v>
      </c>
      <c r="J416" s="9">
        <v>0.1045</v>
      </c>
      <c r="K416" s="9">
        <v>1</v>
      </c>
      <c r="L416" s="9">
        <v>89</v>
      </c>
      <c r="M416" s="9">
        <v>90</v>
      </c>
    </row>
    <row r="417" spans="1:13">
      <c r="A417" s="9">
        <v>416</v>
      </c>
      <c r="B417" s="10">
        <v>40562</v>
      </c>
      <c r="C417" s="9">
        <v>8</v>
      </c>
      <c r="D417" s="9" t="b">
        <v>0</v>
      </c>
      <c r="E417" s="9" t="str">
        <f t="shared" si="6"/>
        <v>Weekday</v>
      </c>
      <c r="F417" s="9">
        <v>2</v>
      </c>
      <c r="G417" s="9">
        <v>0.24</v>
      </c>
      <c r="H417" s="9">
        <v>0.2576</v>
      </c>
      <c r="I417" s="9">
        <v>0.93</v>
      </c>
      <c r="J417" s="9">
        <v>0.1045</v>
      </c>
      <c r="K417" s="9">
        <v>1</v>
      </c>
      <c r="L417" s="9">
        <v>196</v>
      </c>
      <c r="M417" s="9">
        <v>197</v>
      </c>
    </row>
    <row r="418" spans="1:13">
      <c r="A418" s="9">
        <v>417</v>
      </c>
      <c r="B418" s="10">
        <v>40562</v>
      </c>
      <c r="C418" s="9">
        <v>9</v>
      </c>
      <c r="D418" s="9" t="b">
        <v>0</v>
      </c>
      <c r="E418" s="9" t="str">
        <f t="shared" si="6"/>
        <v>Weekday</v>
      </c>
      <c r="F418" s="9">
        <v>2</v>
      </c>
      <c r="G418" s="9">
        <v>0.24</v>
      </c>
      <c r="H418" s="9">
        <v>0.2576</v>
      </c>
      <c r="I418" s="9">
        <v>0.93</v>
      </c>
      <c r="J418" s="9">
        <v>0.1045</v>
      </c>
      <c r="K418" s="9">
        <v>2</v>
      </c>
      <c r="L418" s="9">
        <v>107</v>
      </c>
      <c r="M418" s="9">
        <v>109</v>
      </c>
    </row>
    <row r="419" spans="1:13">
      <c r="A419" s="9">
        <v>418</v>
      </c>
      <c r="B419" s="10">
        <v>40562</v>
      </c>
      <c r="C419" s="9">
        <v>10</v>
      </c>
      <c r="D419" s="9" t="b">
        <v>0</v>
      </c>
      <c r="E419" s="9" t="str">
        <f t="shared" si="6"/>
        <v>Weekday</v>
      </c>
      <c r="F419" s="9">
        <v>2</v>
      </c>
      <c r="G419" s="9">
        <v>0.26</v>
      </c>
      <c r="H419" s="9">
        <v>0.2727</v>
      </c>
      <c r="I419" s="9">
        <v>0.93</v>
      </c>
      <c r="J419" s="9">
        <v>0.1343</v>
      </c>
      <c r="K419" s="9">
        <v>1</v>
      </c>
      <c r="L419" s="9">
        <v>46</v>
      </c>
      <c r="M419" s="9">
        <v>47</v>
      </c>
    </row>
    <row r="420" spans="1:13">
      <c r="A420" s="9">
        <v>419</v>
      </c>
      <c r="B420" s="10">
        <v>40562</v>
      </c>
      <c r="C420" s="9">
        <v>11</v>
      </c>
      <c r="D420" s="9" t="b">
        <v>0</v>
      </c>
      <c r="E420" s="9" t="str">
        <f t="shared" si="6"/>
        <v>Weekday</v>
      </c>
      <c r="F420" s="9">
        <v>2</v>
      </c>
      <c r="G420" s="9">
        <v>0.28000000000000003</v>
      </c>
      <c r="H420" s="9">
        <v>0.30299999999999999</v>
      </c>
      <c r="I420" s="9">
        <v>0.87</v>
      </c>
      <c r="J420" s="9">
        <v>8.9599999999999999E-2</v>
      </c>
      <c r="K420" s="9">
        <v>5</v>
      </c>
      <c r="L420" s="9">
        <v>47</v>
      </c>
      <c r="M420" s="9">
        <v>52</v>
      </c>
    </row>
    <row r="421" spans="1:13">
      <c r="A421" s="9">
        <v>420</v>
      </c>
      <c r="B421" s="10">
        <v>40562</v>
      </c>
      <c r="C421" s="9">
        <v>12</v>
      </c>
      <c r="D421" s="9" t="b">
        <v>0</v>
      </c>
      <c r="E421" s="9" t="str">
        <f t="shared" si="6"/>
        <v>Weekday</v>
      </c>
      <c r="F421" s="9">
        <v>2</v>
      </c>
      <c r="G421" s="9">
        <v>0.3</v>
      </c>
      <c r="H421" s="9">
        <v>0.31819999999999998</v>
      </c>
      <c r="I421" s="9">
        <v>0.81</v>
      </c>
      <c r="J421" s="9">
        <v>8.9599999999999999E-2</v>
      </c>
      <c r="K421" s="9">
        <v>5</v>
      </c>
      <c r="L421" s="9">
        <v>65</v>
      </c>
      <c r="M421" s="9">
        <v>70</v>
      </c>
    </row>
    <row r="422" spans="1:13">
      <c r="A422" s="9">
        <v>421</v>
      </c>
      <c r="B422" s="10">
        <v>40562</v>
      </c>
      <c r="C422" s="9">
        <v>13</v>
      </c>
      <c r="D422" s="9" t="b">
        <v>0</v>
      </c>
      <c r="E422" s="9" t="str">
        <f t="shared" si="6"/>
        <v>Weekday</v>
      </c>
      <c r="F422" s="9">
        <v>1</v>
      </c>
      <c r="G422" s="9">
        <v>0.4</v>
      </c>
      <c r="H422" s="9">
        <v>0.40910000000000002</v>
      </c>
      <c r="I422" s="9">
        <v>0.62</v>
      </c>
      <c r="J422" s="9">
        <v>0.28360000000000002</v>
      </c>
      <c r="K422" s="9">
        <v>11</v>
      </c>
      <c r="L422" s="9">
        <v>67</v>
      </c>
      <c r="M422" s="9">
        <v>78</v>
      </c>
    </row>
    <row r="423" spans="1:13">
      <c r="A423" s="9">
        <v>422</v>
      </c>
      <c r="B423" s="10">
        <v>40562</v>
      </c>
      <c r="C423" s="9">
        <v>14</v>
      </c>
      <c r="D423" s="9" t="b">
        <v>0</v>
      </c>
      <c r="E423" s="9" t="str">
        <f t="shared" si="6"/>
        <v>Weekday</v>
      </c>
      <c r="F423" s="9">
        <v>1</v>
      </c>
      <c r="G423" s="9">
        <v>0.4</v>
      </c>
      <c r="H423" s="9">
        <v>0.40910000000000002</v>
      </c>
      <c r="I423" s="9">
        <v>0.57999999999999996</v>
      </c>
      <c r="J423" s="9">
        <v>0.25369999999999998</v>
      </c>
      <c r="K423" s="9">
        <v>7</v>
      </c>
      <c r="L423" s="9">
        <v>68</v>
      </c>
      <c r="M423" s="9">
        <v>75</v>
      </c>
    </row>
    <row r="424" spans="1:13">
      <c r="A424" s="9">
        <v>423</v>
      </c>
      <c r="B424" s="10">
        <v>40562</v>
      </c>
      <c r="C424" s="9">
        <v>15</v>
      </c>
      <c r="D424" s="9" t="b">
        <v>0</v>
      </c>
      <c r="E424" s="9" t="str">
        <f t="shared" si="6"/>
        <v>Weekday</v>
      </c>
      <c r="F424" s="9">
        <v>1</v>
      </c>
      <c r="G424" s="9">
        <v>0.4</v>
      </c>
      <c r="H424" s="9">
        <v>0.40910000000000002</v>
      </c>
      <c r="I424" s="9">
        <v>0.54</v>
      </c>
      <c r="J424" s="9">
        <v>0.28360000000000002</v>
      </c>
      <c r="K424" s="9">
        <v>4</v>
      </c>
      <c r="L424" s="9">
        <v>78</v>
      </c>
      <c r="M424" s="9">
        <v>82</v>
      </c>
    </row>
    <row r="425" spans="1:13">
      <c r="A425" s="9">
        <v>424</v>
      </c>
      <c r="B425" s="10">
        <v>40562</v>
      </c>
      <c r="C425" s="9">
        <v>16</v>
      </c>
      <c r="D425" s="9" t="b">
        <v>0</v>
      </c>
      <c r="E425" s="9" t="str">
        <f t="shared" si="6"/>
        <v>Weekday</v>
      </c>
      <c r="F425" s="9">
        <v>1</v>
      </c>
      <c r="G425" s="9">
        <v>0.38</v>
      </c>
      <c r="H425" s="9">
        <v>0.39389999999999997</v>
      </c>
      <c r="I425" s="9">
        <v>0.57999999999999996</v>
      </c>
      <c r="J425" s="9">
        <v>0.3881</v>
      </c>
      <c r="K425" s="9">
        <v>10</v>
      </c>
      <c r="L425" s="9">
        <v>94</v>
      </c>
      <c r="M425" s="9">
        <v>104</v>
      </c>
    </row>
    <row r="426" spans="1:13">
      <c r="A426" s="9">
        <v>425</v>
      </c>
      <c r="B426" s="10">
        <v>40562</v>
      </c>
      <c r="C426" s="9">
        <v>17</v>
      </c>
      <c r="D426" s="9" t="b">
        <v>0</v>
      </c>
      <c r="E426" s="9" t="str">
        <f t="shared" si="6"/>
        <v>Weekday</v>
      </c>
      <c r="F426" s="9">
        <v>1</v>
      </c>
      <c r="G426" s="9">
        <v>0.36</v>
      </c>
      <c r="H426" s="9">
        <v>0.33329999999999999</v>
      </c>
      <c r="I426" s="9">
        <v>0.56999999999999995</v>
      </c>
      <c r="J426" s="9">
        <v>0.32840000000000003</v>
      </c>
      <c r="K426" s="9">
        <v>7</v>
      </c>
      <c r="L426" s="9">
        <v>190</v>
      </c>
      <c r="M426" s="9">
        <v>197</v>
      </c>
    </row>
    <row r="427" spans="1:13">
      <c r="A427" s="9">
        <v>426</v>
      </c>
      <c r="B427" s="10">
        <v>40562</v>
      </c>
      <c r="C427" s="9">
        <v>18</v>
      </c>
      <c r="D427" s="9" t="b">
        <v>0</v>
      </c>
      <c r="E427" s="9" t="str">
        <f t="shared" si="6"/>
        <v>Weekday</v>
      </c>
      <c r="F427" s="9">
        <v>1</v>
      </c>
      <c r="G427" s="9">
        <v>0.34</v>
      </c>
      <c r="H427" s="9">
        <v>0.31819999999999998</v>
      </c>
      <c r="I427" s="9">
        <v>0.61</v>
      </c>
      <c r="J427" s="9">
        <v>0.28360000000000002</v>
      </c>
      <c r="K427" s="9">
        <v>5</v>
      </c>
      <c r="L427" s="9">
        <v>156</v>
      </c>
      <c r="M427" s="9">
        <v>161</v>
      </c>
    </row>
    <row r="428" spans="1:13">
      <c r="A428" s="9">
        <v>427</v>
      </c>
      <c r="B428" s="10">
        <v>40562</v>
      </c>
      <c r="C428" s="9">
        <v>19</v>
      </c>
      <c r="D428" s="9" t="b">
        <v>0</v>
      </c>
      <c r="E428" s="9" t="str">
        <f t="shared" si="6"/>
        <v>Weekday</v>
      </c>
      <c r="F428" s="9">
        <v>1</v>
      </c>
      <c r="G428" s="9">
        <v>0.32</v>
      </c>
      <c r="H428" s="9">
        <v>0.28789999999999999</v>
      </c>
      <c r="I428" s="9">
        <v>0.56999999999999995</v>
      </c>
      <c r="J428" s="9">
        <v>0.41789999999999999</v>
      </c>
      <c r="K428" s="9">
        <v>4</v>
      </c>
      <c r="L428" s="9">
        <v>108</v>
      </c>
      <c r="M428" s="9">
        <v>112</v>
      </c>
    </row>
    <row r="429" spans="1:13">
      <c r="A429" s="9">
        <v>428</v>
      </c>
      <c r="B429" s="10">
        <v>40562</v>
      </c>
      <c r="C429" s="9">
        <v>20</v>
      </c>
      <c r="D429" s="9" t="b">
        <v>0</v>
      </c>
      <c r="E429" s="9" t="str">
        <f t="shared" si="6"/>
        <v>Weekday</v>
      </c>
      <c r="F429" s="9">
        <v>1</v>
      </c>
      <c r="G429" s="9">
        <v>0.32</v>
      </c>
      <c r="H429" s="9">
        <v>0.30299999999999999</v>
      </c>
      <c r="I429" s="9">
        <v>0.49</v>
      </c>
      <c r="J429" s="9">
        <v>0.29849999999999999</v>
      </c>
      <c r="K429" s="9">
        <v>2</v>
      </c>
      <c r="L429" s="9">
        <v>74</v>
      </c>
      <c r="M429" s="9">
        <v>76</v>
      </c>
    </row>
    <row r="430" spans="1:13">
      <c r="A430" s="9">
        <v>429</v>
      </c>
      <c r="B430" s="10">
        <v>40562</v>
      </c>
      <c r="C430" s="9">
        <v>21</v>
      </c>
      <c r="D430" s="9" t="b">
        <v>0</v>
      </c>
      <c r="E430" s="9" t="str">
        <f t="shared" si="6"/>
        <v>Weekday</v>
      </c>
      <c r="F430" s="9">
        <v>1</v>
      </c>
      <c r="G430" s="9">
        <v>0.32</v>
      </c>
      <c r="H430" s="9">
        <v>0.28789999999999999</v>
      </c>
      <c r="I430" s="9">
        <v>0.49</v>
      </c>
      <c r="J430" s="9">
        <v>0.41789999999999999</v>
      </c>
      <c r="K430" s="9">
        <v>4</v>
      </c>
      <c r="L430" s="9">
        <v>55</v>
      </c>
      <c r="M430" s="9">
        <v>59</v>
      </c>
    </row>
    <row r="431" spans="1:13">
      <c r="A431" s="9">
        <v>430</v>
      </c>
      <c r="B431" s="10">
        <v>40562</v>
      </c>
      <c r="C431" s="9">
        <v>22</v>
      </c>
      <c r="D431" s="9" t="b">
        <v>0</v>
      </c>
      <c r="E431" s="9" t="str">
        <f t="shared" si="6"/>
        <v>Weekday</v>
      </c>
      <c r="F431" s="9">
        <v>1</v>
      </c>
      <c r="G431" s="9">
        <v>0.3</v>
      </c>
      <c r="H431" s="9">
        <v>0.30299999999999999</v>
      </c>
      <c r="I431" s="9">
        <v>0.52</v>
      </c>
      <c r="J431" s="9">
        <v>0.16420000000000001</v>
      </c>
      <c r="K431" s="9">
        <v>6</v>
      </c>
      <c r="L431" s="9">
        <v>53</v>
      </c>
      <c r="M431" s="9">
        <v>59</v>
      </c>
    </row>
    <row r="432" spans="1:13">
      <c r="A432" s="9">
        <v>431</v>
      </c>
      <c r="B432" s="10">
        <v>40562</v>
      </c>
      <c r="C432" s="9">
        <v>23</v>
      </c>
      <c r="D432" s="9" t="b">
        <v>0</v>
      </c>
      <c r="E432" s="9" t="str">
        <f t="shared" si="6"/>
        <v>Weekday</v>
      </c>
      <c r="F432" s="9">
        <v>1</v>
      </c>
      <c r="G432" s="9">
        <v>0.3</v>
      </c>
      <c r="H432" s="9">
        <v>0.2727</v>
      </c>
      <c r="I432" s="9">
        <v>0.52</v>
      </c>
      <c r="J432" s="9">
        <v>0.4627</v>
      </c>
      <c r="K432" s="9">
        <v>1</v>
      </c>
      <c r="L432" s="9">
        <v>27</v>
      </c>
      <c r="M432" s="9">
        <v>28</v>
      </c>
    </row>
    <row r="433" spans="1:13">
      <c r="A433" s="9">
        <v>432</v>
      </c>
      <c r="B433" s="10">
        <v>40563</v>
      </c>
      <c r="C433" s="9">
        <v>0</v>
      </c>
      <c r="D433" s="9" t="b">
        <v>0</v>
      </c>
      <c r="E433" s="9" t="str">
        <f t="shared" si="6"/>
        <v>Weekday</v>
      </c>
      <c r="F433" s="9">
        <v>1</v>
      </c>
      <c r="G433" s="9">
        <v>0.26</v>
      </c>
      <c r="H433" s="9">
        <v>0.2273</v>
      </c>
      <c r="I433" s="9">
        <v>0.56000000000000005</v>
      </c>
      <c r="J433" s="9">
        <v>0.3881</v>
      </c>
      <c r="K433" s="9">
        <v>5</v>
      </c>
      <c r="L433" s="9">
        <v>8</v>
      </c>
      <c r="M433" s="9">
        <v>13</v>
      </c>
    </row>
    <row r="434" spans="1:13">
      <c r="A434" s="9">
        <v>433</v>
      </c>
      <c r="B434" s="10">
        <v>40563</v>
      </c>
      <c r="C434" s="9">
        <v>1</v>
      </c>
      <c r="D434" s="9" t="b">
        <v>0</v>
      </c>
      <c r="E434" s="9" t="str">
        <f t="shared" si="6"/>
        <v>Weekday</v>
      </c>
      <c r="F434" s="9">
        <v>1</v>
      </c>
      <c r="G434" s="9">
        <v>0.26</v>
      </c>
      <c r="H434" s="9">
        <v>0.2727</v>
      </c>
      <c r="I434" s="9">
        <v>0.56000000000000005</v>
      </c>
      <c r="J434" s="9">
        <v>0</v>
      </c>
      <c r="K434" s="9">
        <v>2</v>
      </c>
      <c r="L434" s="9">
        <v>3</v>
      </c>
      <c r="M434" s="9">
        <v>5</v>
      </c>
    </row>
    <row r="435" spans="1:13">
      <c r="A435" s="9">
        <v>434</v>
      </c>
      <c r="B435" s="10">
        <v>40563</v>
      </c>
      <c r="C435" s="9">
        <v>2</v>
      </c>
      <c r="D435" s="9" t="b">
        <v>0</v>
      </c>
      <c r="E435" s="9" t="str">
        <f t="shared" si="6"/>
        <v>Weekday</v>
      </c>
      <c r="F435" s="9">
        <v>1</v>
      </c>
      <c r="G435" s="9">
        <v>0.26</v>
      </c>
      <c r="H435" s="9">
        <v>0.2727</v>
      </c>
      <c r="I435" s="9">
        <v>0.56000000000000005</v>
      </c>
      <c r="J435" s="9">
        <v>0</v>
      </c>
      <c r="K435" s="9">
        <v>0</v>
      </c>
      <c r="L435" s="9">
        <v>2</v>
      </c>
      <c r="M435" s="9">
        <v>2</v>
      </c>
    </row>
    <row r="436" spans="1:13">
      <c r="A436" s="9">
        <v>435</v>
      </c>
      <c r="B436" s="10">
        <v>40563</v>
      </c>
      <c r="C436" s="9">
        <v>3</v>
      </c>
      <c r="D436" s="9" t="b">
        <v>0</v>
      </c>
      <c r="E436" s="9" t="str">
        <f t="shared" si="6"/>
        <v>Weekday</v>
      </c>
      <c r="F436" s="9">
        <v>1</v>
      </c>
      <c r="G436" s="9">
        <v>0.26</v>
      </c>
      <c r="H436" s="9">
        <v>0.2576</v>
      </c>
      <c r="I436" s="9">
        <v>0.56000000000000005</v>
      </c>
      <c r="J436" s="9">
        <v>0.16420000000000001</v>
      </c>
      <c r="K436" s="9">
        <v>0</v>
      </c>
      <c r="L436" s="9">
        <v>1</v>
      </c>
      <c r="M436" s="9">
        <v>1</v>
      </c>
    </row>
    <row r="437" spans="1:13">
      <c r="A437" s="9">
        <v>436</v>
      </c>
      <c r="B437" s="10">
        <v>40563</v>
      </c>
      <c r="C437" s="9">
        <v>4</v>
      </c>
      <c r="D437" s="9" t="b">
        <v>0</v>
      </c>
      <c r="E437" s="9" t="str">
        <f t="shared" si="6"/>
        <v>Weekday</v>
      </c>
      <c r="F437" s="9">
        <v>1</v>
      </c>
      <c r="G437" s="9">
        <v>0.26</v>
      </c>
      <c r="H437" s="9">
        <v>0.2576</v>
      </c>
      <c r="I437" s="9">
        <v>0.56000000000000005</v>
      </c>
      <c r="J437" s="9">
        <v>0.16420000000000001</v>
      </c>
      <c r="K437" s="9">
        <v>0</v>
      </c>
      <c r="L437" s="9">
        <v>1</v>
      </c>
      <c r="M437" s="9">
        <v>1</v>
      </c>
    </row>
    <row r="438" spans="1:13">
      <c r="A438" s="9">
        <v>437</v>
      </c>
      <c r="B438" s="10">
        <v>40563</v>
      </c>
      <c r="C438" s="9">
        <v>5</v>
      </c>
      <c r="D438" s="9" t="b">
        <v>0</v>
      </c>
      <c r="E438" s="9" t="str">
        <f t="shared" si="6"/>
        <v>Weekday</v>
      </c>
      <c r="F438" s="9">
        <v>1</v>
      </c>
      <c r="G438" s="9">
        <v>0.24</v>
      </c>
      <c r="H438" s="9">
        <v>0.2273</v>
      </c>
      <c r="I438" s="9">
        <v>0.6</v>
      </c>
      <c r="J438" s="9">
        <v>0.22389999999999999</v>
      </c>
      <c r="K438" s="9">
        <v>0</v>
      </c>
      <c r="L438" s="9">
        <v>6</v>
      </c>
      <c r="M438" s="9">
        <v>6</v>
      </c>
    </row>
    <row r="439" spans="1:13">
      <c r="A439" s="9">
        <v>438</v>
      </c>
      <c r="B439" s="10">
        <v>40563</v>
      </c>
      <c r="C439" s="9">
        <v>6</v>
      </c>
      <c r="D439" s="9" t="b">
        <v>0</v>
      </c>
      <c r="E439" s="9" t="str">
        <f t="shared" si="6"/>
        <v>Weekday</v>
      </c>
      <c r="F439" s="9">
        <v>1</v>
      </c>
      <c r="G439" s="9">
        <v>0.22</v>
      </c>
      <c r="H439" s="9">
        <v>0.21210000000000001</v>
      </c>
      <c r="I439" s="9">
        <v>0.6</v>
      </c>
      <c r="J439" s="9">
        <v>0.22389999999999999</v>
      </c>
      <c r="K439" s="9">
        <v>0</v>
      </c>
      <c r="L439" s="9">
        <v>35</v>
      </c>
      <c r="M439" s="9">
        <v>35</v>
      </c>
    </row>
    <row r="440" spans="1:13">
      <c r="A440" s="9">
        <v>439</v>
      </c>
      <c r="B440" s="10">
        <v>40563</v>
      </c>
      <c r="C440" s="9">
        <v>7</v>
      </c>
      <c r="D440" s="9" t="b">
        <v>0</v>
      </c>
      <c r="E440" s="9" t="str">
        <f t="shared" si="6"/>
        <v>Weekday</v>
      </c>
      <c r="F440" s="9">
        <v>1</v>
      </c>
      <c r="G440" s="9">
        <v>0.22</v>
      </c>
      <c r="H440" s="9">
        <v>0.21210000000000001</v>
      </c>
      <c r="I440" s="9">
        <v>0.55000000000000004</v>
      </c>
      <c r="J440" s="9">
        <v>0.22389999999999999</v>
      </c>
      <c r="K440" s="9">
        <v>1</v>
      </c>
      <c r="L440" s="9">
        <v>100</v>
      </c>
      <c r="M440" s="9">
        <v>101</v>
      </c>
    </row>
    <row r="441" spans="1:13">
      <c r="A441" s="9">
        <v>440</v>
      </c>
      <c r="B441" s="10">
        <v>40563</v>
      </c>
      <c r="C441" s="9">
        <v>8</v>
      </c>
      <c r="D441" s="9" t="b">
        <v>0</v>
      </c>
      <c r="E441" s="9" t="str">
        <f t="shared" si="6"/>
        <v>Weekday</v>
      </c>
      <c r="F441" s="9">
        <v>1</v>
      </c>
      <c r="G441" s="9">
        <v>0.22</v>
      </c>
      <c r="H441" s="9">
        <v>0.21210000000000001</v>
      </c>
      <c r="I441" s="9">
        <v>0.55000000000000004</v>
      </c>
      <c r="J441" s="9">
        <v>0.28360000000000002</v>
      </c>
      <c r="K441" s="9">
        <v>2</v>
      </c>
      <c r="L441" s="9">
        <v>247</v>
      </c>
      <c r="M441" s="9">
        <v>249</v>
      </c>
    </row>
    <row r="442" spans="1:13">
      <c r="A442" s="9">
        <v>441</v>
      </c>
      <c r="B442" s="10">
        <v>40563</v>
      </c>
      <c r="C442" s="9">
        <v>9</v>
      </c>
      <c r="D442" s="9" t="b">
        <v>0</v>
      </c>
      <c r="E442" s="9" t="str">
        <f t="shared" si="6"/>
        <v>Weekday</v>
      </c>
      <c r="F442" s="9">
        <v>2</v>
      </c>
      <c r="G442" s="9">
        <v>0.24</v>
      </c>
      <c r="H442" s="9">
        <v>0.2273</v>
      </c>
      <c r="I442" s="9">
        <v>0.52</v>
      </c>
      <c r="J442" s="9">
        <v>0.22389999999999999</v>
      </c>
      <c r="K442" s="9">
        <v>3</v>
      </c>
      <c r="L442" s="9">
        <v>140</v>
      </c>
      <c r="M442" s="9">
        <v>143</v>
      </c>
    </row>
    <row r="443" spans="1:13">
      <c r="A443" s="9">
        <v>442</v>
      </c>
      <c r="B443" s="10">
        <v>40563</v>
      </c>
      <c r="C443" s="9">
        <v>10</v>
      </c>
      <c r="D443" s="9" t="b">
        <v>0</v>
      </c>
      <c r="E443" s="9" t="str">
        <f t="shared" si="6"/>
        <v>Weekday</v>
      </c>
      <c r="F443" s="9">
        <v>1</v>
      </c>
      <c r="G443" s="9">
        <v>0.26</v>
      </c>
      <c r="H443" s="9">
        <v>0.2273</v>
      </c>
      <c r="I443" s="9">
        <v>0.48</v>
      </c>
      <c r="J443" s="9">
        <v>0.29849999999999999</v>
      </c>
      <c r="K443" s="9">
        <v>1</v>
      </c>
      <c r="L443" s="9">
        <v>56</v>
      </c>
      <c r="M443" s="9">
        <v>57</v>
      </c>
    </row>
    <row r="444" spans="1:13">
      <c r="A444" s="9">
        <v>443</v>
      </c>
      <c r="B444" s="10">
        <v>40563</v>
      </c>
      <c r="C444" s="9">
        <v>11</v>
      </c>
      <c r="D444" s="9" t="b">
        <v>0</v>
      </c>
      <c r="E444" s="9" t="str">
        <f t="shared" si="6"/>
        <v>Weekday</v>
      </c>
      <c r="F444" s="9">
        <v>2</v>
      </c>
      <c r="G444" s="9">
        <v>0.28000000000000003</v>
      </c>
      <c r="H444" s="9">
        <v>0.2727</v>
      </c>
      <c r="I444" s="9">
        <v>0.45</v>
      </c>
      <c r="J444" s="9">
        <v>0.16420000000000001</v>
      </c>
      <c r="K444" s="9">
        <v>5</v>
      </c>
      <c r="L444" s="9">
        <v>63</v>
      </c>
      <c r="M444" s="9">
        <v>68</v>
      </c>
    </row>
    <row r="445" spans="1:13">
      <c r="A445" s="9">
        <v>444</v>
      </c>
      <c r="B445" s="10">
        <v>40563</v>
      </c>
      <c r="C445" s="9">
        <v>12</v>
      </c>
      <c r="D445" s="9" t="b">
        <v>0</v>
      </c>
      <c r="E445" s="9" t="str">
        <f t="shared" si="6"/>
        <v>Weekday</v>
      </c>
      <c r="F445" s="9">
        <v>2</v>
      </c>
      <c r="G445" s="9">
        <v>0.3</v>
      </c>
      <c r="H445" s="9">
        <v>0.33329999999999999</v>
      </c>
      <c r="I445" s="9">
        <v>0.42</v>
      </c>
      <c r="J445" s="9">
        <v>0</v>
      </c>
      <c r="K445" s="9">
        <v>7</v>
      </c>
      <c r="L445" s="9">
        <v>77</v>
      </c>
      <c r="M445" s="9">
        <v>84</v>
      </c>
    </row>
    <row r="446" spans="1:13">
      <c r="A446" s="9">
        <v>445</v>
      </c>
      <c r="B446" s="10">
        <v>40563</v>
      </c>
      <c r="C446" s="9">
        <v>13</v>
      </c>
      <c r="D446" s="9" t="b">
        <v>0</v>
      </c>
      <c r="E446" s="9" t="str">
        <f t="shared" si="6"/>
        <v>Weekday</v>
      </c>
      <c r="F446" s="9">
        <v>2</v>
      </c>
      <c r="G446" s="9">
        <v>0.28000000000000003</v>
      </c>
      <c r="H446" s="9">
        <v>0.28789999999999999</v>
      </c>
      <c r="I446" s="9">
        <v>0.45</v>
      </c>
      <c r="J446" s="9">
        <v>0.1045</v>
      </c>
      <c r="K446" s="9">
        <v>12</v>
      </c>
      <c r="L446" s="9">
        <v>86</v>
      </c>
      <c r="M446" s="9">
        <v>98</v>
      </c>
    </row>
    <row r="447" spans="1:13">
      <c r="A447" s="9">
        <v>446</v>
      </c>
      <c r="B447" s="10">
        <v>40563</v>
      </c>
      <c r="C447" s="9">
        <v>14</v>
      </c>
      <c r="D447" s="9" t="b">
        <v>0</v>
      </c>
      <c r="E447" s="9" t="str">
        <f t="shared" si="6"/>
        <v>Weekday</v>
      </c>
      <c r="F447" s="9">
        <v>2</v>
      </c>
      <c r="G447" s="9">
        <v>0.3</v>
      </c>
      <c r="H447" s="9">
        <v>0.30299999999999999</v>
      </c>
      <c r="I447" s="9">
        <v>0.45</v>
      </c>
      <c r="J447" s="9">
        <v>0.1343</v>
      </c>
      <c r="K447" s="9">
        <v>6</v>
      </c>
      <c r="L447" s="9">
        <v>75</v>
      </c>
      <c r="M447" s="9">
        <v>81</v>
      </c>
    </row>
    <row r="448" spans="1:13">
      <c r="A448" s="9">
        <v>447</v>
      </c>
      <c r="B448" s="10">
        <v>40563</v>
      </c>
      <c r="C448" s="9">
        <v>15</v>
      </c>
      <c r="D448" s="9" t="b">
        <v>0</v>
      </c>
      <c r="E448" s="9" t="str">
        <f t="shared" si="6"/>
        <v>Weekday</v>
      </c>
      <c r="F448" s="9">
        <v>2</v>
      </c>
      <c r="G448" s="9">
        <v>0.32</v>
      </c>
      <c r="H448" s="9">
        <v>0.31819999999999998</v>
      </c>
      <c r="I448" s="9">
        <v>0.45</v>
      </c>
      <c r="J448" s="9">
        <v>0.19400000000000001</v>
      </c>
      <c r="K448" s="9">
        <v>8</v>
      </c>
      <c r="L448" s="9">
        <v>62</v>
      </c>
      <c r="M448" s="9">
        <v>70</v>
      </c>
    </row>
    <row r="449" spans="1:13">
      <c r="A449" s="9">
        <v>448</v>
      </c>
      <c r="B449" s="10">
        <v>40563</v>
      </c>
      <c r="C449" s="9">
        <v>16</v>
      </c>
      <c r="D449" s="9" t="b">
        <v>0</v>
      </c>
      <c r="E449" s="9" t="str">
        <f t="shared" si="6"/>
        <v>Weekday</v>
      </c>
      <c r="F449" s="9">
        <v>2</v>
      </c>
      <c r="G449" s="9">
        <v>0.3</v>
      </c>
      <c r="H449" s="9">
        <v>0.30299999999999999</v>
      </c>
      <c r="I449" s="9">
        <v>0.49</v>
      </c>
      <c r="J449" s="9">
        <v>0.1343</v>
      </c>
      <c r="K449" s="9">
        <v>8</v>
      </c>
      <c r="L449" s="9">
        <v>83</v>
      </c>
      <c r="M449" s="9">
        <v>91</v>
      </c>
    </row>
    <row r="450" spans="1:13">
      <c r="A450" s="9">
        <v>449</v>
      </c>
      <c r="B450" s="10">
        <v>40563</v>
      </c>
      <c r="C450" s="9">
        <v>17</v>
      </c>
      <c r="D450" s="9" t="b">
        <v>0</v>
      </c>
      <c r="E450" s="9" t="str">
        <f t="shared" si="6"/>
        <v>Weekday</v>
      </c>
      <c r="F450" s="9">
        <v>2</v>
      </c>
      <c r="G450" s="9">
        <v>0.3</v>
      </c>
      <c r="H450" s="9">
        <v>0.31819999999999998</v>
      </c>
      <c r="I450" s="9">
        <v>0.49</v>
      </c>
      <c r="J450" s="9">
        <v>0.1045</v>
      </c>
      <c r="K450" s="9">
        <v>8</v>
      </c>
      <c r="L450" s="9">
        <v>207</v>
      </c>
      <c r="M450" s="9">
        <v>215</v>
      </c>
    </row>
    <row r="451" spans="1:13">
      <c r="A451" s="9">
        <v>450</v>
      </c>
      <c r="B451" s="10">
        <v>40563</v>
      </c>
      <c r="C451" s="9">
        <v>18</v>
      </c>
      <c r="D451" s="9" t="b">
        <v>0</v>
      </c>
      <c r="E451" s="9" t="str">
        <f t="shared" ref="E451:E514" si="7">IF(WEEKDAY(B451,2)&gt;=6,"Weekend","Weekday")</f>
        <v>Weekday</v>
      </c>
      <c r="F451" s="9">
        <v>2</v>
      </c>
      <c r="G451" s="9">
        <v>0.26</v>
      </c>
      <c r="H451" s="9">
        <v>0.2576</v>
      </c>
      <c r="I451" s="9">
        <v>0.56000000000000005</v>
      </c>
      <c r="J451" s="9">
        <v>0.19400000000000001</v>
      </c>
      <c r="K451" s="9">
        <v>1</v>
      </c>
      <c r="L451" s="9">
        <v>184</v>
      </c>
      <c r="M451" s="9">
        <v>185</v>
      </c>
    </row>
    <row r="452" spans="1:13">
      <c r="A452" s="9">
        <v>451</v>
      </c>
      <c r="B452" s="10">
        <v>40563</v>
      </c>
      <c r="C452" s="9">
        <v>19</v>
      </c>
      <c r="D452" s="9" t="b">
        <v>0</v>
      </c>
      <c r="E452" s="9" t="str">
        <f t="shared" si="7"/>
        <v>Weekday</v>
      </c>
      <c r="F452" s="9">
        <v>1</v>
      </c>
      <c r="G452" s="9">
        <v>0.26</v>
      </c>
      <c r="H452" s="9">
        <v>0.2273</v>
      </c>
      <c r="I452" s="9">
        <v>0.56000000000000005</v>
      </c>
      <c r="J452" s="9">
        <v>0.32840000000000003</v>
      </c>
      <c r="K452" s="9">
        <v>6</v>
      </c>
      <c r="L452" s="9">
        <v>146</v>
      </c>
      <c r="M452" s="9">
        <v>152</v>
      </c>
    </row>
    <row r="453" spans="1:13">
      <c r="A453" s="9">
        <v>452</v>
      </c>
      <c r="B453" s="10">
        <v>40563</v>
      </c>
      <c r="C453" s="9">
        <v>20</v>
      </c>
      <c r="D453" s="9" t="b">
        <v>0</v>
      </c>
      <c r="E453" s="9" t="str">
        <f t="shared" si="7"/>
        <v>Weekday</v>
      </c>
      <c r="F453" s="9">
        <v>2</v>
      </c>
      <c r="G453" s="9">
        <v>0.26</v>
      </c>
      <c r="H453" s="9">
        <v>0.2424</v>
      </c>
      <c r="I453" s="9">
        <v>0.6</v>
      </c>
      <c r="J453" s="9">
        <v>0.28360000000000002</v>
      </c>
      <c r="K453" s="9">
        <v>2</v>
      </c>
      <c r="L453" s="9">
        <v>124</v>
      </c>
      <c r="M453" s="9">
        <v>126</v>
      </c>
    </row>
    <row r="454" spans="1:13">
      <c r="A454" s="9">
        <v>453</v>
      </c>
      <c r="B454" s="10">
        <v>40563</v>
      </c>
      <c r="C454" s="9">
        <v>21</v>
      </c>
      <c r="D454" s="9" t="b">
        <v>0</v>
      </c>
      <c r="E454" s="9" t="str">
        <f t="shared" si="7"/>
        <v>Weekday</v>
      </c>
      <c r="F454" s="9">
        <v>2</v>
      </c>
      <c r="G454" s="9">
        <v>0.24</v>
      </c>
      <c r="H454" s="9">
        <v>0.2273</v>
      </c>
      <c r="I454" s="9">
        <v>0.6</v>
      </c>
      <c r="J454" s="9">
        <v>0.25369999999999998</v>
      </c>
      <c r="K454" s="9">
        <v>3</v>
      </c>
      <c r="L454" s="9">
        <v>54</v>
      </c>
      <c r="M454" s="9">
        <v>57</v>
      </c>
    </row>
    <row r="455" spans="1:13">
      <c r="A455" s="9">
        <v>454</v>
      </c>
      <c r="B455" s="10">
        <v>40563</v>
      </c>
      <c r="C455" s="9">
        <v>22</v>
      </c>
      <c r="D455" s="9" t="b">
        <v>0</v>
      </c>
      <c r="E455" s="9" t="str">
        <f t="shared" si="7"/>
        <v>Weekday</v>
      </c>
      <c r="F455" s="9">
        <v>2</v>
      </c>
      <c r="G455" s="9">
        <v>0.24</v>
      </c>
      <c r="H455" s="9">
        <v>0.21210000000000001</v>
      </c>
      <c r="I455" s="9">
        <v>0.65</v>
      </c>
      <c r="J455" s="9">
        <v>0.28360000000000002</v>
      </c>
      <c r="K455" s="9">
        <v>0</v>
      </c>
      <c r="L455" s="9">
        <v>56</v>
      </c>
      <c r="M455" s="9">
        <v>56</v>
      </c>
    </row>
    <row r="456" spans="1:13">
      <c r="A456" s="9">
        <v>455</v>
      </c>
      <c r="B456" s="10">
        <v>40563</v>
      </c>
      <c r="C456" s="9">
        <v>23</v>
      </c>
      <c r="D456" s="9" t="b">
        <v>0</v>
      </c>
      <c r="E456" s="9" t="str">
        <f t="shared" si="7"/>
        <v>Weekday</v>
      </c>
      <c r="F456" s="9">
        <v>2</v>
      </c>
      <c r="G456" s="9">
        <v>0.24</v>
      </c>
      <c r="H456" s="9">
        <v>0.21210000000000001</v>
      </c>
      <c r="I456" s="9">
        <v>0.65</v>
      </c>
      <c r="J456" s="9">
        <v>0.32840000000000003</v>
      </c>
      <c r="K456" s="9">
        <v>3</v>
      </c>
      <c r="L456" s="9">
        <v>28</v>
      </c>
      <c r="M456" s="9">
        <v>31</v>
      </c>
    </row>
    <row r="457" spans="1:13">
      <c r="A457" s="9">
        <v>456</v>
      </c>
      <c r="B457" s="10">
        <v>40564</v>
      </c>
      <c r="C457" s="9">
        <v>0</v>
      </c>
      <c r="D457" s="9" t="b">
        <v>0</v>
      </c>
      <c r="E457" s="9" t="str">
        <f t="shared" si="7"/>
        <v>Weekday</v>
      </c>
      <c r="F457" s="9">
        <v>2</v>
      </c>
      <c r="G457" s="9">
        <v>0.24</v>
      </c>
      <c r="H457" s="9">
        <v>0.2273</v>
      </c>
      <c r="I457" s="9">
        <v>0.7</v>
      </c>
      <c r="J457" s="9">
        <v>0.25369999999999998</v>
      </c>
      <c r="K457" s="9">
        <v>1</v>
      </c>
      <c r="L457" s="9">
        <v>20</v>
      </c>
      <c r="M457" s="9">
        <v>21</v>
      </c>
    </row>
    <row r="458" spans="1:13">
      <c r="A458" s="9">
        <v>457</v>
      </c>
      <c r="B458" s="10">
        <v>40564</v>
      </c>
      <c r="C458" s="9">
        <v>1</v>
      </c>
      <c r="D458" s="9" t="b">
        <v>0</v>
      </c>
      <c r="E458" s="9" t="str">
        <f t="shared" si="7"/>
        <v>Weekday</v>
      </c>
      <c r="F458" s="9">
        <v>2</v>
      </c>
      <c r="G458" s="9">
        <v>0.24</v>
      </c>
      <c r="H458" s="9">
        <v>0.2273</v>
      </c>
      <c r="I458" s="9">
        <v>0.7</v>
      </c>
      <c r="J458" s="9">
        <v>0.25369999999999998</v>
      </c>
      <c r="K458" s="9">
        <v>0</v>
      </c>
      <c r="L458" s="9">
        <v>6</v>
      </c>
      <c r="M458" s="9">
        <v>6</v>
      </c>
    </row>
    <row r="459" spans="1:13">
      <c r="A459" s="9">
        <v>458</v>
      </c>
      <c r="B459" s="10">
        <v>40564</v>
      </c>
      <c r="C459" s="9">
        <v>2</v>
      </c>
      <c r="D459" s="9" t="b">
        <v>0</v>
      </c>
      <c r="E459" s="9" t="str">
        <f t="shared" si="7"/>
        <v>Weekday</v>
      </c>
      <c r="F459" s="9">
        <v>3</v>
      </c>
      <c r="G459" s="9">
        <v>0.24</v>
      </c>
      <c r="H459" s="9">
        <v>0.2424</v>
      </c>
      <c r="I459" s="9">
        <v>0.75</v>
      </c>
      <c r="J459" s="9">
        <v>0.16420000000000001</v>
      </c>
      <c r="K459" s="9">
        <v>0</v>
      </c>
      <c r="L459" s="9">
        <v>2</v>
      </c>
      <c r="M459" s="9">
        <v>2</v>
      </c>
    </row>
    <row r="460" spans="1:13">
      <c r="A460" s="9">
        <v>459</v>
      </c>
      <c r="B460" s="10">
        <v>40564</v>
      </c>
      <c r="C460" s="9">
        <v>3</v>
      </c>
      <c r="D460" s="9" t="b">
        <v>0</v>
      </c>
      <c r="E460" s="9" t="str">
        <f t="shared" si="7"/>
        <v>Weekday</v>
      </c>
      <c r="F460" s="9">
        <v>3</v>
      </c>
      <c r="G460" s="9">
        <v>0.22</v>
      </c>
      <c r="H460" s="9">
        <v>0.21210000000000001</v>
      </c>
      <c r="I460" s="9">
        <v>0.8</v>
      </c>
      <c r="J460" s="9">
        <v>0.29849999999999999</v>
      </c>
      <c r="K460" s="9">
        <v>0</v>
      </c>
      <c r="L460" s="9">
        <v>1</v>
      </c>
      <c r="M460" s="9">
        <v>1</v>
      </c>
    </row>
    <row r="461" spans="1:13">
      <c r="A461" s="9">
        <v>460</v>
      </c>
      <c r="B461" s="10">
        <v>40564</v>
      </c>
      <c r="C461" s="9">
        <v>4</v>
      </c>
      <c r="D461" s="9" t="b">
        <v>0</v>
      </c>
      <c r="E461" s="9" t="str">
        <f t="shared" si="7"/>
        <v>Weekday</v>
      </c>
      <c r="F461" s="9">
        <v>2</v>
      </c>
      <c r="G461" s="9">
        <v>0.22</v>
      </c>
      <c r="H461" s="9">
        <v>0.2576</v>
      </c>
      <c r="I461" s="9">
        <v>0.87</v>
      </c>
      <c r="J461" s="9">
        <v>8.9599999999999999E-2</v>
      </c>
      <c r="K461" s="9">
        <v>0</v>
      </c>
      <c r="L461" s="9">
        <v>1</v>
      </c>
      <c r="M461" s="9">
        <v>1</v>
      </c>
    </row>
    <row r="462" spans="1:13">
      <c r="A462" s="9">
        <v>461</v>
      </c>
      <c r="B462" s="10">
        <v>40564</v>
      </c>
      <c r="C462" s="9">
        <v>5</v>
      </c>
      <c r="D462" s="9" t="b">
        <v>0</v>
      </c>
      <c r="E462" s="9" t="str">
        <f t="shared" si="7"/>
        <v>Weekday</v>
      </c>
      <c r="F462" s="9">
        <v>1</v>
      </c>
      <c r="G462" s="9">
        <v>0.24</v>
      </c>
      <c r="H462" s="9">
        <v>0.19700000000000001</v>
      </c>
      <c r="I462" s="9">
        <v>0.6</v>
      </c>
      <c r="J462" s="9">
        <v>0.41789999999999999</v>
      </c>
      <c r="K462" s="9">
        <v>1</v>
      </c>
      <c r="L462" s="9">
        <v>4</v>
      </c>
      <c r="M462" s="9">
        <v>5</v>
      </c>
    </row>
    <row r="463" spans="1:13">
      <c r="A463" s="9">
        <v>462</v>
      </c>
      <c r="B463" s="10">
        <v>40564</v>
      </c>
      <c r="C463" s="9">
        <v>6</v>
      </c>
      <c r="D463" s="9" t="b">
        <v>0</v>
      </c>
      <c r="E463" s="9" t="str">
        <f t="shared" si="7"/>
        <v>Weekday</v>
      </c>
      <c r="F463" s="9">
        <v>1</v>
      </c>
      <c r="G463" s="9">
        <v>0.22</v>
      </c>
      <c r="H463" s="9">
        <v>0.21210000000000001</v>
      </c>
      <c r="I463" s="9">
        <v>0.55000000000000004</v>
      </c>
      <c r="J463" s="9">
        <v>0.25369999999999998</v>
      </c>
      <c r="K463" s="9">
        <v>0</v>
      </c>
      <c r="L463" s="9">
        <v>27</v>
      </c>
      <c r="M463" s="9">
        <v>27</v>
      </c>
    </row>
    <row r="464" spans="1:13">
      <c r="A464" s="9">
        <v>463</v>
      </c>
      <c r="B464" s="10">
        <v>40564</v>
      </c>
      <c r="C464" s="9">
        <v>7</v>
      </c>
      <c r="D464" s="9" t="b">
        <v>0</v>
      </c>
      <c r="E464" s="9" t="str">
        <f t="shared" si="7"/>
        <v>Weekday</v>
      </c>
      <c r="F464" s="9">
        <v>1</v>
      </c>
      <c r="G464" s="9">
        <v>0.2</v>
      </c>
      <c r="H464" s="9">
        <v>0.18179999999999999</v>
      </c>
      <c r="I464" s="9">
        <v>0.51</v>
      </c>
      <c r="J464" s="9">
        <v>0.28360000000000002</v>
      </c>
      <c r="K464" s="9">
        <v>2</v>
      </c>
      <c r="L464" s="9">
        <v>66</v>
      </c>
      <c r="M464" s="9">
        <v>68</v>
      </c>
    </row>
    <row r="465" spans="1:13">
      <c r="A465" s="9">
        <v>464</v>
      </c>
      <c r="B465" s="10">
        <v>40564</v>
      </c>
      <c r="C465" s="9">
        <v>8</v>
      </c>
      <c r="D465" s="9" t="b">
        <v>0</v>
      </c>
      <c r="E465" s="9" t="str">
        <f t="shared" si="7"/>
        <v>Weekday</v>
      </c>
      <c r="F465" s="9">
        <v>1</v>
      </c>
      <c r="G465" s="9">
        <v>0.2</v>
      </c>
      <c r="H465" s="9">
        <v>0.18179999999999999</v>
      </c>
      <c r="I465" s="9">
        <v>0.47</v>
      </c>
      <c r="J465" s="9">
        <v>0.32840000000000003</v>
      </c>
      <c r="K465" s="9">
        <v>7</v>
      </c>
      <c r="L465" s="9">
        <v>210</v>
      </c>
      <c r="M465" s="9">
        <v>217</v>
      </c>
    </row>
    <row r="466" spans="1:13">
      <c r="A466" s="9">
        <v>465</v>
      </c>
      <c r="B466" s="10">
        <v>40564</v>
      </c>
      <c r="C466" s="9">
        <v>9</v>
      </c>
      <c r="D466" s="9" t="b">
        <v>0</v>
      </c>
      <c r="E466" s="9" t="str">
        <f t="shared" si="7"/>
        <v>Weekday</v>
      </c>
      <c r="F466" s="9">
        <v>1</v>
      </c>
      <c r="G466" s="9">
        <v>0.2</v>
      </c>
      <c r="H466" s="9">
        <v>0.18179999999999999</v>
      </c>
      <c r="I466" s="9">
        <v>0.51</v>
      </c>
      <c r="J466" s="9">
        <v>0.35820000000000002</v>
      </c>
      <c r="K466" s="9">
        <v>7</v>
      </c>
      <c r="L466" s="9">
        <v>159</v>
      </c>
      <c r="M466" s="9">
        <v>166</v>
      </c>
    </row>
    <row r="467" spans="1:13">
      <c r="A467" s="9">
        <v>466</v>
      </c>
      <c r="B467" s="10">
        <v>40564</v>
      </c>
      <c r="C467" s="9">
        <v>10</v>
      </c>
      <c r="D467" s="9" t="b">
        <v>0</v>
      </c>
      <c r="E467" s="9" t="str">
        <f t="shared" si="7"/>
        <v>Weekday</v>
      </c>
      <c r="F467" s="9">
        <v>1</v>
      </c>
      <c r="G467" s="9">
        <v>0.2</v>
      </c>
      <c r="H467" s="9">
        <v>0.16669999999999999</v>
      </c>
      <c r="I467" s="9">
        <v>0.47</v>
      </c>
      <c r="J467" s="9">
        <v>0.4627</v>
      </c>
      <c r="K467" s="9">
        <v>6</v>
      </c>
      <c r="L467" s="9">
        <v>57</v>
      </c>
      <c r="M467" s="9">
        <v>63</v>
      </c>
    </row>
    <row r="468" spans="1:13">
      <c r="A468" s="9">
        <v>467</v>
      </c>
      <c r="B468" s="10">
        <v>40564</v>
      </c>
      <c r="C468" s="9">
        <v>11</v>
      </c>
      <c r="D468" s="9" t="b">
        <v>0</v>
      </c>
      <c r="E468" s="9" t="str">
        <f t="shared" si="7"/>
        <v>Weekday</v>
      </c>
      <c r="F468" s="9">
        <v>1</v>
      </c>
      <c r="G468" s="9">
        <v>0.22</v>
      </c>
      <c r="H468" s="9">
        <v>0.18179999999999999</v>
      </c>
      <c r="I468" s="9">
        <v>0.41</v>
      </c>
      <c r="J468" s="9">
        <v>0.4627</v>
      </c>
      <c r="K468" s="9">
        <v>6</v>
      </c>
      <c r="L468" s="9">
        <v>53</v>
      </c>
      <c r="M468" s="9">
        <v>59</v>
      </c>
    </row>
    <row r="469" spans="1:13">
      <c r="A469" s="9">
        <v>468</v>
      </c>
      <c r="B469" s="10">
        <v>40564</v>
      </c>
      <c r="C469" s="9">
        <v>12</v>
      </c>
      <c r="D469" s="9" t="b">
        <v>0</v>
      </c>
      <c r="E469" s="9" t="str">
        <f t="shared" si="7"/>
        <v>Weekday</v>
      </c>
      <c r="F469" s="9">
        <v>1</v>
      </c>
      <c r="G469" s="9">
        <v>0.22</v>
      </c>
      <c r="H469" s="9">
        <v>0.18179999999999999</v>
      </c>
      <c r="I469" s="9">
        <v>0.27</v>
      </c>
      <c r="J469" s="9">
        <v>0.58209999999999995</v>
      </c>
      <c r="K469" s="9">
        <v>11</v>
      </c>
      <c r="L469" s="9">
        <v>67</v>
      </c>
      <c r="M469" s="9">
        <v>78</v>
      </c>
    </row>
    <row r="470" spans="1:13">
      <c r="A470" s="9">
        <v>469</v>
      </c>
      <c r="B470" s="10">
        <v>40564</v>
      </c>
      <c r="C470" s="9">
        <v>13</v>
      </c>
      <c r="D470" s="9" t="b">
        <v>0</v>
      </c>
      <c r="E470" s="9" t="str">
        <f t="shared" si="7"/>
        <v>Weekday</v>
      </c>
      <c r="F470" s="9">
        <v>1</v>
      </c>
      <c r="G470" s="9">
        <v>0.2</v>
      </c>
      <c r="H470" s="9">
        <v>0.1515</v>
      </c>
      <c r="I470" s="9">
        <v>0.21</v>
      </c>
      <c r="J470" s="9">
        <v>0.58209999999999995</v>
      </c>
      <c r="K470" s="9">
        <v>8</v>
      </c>
      <c r="L470" s="9">
        <v>65</v>
      </c>
      <c r="M470" s="9">
        <v>73</v>
      </c>
    </row>
    <row r="471" spans="1:13">
      <c r="A471" s="9">
        <v>470</v>
      </c>
      <c r="B471" s="10">
        <v>40564</v>
      </c>
      <c r="C471" s="9">
        <v>14</v>
      </c>
      <c r="D471" s="9" t="b">
        <v>0</v>
      </c>
      <c r="E471" s="9" t="str">
        <f t="shared" si="7"/>
        <v>Weekday</v>
      </c>
      <c r="F471" s="9">
        <v>1</v>
      </c>
      <c r="G471" s="9">
        <v>0.2</v>
      </c>
      <c r="H471" s="9">
        <v>0.1515</v>
      </c>
      <c r="I471" s="9">
        <v>0.25</v>
      </c>
      <c r="J471" s="9">
        <v>0.52239999999999998</v>
      </c>
      <c r="K471" s="9">
        <v>6</v>
      </c>
      <c r="L471" s="9">
        <v>56</v>
      </c>
      <c r="M471" s="9">
        <v>62</v>
      </c>
    </row>
    <row r="472" spans="1:13">
      <c r="A472" s="9">
        <v>471</v>
      </c>
      <c r="B472" s="10">
        <v>40564</v>
      </c>
      <c r="C472" s="9">
        <v>15</v>
      </c>
      <c r="D472" s="9" t="b">
        <v>0</v>
      </c>
      <c r="E472" s="9" t="str">
        <f t="shared" si="7"/>
        <v>Weekday</v>
      </c>
      <c r="F472" s="9">
        <v>1</v>
      </c>
      <c r="G472" s="9">
        <v>0.16</v>
      </c>
      <c r="H472" s="9">
        <v>0.1212</v>
      </c>
      <c r="I472" s="9">
        <v>0.26</v>
      </c>
      <c r="J472" s="9">
        <v>0.44779999999999998</v>
      </c>
      <c r="K472" s="9">
        <v>4</v>
      </c>
      <c r="L472" s="9">
        <v>61</v>
      </c>
      <c r="M472" s="9">
        <v>65</v>
      </c>
    </row>
    <row r="473" spans="1:13">
      <c r="A473" s="9">
        <v>472</v>
      </c>
      <c r="B473" s="10">
        <v>40564</v>
      </c>
      <c r="C473" s="9">
        <v>16</v>
      </c>
      <c r="D473" s="9" t="b">
        <v>0</v>
      </c>
      <c r="E473" s="9" t="str">
        <f t="shared" si="7"/>
        <v>Weekday</v>
      </c>
      <c r="F473" s="9">
        <v>1</v>
      </c>
      <c r="G473" s="9">
        <v>0.16</v>
      </c>
      <c r="H473" s="9">
        <v>0.13639999999999999</v>
      </c>
      <c r="I473" s="9">
        <v>0.26</v>
      </c>
      <c r="J473" s="9">
        <v>0.35820000000000002</v>
      </c>
      <c r="K473" s="9">
        <v>0</v>
      </c>
      <c r="L473" s="9">
        <v>97</v>
      </c>
      <c r="M473" s="9">
        <v>97</v>
      </c>
    </row>
    <row r="474" spans="1:13">
      <c r="A474" s="9">
        <v>473</v>
      </c>
      <c r="B474" s="10">
        <v>40564</v>
      </c>
      <c r="C474" s="9">
        <v>17</v>
      </c>
      <c r="D474" s="9" t="b">
        <v>0</v>
      </c>
      <c r="E474" s="9" t="str">
        <f t="shared" si="7"/>
        <v>Weekday</v>
      </c>
      <c r="F474" s="9">
        <v>1</v>
      </c>
      <c r="G474" s="9">
        <v>0.14000000000000001</v>
      </c>
      <c r="H474" s="9">
        <v>0.1212</v>
      </c>
      <c r="I474" s="9">
        <v>0.28000000000000003</v>
      </c>
      <c r="J474" s="9">
        <v>0.35820000000000002</v>
      </c>
      <c r="K474" s="9">
        <v>10</v>
      </c>
      <c r="L474" s="9">
        <v>151</v>
      </c>
      <c r="M474" s="9">
        <v>161</v>
      </c>
    </row>
    <row r="475" spans="1:13">
      <c r="A475" s="9">
        <v>474</v>
      </c>
      <c r="B475" s="10">
        <v>40564</v>
      </c>
      <c r="C475" s="9">
        <v>18</v>
      </c>
      <c r="D475" s="9" t="b">
        <v>0</v>
      </c>
      <c r="E475" s="9" t="str">
        <f t="shared" si="7"/>
        <v>Weekday</v>
      </c>
      <c r="F475" s="9">
        <v>1</v>
      </c>
      <c r="G475" s="9">
        <v>0.12</v>
      </c>
      <c r="H475" s="9">
        <v>0.1212</v>
      </c>
      <c r="I475" s="9">
        <v>0.3</v>
      </c>
      <c r="J475" s="9">
        <v>0.25369999999999998</v>
      </c>
      <c r="K475" s="9">
        <v>1</v>
      </c>
      <c r="L475" s="9">
        <v>119</v>
      </c>
      <c r="M475" s="9">
        <v>120</v>
      </c>
    </row>
    <row r="476" spans="1:13">
      <c r="A476" s="9">
        <v>475</v>
      </c>
      <c r="B476" s="10">
        <v>40564</v>
      </c>
      <c r="C476" s="9">
        <v>19</v>
      </c>
      <c r="D476" s="9" t="b">
        <v>0</v>
      </c>
      <c r="E476" s="9" t="str">
        <f t="shared" si="7"/>
        <v>Weekday</v>
      </c>
      <c r="F476" s="9">
        <v>1</v>
      </c>
      <c r="G476" s="9">
        <v>0.12</v>
      </c>
      <c r="H476" s="9">
        <v>0.1061</v>
      </c>
      <c r="I476" s="9">
        <v>0.3</v>
      </c>
      <c r="J476" s="9">
        <v>0.32840000000000003</v>
      </c>
      <c r="K476" s="9">
        <v>3</v>
      </c>
      <c r="L476" s="9">
        <v>93</v>
      </c>
      <c r="M476" s="9">
        <v>96</v>
      </c>
    </row>
    <row r="477" spans="1:13">
      <c r="A477" s="9">
        <v>476</v>
      </c>
      <c r="B477" s="10">
        <v>40564</v>
      </c>
      <c r="C477" s="9">
        <v>20</v>
      </c>
      <c r="D477" s="9" t="b">
        <v>0</v>
      </c>
      <c r="E477" s="9" t="str">
        <f t="shared" si="7"/>
        <v>Weekday</v>
      </c>
      <c r="F477" s="9">
        <v>1</v>
      </c>
      <c r="G477" s="9">
        <v>0.1</v>
      </c>
      <c r="H477" s="9">
        <v>7.5800000000000006E-2</v>
      </c>
      <c r="I477" s="9">
        <v>0.33</v>
      </c>
      <c r="J477" s="9">
        <v>0.41789999999999999</v>
      </c>
      <c r="K477" s="9">
        <v>1</v>
      </c>
      <c r="L477" s="9">
        <v>52</v>
      </c>
      <c r="M477" s="9">
        <v>53</v>
      </c>
    </row>
    <row r="478" spans="1:13">
      <c r="A478" s="9">
        <v>477</v>
      </c>
      <c r="B478" s="10">
        <v>40564</v>
      </c>
      <c r="C478" s="9">
        <v>21</v>
      </c>
      <c r="D478" s="9" t="b">
        <v>0</v>
      </c>
      <c r="E478" s="9" t="str">
        <f t="shared" si="7"/>
        <v>Weekday</v>
      </c>
      <c r="F478" s="9">
        <v>1</v>
      </c>
      <c r="G478" s="9">
        <v>0.08</v>
      </c>
      <c r="H478" s="9">
        <v>7.5800000000000006E-2</v>
      </c>
      <c r="I478" s="9">
        <v>0.38</v>
      </c>
      <c r="J478" s="9">
        <v>0.28360000000000002</v>
      </c>
      <c r="K478" s="9">
        <v>0</v>
      </c>
      <c r="L478" s="9">
        <v>41</v>
      </c>
      <c r="M478" s="9">
        <v>41</v>
      </c>
    </row>
    <row r="479" spans="1:13">
      <c r="A479" s="9">
        <v>478</v>
      </c>
      <c r="B479" s="10">
        <v>40564</v>
      </c>
      <c r="C479" s="9">
        <v>22</v>
      </c>
      <c r="D479" s="9" t="b">
        <v>0</v>
      </c>
      <c r="E479" s="9" t="str">
        <f t="shared" si="7"/>
        <v>Weekday</v>
      </c>
      <c r="F479" s="9">
        <v>1</v>
      </c>
      <c r="G479" s="9">
        <v>0.06</v>
      </c>
      <c r="H479" s="9">
        <v>3.0300000000000001E-2</v>
      </c>
      <c r="I479" s="9">
        <v>0.41</v>
      </c>
      <c r="J479" s="9">
        <v>0.3881</v>
      </c>
      <c r="K479" s="9">
        <v>1</v>
      </c>
      <c r="L479" s="9">
        <v>33</v>
      </c>
      <c r="M479" s="9">
        <v>34</v>
      </c>
    </row>
    <row r="480" spans="1:13">
      <c r="A480" s="9">
        <v>479</v>
      </c>
      <c r="B480" s="10">
        <v>40564</v>
      </c>
      <c r="C480" s="9">
        <v>23</v>
      </c>
      <c r="D480" s="9" t="b">
        <v>0</v>
      </c>
      <c r="E480" s="9" t="str">
        <f t="shared" si="7"/>
        <v>Weekday</v>
      </c>
      <c r="F480" s="9">
        <v>1</v>
      </c>
      <c r="G480" s="9">
        <v>0.06</v>
      </c>
      <c r="H480" s="9">
        <v>4.5499999999999999E-2</v>
      </c>
      <c r="I480" s="9">
        <v>0.38</v>
      </c>
      <c r="J480" s="9">
        <v>0.32840000000000003</v>
      </c>
      <c r="K480" s="9">
        <v>0</v>
      </c>
      <c r="L480" s="9">
        <v>27</v>
      </c>
      <c r="M480" s="9">
        <v>27</v>
      </c>
    </row>
    <row r="481" spans="1:13">
      <c r="A481" s="9">
        <v>480</v>
      </c>
      <c r="B481" s="10">
        <v>40565</v>
      </c>
      <c r="C481" s="9">
        <v>0</v>
      </c>
      <c r="D481" s="9" t="b">
        <v>0</v>
      </c>
      <c r="E481" s="9" t="str">
        <f t="shared" si="7"/>
        <v>Weekend</v>
      </c>
      <c r="F481" s="9">
        <v>1</v>
      </c>
      <c r="G481" s="9">
        <v>0.04</v>
      </c>
      <c r="H481" s="9">
        <v>3.0300000000000001E-2</v>
      </c>
      <c r="I481" s="9">
        <v>0.45</v>
      </c>
      <c r="J481" s="9">
        <v>0.25369999999999998</v>
      </c>
      <c r="K481" s="9">
        <v>0</v>
      </c>
      <c r="L481" s="9">
        <v>13</v>
      </c>
      <c r="M481" s="9">
        <v>13</v>
      </c>
    </row>
    <row r="482" spans="1:13">
      <c r="A482" s="9">
        <v>481</v>
      </c>
      <c r="B482" s="10">
        <v>40565</v>
      </c>
      <c r="C482" s="9">
        <v>1</v>
      </c>
      <c r="D482" s="9" t="b">
        <v>0</v>
      </c>
      <c r="E482" s="9" t="str">
        <f t="shared" si="7"/>
        <v>Weekend</v>
      </c>
      <c r="F482" s="9">
        <v>2</v>
      </c>
      <c r="G482" s="9">
        <v>0.04</v>
      </c>
      <c r="H482" s="9">
        <v>0</v>
      </c>
      <c r="I482" s="9">
        <v>0.41</v>
      </c>
      <c r="J482" s="9">
        <v>0.3881</v>
      </c>
      <c r="K482" s="9">
        <v>3</v>
      </c>
      <c r="L482" s="9">
        <v>9</v>
      </c>
      <c r="M482" s="9">
        <v>12</v>
      </c>
    </row>
    <row r="483" spans="1:13">
      <c r="A483" s="9">
        <v>482</v>
      </c>
      <c r="B483" s="10">
        <v>40565</v>
      </c>
      <c r="C483" s="9">
        <v>2</v>
      </c>
      <c r="D483" s="9" t="b">
        <v>0</v>
      </c>
      <c r="E483" s="9" t="str">
        <f t="shared" si="7"/>
        <v>Weekend</v>
      </c>
      <c r="F483" s="9">
        <v>2</v>
      </c>
      <c r="G483" s="9">
        <v>0.04</v>
      </c>
      <c r="H483" s="9">
        <v>3.0300000000000001E-2</v>
      </c>
      <c r="I483" s="9">
        <v>0.41</v>
      </c>
      <c r="J483" s="9">
        <v>0.25369999999999998</v>
      </c>
      <c r="K483" s="9">
        <v>0</v>
      </c>
      <c r="L483" s="9">
        <v>11</v>
      </c>
      <c r="M483" s="9">
        <v>11</v>
      </c>
    </row>
    <row r="484" spans="1:13">
      <c r="A484" s="9">
        <v>483</v>
      </c>
      <c r="B484" s="10">
        <v>40565</v>
      </c>
      <c r="C484" s="9">
        <v>3</v>
      </c>
      <c r="D484" s="9" t="b">
        <v>0</v>
      </c>
      <c r="E484" s="9" t="str">
        <f t="shared" si="7"/>
        <v>Weekend</v>
      </c>
      <c r="F484" s="9">
        <v>2</v>
      </c>
      <c r="G484" s="9">
        <v>0.04</v>
      </c>
      <c r="H484" s="9">
        <v>3.0300000000000001E-2</v>
      </c>
      <c r="I484" s="9">
        <v>0.41</v>
      </c>
      <c r="J484" s="9">
        <v>0.28360000000000002</v>
      </c>
      <c r="K484" s="9">
        <v>1</v>
      </c>
      <c r="L484" s="9">
        <v>6</v>
      </c>
      <c r="M484" s="9">
        <v>7</v>
      </c>
    </row>
    <row r="485" spans="1:13">
      <c r="A485" s="9">
        <v>484</v>
      </c>
      <c r="B485" s="10">
        <v>40565</v>
      </c>
      <c r="C485" s="9">
        <v>4</v>
      </c>
      <c r="D485" s="9" t="b">
        <v>0</v>
      </c>
      <c r="E485" s="9" t="str">
        <f t="shared" si="7"/>
        <v>Weekend</v>
      </c>
      <c r="F485" s="9">
        <v>2</v>
      </c>
      <c r="G485" s="9">
        <v>0.02</v>
      </c>
      <c r="H485" s="9">
        <v>1.52E-2</v>
      </c>
      <c r="I485" s="9">
        <v>0.48</v>
      </c>
      <c r="J485" s="9">
        <v>0.29849999999999999</v>
      </c>
      <c r="K485" s="9">
        <v>0</v>
      </c>
      <c r="L485" s="9">
        <v>3</v>
      </c>
      <c r="M485" s="9">
        <v>3</v>
      </c>
    </row>
    <row r="486" spans="1:13">
      <c r="A486" s="9">
        <v>485</v>
      </c>
      <c r="B486" s="10">
        <v>40565</v>
      </c>
      <c r="C486" s="9">
        <v>6</v>
      </c>
      <c r="D486" s="9" t="b">
        <v>0</v>
      </c>
      <c r="E486" s="9" t="str">
        <f t="shared" si="7"/>
        <v>Weekend</v>
      </c>
      <c r="F486" s="9">
        <v>2</v>
      </c>
      <c r="G486" s="9">
        <v>0.02</v>
      </c>
      <c r="H486" s="9">
        <v>3.0300000000000001E-2</v>
      </c>
      <c r="I486" s="9">
        <v>0.44</v>
      </c>
      <c r="J486" s="9">
        <v>0.22389999999999999</v>
      </c>
      <c r="K486" s="9">
        <v>0</v>
      </c>
      <c r="L486" s="9">
        <v>2</v>
      </c>
      <c r="M486" s="9">
        <v>2</v>
      </c>
    </row>
    <row r="487" spans="1:13">
      <c r="A487" s="9">
        <v>486</v>
      </c>
      <c r="B487" s="10">
        <v>40565</v>
      </c>
      <c r="C487" s="9">
        <v>7</v>
      </c>
      <c r="D487" s="9" t="b">
        <v>0</v>
      </c>
      <c r="E487" s="9" t="str">
        <f t="shared" si="7"/>
        <v>Weekend</v>
      </c>
      <c r="F487" s="9">
        <v>1</v>
      </c>
      <c r="G487" s="9">
        <v>0.02</v>
      </c>
      <c r="H487" s="9">
        <v>1.52E-2</v>
      </c>
      <c r="I487" s="9">
        <v>0.44</v>
      </c>
      <c r="J487" s="9">
        <v>0.28360000000000002</v>
      </c>
      <c r="K487" s="9">
        <v>0</v>
      </c>
      <c r="L487" s="9">
        <v>8</v>
      </c>
      <c r="M487" s="9">
        <v>8</v>
      </c>
    </row>
    <row r="488" spans="1:13">
      <c r="A488" s="9">
        <v>487</v>
      </c>
      <c r="B488" s="10">
        <v>40565</v>
      </c>
      <c r="C488" s="9">
        <v>8</v>
      </c>
      <c r="D488" s="9" t="b">
        <v>0</v>
      </c>
      <c r="E488" s="9" t="str">
        <f t="shared" si="7"/>
        <v>Weekend</v>
      </c>
      <c r="F488" s="9">
        <v>1</v>
      </c>
      <c r="G488" s="9">
        <v>0.02</v>
      </c>
      <c r="H488" s="9">
        <v>0</v>
      </c>
      <c r="I488" s="9">
        <v>0.44</v>
      </c>
      <c r="J488" s="9">
        <v>0.32840000000000003</v>
      </c>
      <c r="K488" s="9">
        <v>1</v>
      </c>
      <c r="L488" s="9">
        <v>26</v>
      </c>
      <c r="M488" s="9">
        <v>27</v>
      </c>
    </row>
    <row r="489" spans="1:13">
      <c r="A489" s="9">
        <v>488</v>
      </c>
      <c r="B489" s="10">
        <v>40565</v>
      </c>
      <c r="C489" s="9">
        <v>9</v>
      </c>
      <c r="D489" s="9" t="b">
        <v>0</v>
      </c>
      <c r="E489" s="9" t="str">
        <f t="shared" si="7"/>
        <v>Weekend</v>
      </c>
      <c r="F489" s="9">
        <v>1</v>
      </c>
      <c r="G489" s="9">
        <v>0.04</v>
      </c>
      <c r="H489" s="9">
        <v>3.0300000000000001E-2</v>
      </c>
      <c r="I489" s="9">
        <v>0.41</v>
      </c>
      <c r="J489" s="9">
        <v>0.25369999999999998</v>
      </c>
      <c r="K489" s="9">
        <v>3</v>
      </c>
      <c r="L489" s="9">
        <v>37</v>
      </c>
      <c r="M489" s="9">
        <v>40</v>
      </c>
    </row>
    <row r="490" spans="1:13">
      <c r="A490" s="9">
        <v>489</v>
      </c>
      <c r="B490" s="10">
        <v>40565</v>
      </c>
      <c r="C490" s="9">
        <v>10</v>
      </c>
      <c r="D490" s="9" t="b">
        <v>0</v>
      </c>
      <c r="E490" s="9" t="str">
        <f t="shared" si="7"/>
        <v>Weekend</v>
      </c>
      <c r="F490" s="9">
        <v>2</v>
      </c>
      <c r="G490" s="9">
        <v>0.04</v>
      </c>
      <c r="H490" s="9">
        <v>6.0600000000000001E-2</v>
      </c>
      <c r="I490" s="9">
        <v>0.41</v>
      </c>
      <c r="J490" s="9">
        <v>0.16420000000000001</v>
      </c>
      <c r="K490" s="9">
        <v>3</v>
      </c>
      <c r="L490" s="9">
        <v>50</v>
      </c>
      <c r="M490" s="9">
        <v>53</v>
      </c>
    </row>
    <row r="491" spans="1:13">
      <c r="A491" s="9">
        <v>490</v>
      </c>
      <c r="B491" s="10">
        <v>40565</v>
      </c>
      <c r="C491" s="9">
        <v>11</v>
      </c>
      <c r="D491" s="9" t="b">
        <v>0</v>
      </c>
      <c r="E491" s="9" t="str">
        <f t="shared" si="7"/>
        <v>Weekend</v>
      </c>
      <c r="F491" s="9">
        <v>2</v>
      </c>
      <c r="G491" s="9">
        <v>0.06</v>
      </c>
      <c r="H491" s="9">
        <v>7.5800000000000006E-2</v>
      </c>
      <c r="I491" s="9">
        <v>0.38</v>
      </c>
      <c r="J491" s="9">
        <v>0.1343</v>
      </c>
      <c r="K491" s="9">
        <v>4</v>
      </c>
      <c r="L491" s="9">
        <v>59</v>
      </c>
      <c r="M491" s="9">
        <v>63</v>
      </c>
    </row>
    <row r="492" spans="1:13">
      <c r="A492" s="9">
        <v>491</v>
      </c>
      <c r="B492" s="10">
        <v>40565</v>
      </c>
      <c r="C492" s="9">
        <v>12</v>
      </c>
      <c r="D492" s="9" t="b">
        <v>0</v>
      </c>
      <c r="E492" s="9" t="str">
        <f t="shared" si="7"/>
        <v>Weekend</v>
      </c>
      <c r="F492" s="9">
        <v>2</v>
      </c>
      <c r="G492" s="9">
        <v>0.06</v>
      </c>
      <c r="H492" s="9">
        <v>0.1061</v>
      </c>
      <c r="I492" s="9">
        <v>0.38</v>
      </c>
      <c r="J492" s="9">
        <v>0.1045</v>
      </c>
      <c r="K492" s="9">
        <v>10</v>
      </c>
      <c r="L492" s="9">
        <v>60</v>
      </c>
      <c r="M492" s="9">
        <v>70</v>
      </c>
    </row>
    <row r="493" spans="1:13">
      <c r="A493" s="9">
        <v>492</v>
      </c>
      <c r="B493" s="10">
        <v>40565</v>
      </c>
      <c r="C493" s="9">
        <v>13</v>
      </c>
      <c r="D493" s="9" t="b">
        <v>0</v>
      </c>
      <c r="E493" s="9" t="str">
        <f t="shared" si="7"/>
        <v>Weekend</v>
      </c>
      <c r="F493" s="9">
        <v>1</v>
      </c>
      <c r="G493" s="9">
        <v>0.08</v>
      </c>
      <c r="H493" s="9">
        <v>0.16669999999999999</v>
      </c>
      <c r="I493" s="9">
        <v>0.35</v>
      </c>
      <c r="J493" s="9">
        <v>0</v>
      </c>
      <c r="K493" s="9">
        <v>12</v>
      </c>
      <c r="L493" s="9">
        <v>72</v>
      </c>
      <c r="M493" s="9">
        <v>84</v>
      </c>
    </row>
    <row r="494" spans="1:13">
      <c r="A494" s="9">
        <v>493</v>
      </c>
      <c r="B494" s="10">
        <v>40565</v>
      </c>
      <c r="C494" s="9">
        <v>14</v>
      </c>
      <c r="D494" s="9" t="b">
        <v>0</v>
      </c>
      <c r="E494" s="9" t="str">
        <f t="shared" si="7"/>
        <v>Weekend</v>
      </c>
      <c r="F494" s="9">
        <v>1</v>
      </c>
      <c r="G494" s="9">
        <v>0.1</v>
      </c>
      <c r="H494" s="9">
        <v>0.13639999999999999</v>
      </c>
      <c r="I494" s="9">
        <v>0.33</v>
      </c>
      <c r="J494" s="9">
        <v>0.1045</v>
      </c>
      <c r="K494" s="9">
        <v>11</v>
      </c>
      <c r="L494" s="9">
        <v>64</v>
      </c>
      <c r="M494" s="9">
        <v>75</v>
      </c>
    </row>
    <row r="495" spans="1:13">
      <c r="A495" s="9">
        <v>494</v>
      </c>
      <c r="B495" s="10">
        <v>40565</v>
      </c>
      <c r="C495" s="9">
        <v>15</v>
      </c>
      <c r="D495" s="9" t="b">
        <v>0</v>
      </c>
      <c r="E495" s="9" t="str">
        <f t="shared" si="7"/>
        <v>Weekend</v>
      </c>
      <c r="F495" s="9">
        <v>1</v>
      </c>
      <c r="G495" s="9">
        <v>0.12</v>
      </c>
      <c r="H495" s="9">
        <v>0.1515</v>
      </c>
      <c r="I495" s="9">
        <v>0.28000000000000003</v>
      </c>
      <c r="J495" s="9">
        <v>0</v>
      </c>
      <c r="K495" s="9">
        <v>10</v>
      </c>
      <c r="L495" s="9">
        <v>93</v>
      </c>
      <c r="M495" s="9">
        <v>103</v>
      </c>
    </row>
    <row r="496" spans="1:13">
      <c r="A496" s="9">
        <v>495</v>
      </c>
      <c r="B496" s="10">
        <v>40565</v>
      </c>
      <c r="C496" s="9">
        <v>16</v>
      </c>
      <c r="D496" s="9" t="b">
        <v>0</v>
      </c>
      <c r="E496" s="9" t="str">
        <f t="shared" si="7"/>
        <v>Weekend</v>
      </c>
      <c r="F496" s="9">
        <v>1</v>
      </c>
      <c r="G496" s="9">
        <v>0.12</v>
      </c>
      <c r="H496" s="9">
        <v>0.13639999999999999</v>
      </c>
      <c r="I496" s="9">
        <v>0.28000000000000003</v>
      </c>
      <c r="J496" s="9">
        <v>0.19400000000000001</v>
      </c>
      <c r="K496" s="9">
        <v>11</v>
      </c>
      <c r="L496" s="9">
        <v>72</v>
      </c>
      <c r="M496" s="9">
        <v>83</v>
      </c>
    </row>
    <row r="497" spans="1:13">
      <c r="A497" s="9">
        <v>496</v>
      </c>
      <c r="B497" s="10">
        <v>40565</v>
      </c>
      <c r="C497" s="9">
        <v>17</v>
      </c>
      <c r="D497" s="9" t="b">
        <v>0</v>
      </c>
      <c r="E497" s="9" t="str">
        <f t="shared" si="7"/>
        <v>Weekend</v>
      </c>
      <c r="F497" s="9">
        <v>1</v>
      </c>
      <c r="G497" s="9">
        <v>0.12</v>
      </c>
      <c r="H497" s="9">
        <v>0.19700000000000001</v>
      </c>
      <c r="I497" s="9">
        <v>0.28000000000000003</v>
      </c>
      <c r="J497" s="9">
        <v>0</v>
      </c>
      <c r="K497" s="9">
        <v>8</v>
      </c>
      <c r="L497" s="9">
        <v>59</v>
      </c>
      <c r="M497" s="9">
        <v>67</v>
      </c>
    </row>
    <row r="498" spans="1:13">
      <c r="A498" s="9">
        <v>497</v>
      </c>
      <c r="B498" s="10">
        <v>40565</v>
      </c>
      <c r="C498" s="9">
        <v>18</v>
      </c>
      <c r="D498" s="9" t="b">
        <v>0</v>
      </c>
      <c r="E498" s="9" t="str">
        <f t="shared" si="7"/>
        <v>Weekend</v>
      </c>
      <c r="F498" s="9">
        <v>1</v>
      </c>
      <c r="G498" s="9">
        <v>0.08</v>
      </c>
      <c r="H498" s="9">
        <v>9.0899999999999995E-2</v>
      </c>
      <c r="I498" s="9">
        <v>0.35</v>
      </c>
      <c r="J498" s="9">
        <v>0.19400000000000001</v>
      </c>
      <c r="K498" s="9">
        <v>0</v>
      </c>
      <c r="L498" s="9">
        <v>54</v>
      </c>
      <c r="M498" s="9">
        <v>54</v>
      </c>
    </row>
    <row r="499" spans="1:13">
      <c r="A499" s="9">
        <v>498</v>
      </c>
      <c r="B499" s="10">
        <v>40565</v>
      </c>
      <c r="C499" s="9">
        <v>19</v>
      </c>
      <c r="D499" s="9" t="b">
        <v>0</v>
      </c>
      <c r="E499" s="9" t="str">
        <f t="shared" si="7"/>
        <v>Weekend</v>
      </c>
      <c r="F499" s="9">
        <v>1</v>
      </c>
      <c r="G499" s="9">
        <v>0.08</v>
      </c>
      <c r="H499" s="9">
        <v>0.1061</v>
      </c>
      <c r="I499" s="9">
        <v>0.35</v>
      </c>
      <c r="J499" s="9">
        <v>0.1343</v>
      </c>
      <c r="K499" s="9">
        <v>6</v>
      </c>
      <c r="L499" s="9">
        <v>53</v>
      </c>
      <c r="M499" s="9">
        <v>59</v>
      </c>
    </row>
    <row r="500" spans="1:13">
      <c r="A500" s="9">
        <v>499</v>
      </c>
      <c r="B500" s="10">
        <v>40565</v>
      </c>
      <c r="C500" s="9">
        <v>20</v>
      </c>
      <c r="D500" s="9" t="b">
        <v>0</v>
      </c>
      <c r="E500" s="9" t="str">
        <f t="shared" si="7"/>
        <v>Weekend</v>
      </c>
      <c r="F500" s="9">
        <v>1</v>
      </c>
      <c r="G500" s="9">
        <v>0.06</v>
      </c>
      <c r="H500" s="9">
        <v>7.5800000000000006E-2</v>
      </c>
      <c r="I500" s="9">
        <v>0.45</v>
      </c>
      <c r="J500" s="9">
        <v>0.16420000000000001</v>
      </c>
      <c r="K500" s="9">
        <v>1</v>
      </c>
      <c r="L500" s="9">
        <v>44</v>
      </c>
      <c r="M500" s="9">
        <v>45</v>
      </c>
    </row>
    <row r="501" spans="1:13">
      <c r="A501" s="9">
        <v>500</v>
      </c>
      <c r="B501" s="10">
        <v>40565</v>
      </c>
      <c r="C501" s="9">
        <v>21</v>
      </c>
      <c r="D501" s="9" t="b">
        <v>0</v>
      </c>
      <c r="E501" s="9" t="str">
        <f t="shared" si="7"/>
        <v>Weekend</v>
      </c>
      <c r="F501" s="9">
        <v>1</v>
      </c>
      <c r="G501" s="9">
        <v>0.06</v>
      </c>
      <c r="H501" s="9">
        <v>0.1061</v>
      </c>
      <c r="I501" s="9">
        <v>0.41</v>
      </c>
      <c r="J501" s="9">
        <v>8.9599999999999999E-2</v>
      </c>
      <c r="K501" s="9">
        <v>0</v>
      </c>
      <c r="L501" s="9">
        <v>39</v>
      </c>
      <c r="M501" s="9">
        <v>39</v>
      </c>
    </row>
    <row r="502" spans="1:13">
      <c r="A502" s="9">
        <v>501</v>
      </c>
      <c r="B502" s="10">
        <v>40565</v>
      </c>
      <c r="C502" s="9">
        <v>22</v>
      </c>
      <c r="D502" s="9" t="b">
        <v>0</v>
      </c>
      <c r="E502" s="9" t="str">
        <f t="shared" si="7"/>
        <v>Weekend</v>
      </c>
      <c r="F502" s="9">
        <v>1</v>
      </c>
      <c r="G502" s="9">
        <v>0.06</v>
      </c>
      <c r="H502" s="9">
        <v>0.1515</v>
      </c>
      <c r="I502" s="9">
        <v>0.49</v>
      </c>
      <c r="J502" s="9">
        <v>0</v>
      </c>
      <c r="K502" s="9">
        <v>7</v>
      </c>
      <c r="L502" s="9">
        <v>23</v>
      </c>
      <c r="M502" s="9">
        <v>30</v>
      </c>
    </row>
    <row r="503" spans="1:13">
      <c r="A503" s="9">
        <v>502</v>
      </c>
      <c r="B503" s="10">
        <v>40565</v>
      </c>
      <c r="C503" s="9">
        <v>23</v>
      </c>
      <c r="D503" s="9" t="b">
        <v>0</v>
      </c>
      <c r="E503" s="9" t="str">
        <f t="shared" si="7"/>
        <v>Weekend</v>
      </c>
      <c r="F503" s="9">
        <v>1</v>
      </c>
      <c r="G503" s="9">
        <v>0.04</v>
      </c>
      <c r="H503" s="9">
        <v>7.5800000000000006E-2</v>
      </c>
      <c r="I503" s="9">
        <v>0.56999999999999995</v>
      </c>
      <c r="J503" s="9">
        <v>0.1045</v>
      </c>
      <c r="K503" s="9">
        <v>2</v>
      </c>
      <c r="L503" s="9">
        <v>31</v>
      </c>
      <c r="M503" s="9">
        <v>33</v>
      </c>
    </row>
    <row r="504" spans="1:13">
      <c r="A504" s="9">
        <v>503</v>
      </c>
      <c r="B504" s="10">
        <v>40566</v>
      </c>
      <c r="C504" s="9">
        <v>0</v>
      </c>
      <c r="D504" s="9" t="b">
        <v>0</v>
      </c>
      <c r="E504" s="9" t="str">
        <f t="shared" si="7"/>
        <v>Weekend</v>
      </c>
      <c r="F504" s="9">
        <v>1</v>
      </c>
      <c r="G504" s="9">
        <v>0.04</v>
      </c>
      <c r="H504" s="9">
        <v>7.5800000000000006E-2</v>
      </c>
      <c r="I504" s="9">
        <v>0.56999999999999995</v>
      </c>
      <c r="J504" s="9">
        <v>0.1045</v>
      </c>
      <c r="K504" s="9">
        <v>2</v>
      </c>
      <c r="L504" s="9">
        <v>20</v>
      </c>
      <c r="M504" s="9">
        <v>22</v>
      </c>
    </row>
    <row r="505" spans="1:13">
      <c r="A505" s="9">
        <v>504</v>
      </c>
      <c r="B505" s="10">
        <v>40566</v>
      </c>
      <c r="C505" s="9">
        <v>1</v>
      </c>
      <c r="D505" s="9" t="b">
        <v>0</v>
      </c>
      <c r="E505" s="9" t="str">
        <f t="shared" si="7"/>
        <v>Weekend</v>
      </c>
      <c r="F505" s="9">
        <v>1</v>
      </c>
      <c r="G505" s="9">
        <v>0.04</v>
      </c>
      <c r="H505" s="9">
        <v>7.5800000000000006E-2</v>
      </c>
      <c r="I505" s="9">
        <v>0.56999999999999995</v>
      </c>
      <c r="J505" s="9">
        <v>0.1045</v>
      </c>
      <c r="K505" s="9">
        <v>1</v>
      </c>
      <c r="L505" s="9">
        <v>12</v>
      </c>
      <c r="M505" s="9">
        <v>13</v>
      </c>
    </row>
    <row r="506" spans="1:13">
      <c r="A506" s="9">
        <v>505</v>
      </c>
      <c r="B506" s="10">
        <v>40566</v>
      </c>
      <c r="C506" s="9">
        <v>2</v>
      </c>
      <c r="D506" s="9" t="b">
        <v>0</v>
      </c>
      <c r="E506" s="9" t="str">
        <f t="shared" si="7"/>
        <v>Weekend</v>
      </c>
      <c r="F506" s="9">
        <v>1</v>
      </c>
      <c r="G506" s="9">
        <v>0.02</v>
      </c>
      <c r="H506" s="9">
        <v>6.0600000000000001E-2</v>
      </c>
      <c r="I506" s="9">
        <v>0.62</v>
      </c>
      <c r="J506" s="9">
        <v>0.1343</v>
      </c>
      <c r="K506" s="9">
        <v>3</v>
      </c>
      <c r="L506" s="9">
        <v>15</v>
      </c>
      <c r="M506" s="9">
        <v>18</v>
      </c>
    </row>
    <row r="507" spans="1:13">
      <c r="A507" s="9">
        <v>506</v>
      </c>
      <c r="B507" s="10">
        <v>40566</v>
      </c>
      <c r="C507" s="9">
        <v>3</v>
      </c>
      <c r="D507" s="9" t="b">
        <v>0</v>
      </c>
      <c r="E507" s="9" t="str">
        <f t="shared" si="7"/>
        <v>Weekend</v>
      </c>
      <c r="F507" s="9">
        <v>1</v>
      </c>
      <c r="G507" s="9">
        <v>0.02</v>
      </c>
      <c r="H507" s="9">
        <v>6.0600000000000001E-2</v>
      </c>
      <c r="I507" s="9">
        <v>0.62</v>
      </c>
      <c r="J507" s="9">
        <v>0.1343</v>
      </c>
      <c r="K507" s="9">
        <v>1</v>
      </c>
      <c r="L507" s="9">
        <v>4</v>
      </c>
      <c r="M507" s="9">
        <v>5</v>
      </c>
    </row>
    <row r="508" spans="1:13">
      <c r="A508" s="9">
        <v>507</v>
      </c>
      <c r="B508" s="10">
        <v>40566</v>
      </c>
      <c r="C508" s="9">
        <v>5</v>
      </c>
      <c r="D508" s="9" t="b">
        <v>0</v>
      </c>
      <c r="E508" s="9" t="str">
        <f t="shared" si="7"/>
        <v>Weekend</v>
      </c>
      <c r="F508" s="9">
        <v>2</v>
      </c>
      <c r="G508" s="9">
        <v>0.04</v>
      </c>
      <c r="H508" s="9">
        <v>7.5800000000000006E-2</v>
      </c>
      <c r="I508" s="9">
        <v>0.56999999999999995</v>
      </c>
      <c r="J508" s="9">
        <v>0.1045</v>
      </c>
      <c r="K508" s="9">
        <v>0</v>
      </c>
      <c r="L508" s="9">
        <v>3</v>
      </c>
      <c r="M508" s="9">
        <v>3</v>
      </c>
    </row>
    <row r="509" spans="1:13">
      <c r="A509" s="9">
        <v>508</v>
      </c>
      <c r="B509" s="10">
        <v>40566</v>
      </c>
      <c r="C509" s="9">
        <v>6</v>
      </c>
      <c r="D509" s="9" t="b">
        <v>0</v>
      </c>
      <c r="E509" s="9" t="str">
        <f t="shared" si="7"/>
        <v>Weekend</v>
      </c>
      <c r="F509" s="9">
        <v>2</v>
      </c>
      <c r="G509" s="9">
        <v>0.04</v>
      </c>
      <c r="H509" s="9">
        <v>7.5800000000000006E-2</v>
      </c>
      <c r="I509" s="9">
        <v>0.56999999999999995</v>
      </c>
      <c r="J509" s="9">
        <v>0.1045</v>
      </c>
      <c r="K509" s="9">
        <v>0</v>
      </c>
      <c r="L509" s="9">
        <v>1</v>
      </c>
      <c r="M509" s="9">
        <v>1</v>
      </c>
    </row>
    <row r="510" spans="1:13">
      <c r="A510" s="9">
        <v>509</v>
      </c>
      <c r="B510" s="10">
        <v>40566</v>
      </c>
      <c r="C510" s="9">
        <v>7</v>
      </c>
      <c r="D510" s="9" t="b">
        <v>0</v>
      </c>
      <c r="E510" s="9" t="str">
        <f t="shared" si="7"/>
        <v>Weekend</v>
      </c>
      <c r="F510" s="9">
        <v>1</v>
      </c>
      <c r="G510" s="9">
        <v>0.08</v>
      </c>
      <c r="H510" s="9">
        <v>0.1061</v>
      </c>
      <c r="I510" s="9">
        <v>0.57999999999999996</v>
      </c>
      <c r="J510" s="9">
        <v>0.16420000000000001</v>
      </c>
      <c r="K510" s="9">
        <v>1</v>
      </c>
      <c r="L510" s="9">
        <v>1</v>
      </c>
      <c r="M510" s="9">
        <v>2</v>
      </c>
    </row>
    <row r="511" spans="1:13">
      <c r="A511" s="9">
        <v>510</v>
      </c>
      <c r="B511" s="10">
        <v>40566</v>
      </c>
      <c r="C511" s="9">
        <v>8</v>
      </c>
      <c r="D511" s="9" t="b">
        <v>0</v>
      </c>
      <c r="E511" s="9" t="str">
        <f t="shared" si="7"/>
        <v>Weekend</v>
      </c>
      <c r="F511" s="9">
        <v>1</v>
      </c>
      <c r="G511" s="9">
        <v>0.06</v>
      </c>
      <c r="H511" s="9">
        <v>7.5800000000000006E-2</v>
      </c>
      <c r="I511" s="9">
        <v>0.62</v>
      </c>
      <c r="J511" s="9">
        <v>0.16420000000000001</v>
      </c>
      <c r="K511" s="9">
        <v>2</v>
      </c>
      <c r="L511" s="9">
        <v>17</v>
      </c>
      <c r="M511" s="9">
        <v>19</v>
      </c>
    </row>
    <row r="512" spans="1:13">
      <c r="A512" s="9">
        <v>511</v>
      </c>
      <c r="B512" s="10">
        <v>40566</v>
      </c>
      <c r="C512" s="9">
        <v>9</v>
      </c>
      <c r="D512" s="9" t="b">
        <v>0</v>
      </c>
      <c r="E512" s="9" t="str">
        <f t="shared" si="7"/>
        <v>Weekend</v>
      </c>
      <c r="F512" s="9">
        <v>1</v>
      </c>
      <c r="G512" s="9">
        <v>0.1</v>
      </c>
      <c r="H512" s="9">
        <v>7.5800000000000006E-2</v>
      </c>
      <c r="I512" s="9">
        <v>0.54</v>
      </c>
      <c r="J512" s="9">
        <v>0.35820000000000002</v>
      </c>
      <c r="K512" s="9">
        <v>3</v>
      </c>
      <c r="L512" s="9">
        <v>25</v>
      </c>
      <c r="M512" s="9">
        <v>28</v>
      </c>
    </row>
    <row r="513" spans="1:13">
      <c r="A513" s="9">
        <v>512</v>
      </c>
      <c r="B513" s="10">
        <v>40566</v>
      </c>
      <c r="C513" s="9">
        <v>10</v>
      </c>
      <c r="D513" s="9" t="b">
        <v>0</v>
      </c>
      <c r="E513" s="9" t="str">
        <f t="shared" si="7"/>
        <v>Weekend</v>
      </c>
      <c r="F513" s="9">
        <v>1</v>
      </c>
      <c r="G513" s="9">
        <v>0.14000000000000001</v>
      </c>
      <c r="H513" s="9">
        <v>0.1061</v>
      </c>
      <c r="I513" s="9">
        <v>0.46</v>
      </c>
      <c r="J513" s="9">
        <v>0.3881</v>
      </c>
      <c r="K513" s="9">
        <v>7</v>
      </c>
      <c r="L513" s="9">
        <v>51</v>
      </c>
      <c r="M513" s="9">
        <v>58</v>
      </c>
    </row>
    <row r="514" spans="1:13">
      <c r="A514" s="9">
        <v>513</v>
      </c>
      <c r="B514" s="10">
        <v>40566</v>
      </c>
      <c r="C514" s="9">
        <v>11</v>
      </c>
      <c r="D514" s="9" t="b">
        <v>0</v>
      </c>
      <c r="E514" s="9" t="str">
        <f t="shared" si="7"/>
        <v>Weekend</v>
      </c>
      <c r="F514" s="9">
        <v>1</v>
      </c>
      <c r="G514" s="9">
        <v>0.14000000000000001</v>
      </c>
      <c r="H514" s="9">
        <v>0.13639999999999999</v>
      </c>
      <c r="I514" s="9">
        <v>0.43</v>
      </c>
      <c r="J514" s="9">
        <v>0.22389999999999999</v>
      </c>
      <c r="K514" s="9">
        <v>22</v>
      </c>
      <c r="L514" s="9">
        <v>77</v>
      </c>
      <c r="M514" s="9">
        <v>99</v>
      </c>
    </row>
    <row r="515" spans="1:13">
      <c r="A515" s="9">
        <v>514</v>
      </c>
      <c r="B515" s="10">
        <v>40566</v>
      </c>
      <c r="C515" s="9">
        <v>12</v>
      </c>
      <c r="D515" s="9" t="b">
        <v>0</v>
      </c>
      <c r="E515" s="9" t="str">
        <f t="shared" ref="E515:E578" si="8">IF(WEEKDAY(B515,2)&gt;=6,"Weekend","Weekday")</f>
        <v>Weekend</v>
      </c>
      <c r="F515" s="9">
        <v>1</v>
      </c>
      <c r="G515" s="9">
        <v>0.16</v>
      </c>
      <c r="H515" s="9">
        <v>0.1212</v>
      </c>
      <c r="I515" s="9">
        <v>0.37</v>
      </c>
      <c r="J515" s="9">
        <v>0.4627</v>
      </c>
      <c r="K515" s="9">
        <v>24</v>
      </c>
      <c r="L515" s="9">
        <v>92</v>
      </c>
      <c r="M515" s="9">
        <v>116</v>
      </c>
    </row>
    <row r="516" spans="1:13">
      <c r="A516" s="9">
        <v>515</v>
      </c>
      <c r="B516" s="10">
        <v>40566</v>
      </c>
      <c r="C516" s="9">
        <v>13</v>
      </c>
      <c r="D516" s="9" t="b">
        <v>0</v>
      </c>
      <c r="E516" s="9" t="str">
        <f t="shared" si="8"/>
        <v>Weekend</v>
      </c>
      <c r="F516" s="9">
        <v>1</v>
      </c>
      <c r="G516" s="9">
        <v>0.14000000000000001</v>
      </c>
      <c r="H516" s="9">
        <v>0.1061</v>
      </c>
      <c r="I516" s="9">
        <v>0.33</v>
      </c>
      <c r="J516" s="9">
        <v>0.3881</v>
      </c>
      <c r="K516" s="9">
        <v>12</v>
      </c>
      <c r="L516" s="9">
        <v>75</v>
      </c>
      <c r="M516" s="9">
        <v>87</v>
      </c>
    </row>
    <row r="517" spans="1:13">
      <c r="A517" s="9">
        <v>516</v>
      </c>
      <c r="B517" s="10">
        <v>40566</v>
      </c>
      <c r="C517" s="9">
        <v>14</v>
      </c>
      <c r="D517" s="9" t="b">
        <v>0</v>
      </c>
      <c r="E517" s="9" t="str">
        <f t="shared" si="8"/>
        <v>Weekend</v>
      </c>
      <c r="F517" s="9">
        <v>1</v>
      </c>
      <c r="G517" s="9">
        <v>0.16</v>
      </c>
      <c r="H517" s="9">
        <v>0.13639999999999999</v>
      </c>
      <c r="I517" s="9">
        <v>0.28000000000000003</v>
      </c>
      <c r="J517" s="9">
        <v>0.35820000000000002</v>
      </c>
      <c r="K517" s="9">
        <v>17</v>
      </c>
      <c r="L517" s="9">
        <v>93</v>
      </c>
      <c r="M517" s="9">
        <v>110</v>
      </c>
    </row>
    <row r="518" spans="1:13">
      <c r="A518" s="9">
        <v>517</v>
      </c>
      <c r="B518" s="10">
        <v>40566</v>
      </c>
      <c r="C518" s="9">
        <v>15</v>
      </c>
      <c r="D518" s="9" t="b">
        <v>0</v>
      </c>
      <c r="E518" s="9" t="str">
        <f t="shared" si="8"/>
        <v>Weekend</v>
      </c>
      <c r="F518" s="9">
        <v>1</v>
      </c>
      <c r="G518" s="9">
        <v>0.16</v>
      </c>
      <c r="H518" s="9">
        <v>0.13639999999999999</v>
      </c>
      <c r="I518" s="9">
        <v>0.28000000000000003</v>
      </c>
      <c r="J518" s="9">
        <v>0.35820000000000002</v>
      </c>
      <c r="K518" s="9">
        <v>13</v>
      </c>
      <c r="L518" s="9">
        <v>64</v>
      </c>
      <c r="M518" s="9">
        <v>77</v>
      </c>
    </row>
    <row r="519" spans="1:13">
      <c r="A519" s="9">
        <v>518</v>
      </c>
      <c r="B519" s="10">
        <v>40566</v>
      </c>
      <c r="C519" s="9">
        <v>16</v>
      </c>
      <c r="D519" s="9" t="b">
        <v>0</v>
      </c>
      <c r="E519" s="9" t="str">
        <f t="shared" si="8"/>
        <v>Weekend</v>
      </c>
      <c r="F519" s="9">
        <v>1</v>
      </c>
      <c r="G519" s="9">
        <v>0.16</v>
      </c>
      <c r="H519" s="9">
        <v>0.13639999999999999</v>
      </c>
      <c r="I519" s="9">
        <v>0.26</v>
      </c>
      <c r="J519" s="9">
        <v>0.32840000000000003</v>
      </c>
      <c r="K519" s="9">
        <v>9</v>
      </c>
      <c r="L519" s="9">
        <v>56</v>
      </c>
      <c r="M519" s="9">
        <v>65</v>
      </c>
    </row>
    <row r="520" spans="1:13">
      <c r="A520" s="9">
        <v>519</v>
      </c>
      <c r="B520" s="10">
        <v>40566</v>
      </c>
      <c r="C520" s="9">
        <v>17</v>
      </c>
      <c r="D520" s="9" t="b">
        <v>0</v>
      </c>
      <c r="E520" s="9" t="str">
        <f t="shared" si="8"/>
        <v>Weekend</v>
      </c>
      <c r="F520" s="9">
        <v>1</v>
      </c>
      <c r="G520" s="9">
        <v>0.14000000000000001</v>
      </c>
      <c r="H520" s="9">
        <v>0.1061</v>
      </c>
      <c r="I520" s="9">
        <v>0.26</v>
      </c>
      <c r="J520" s="9">
        <v>0.3881</v>
      </c>
      <c r="K520" s="9">
        <v>5</v>
      </c>
      <c r="L520" s="9">
        <v>50</v>
      </c>
      <c r="M520" s="9">
        <v>55</v>
      </c>
    </row>
    <row r="521" spans="1:13">
      <c r="A521" s="9">
        <v>520</v>
      </c>
      <c r="B521" s="10">
        <v>40566</v>
      </c>
      <c r="C521" s="9">
        <v>18</v>
      </c>
      <c r="D521" s="9" t="b">
        <v>0</v>
      </c>
      <c r="E521" s="9" t="str">
        <f t="shared" si="8"/>
        <v>Weekend</v>
      </c>
      <c r="F521" s="9">
        <v>1</v>
      </c>
      <c r="G521" s="9">
        <v>0.12</v>
      </c>
      <c r="H521" s="9">
        <v>0.1212</v>
      </c>
      <c r="I521" s="9">
        <v>0.3</v>
      </c>
      <c r="J521" s="9">
        <v>0.25369999999999998</v>
      </c>
      <c r="K521" s="9">
        <v>5</v>
      </c>
      <c r="L521" s="9">
        <v>44</v>
      </c>
      <c r="M521" s="9">
        <v>49</v>
      </c>
    </row>
    <row r="522" spans="1:13">
      <c r="A522" s="9">
        <v>521</v>
      </c>
      <c r="B522" s="10">
        <v>40566</v>
      </c>
      <c r="C522" s="9">
        <v>19</v>
      </c>
      <c r="D522" s="9" t="b">
        <v>0</v>
      </c>
      <c r="E522" s="9" t="str">
        <f t="shared" si="8"/>
        <v>Weekend</v>
      </c>
      <c r="F522" s="9">
        <v>1</v>
      </c>
      <c r="G522" s="9">
        <v>0.12</v>
      </c>
      <c r="H522" s="9">
        <v>0.1212</v>
      </c>
      <c r="I522" s="9">
        <v>0.3</v>
      </c>
      <c r="J522" s="9">
        <v>0.28360000000000002</v>
      </c>
      <c r="K522" s="9">
        <v>5</v>
      </c>
      <c r="L522" s="9">
        <v>45</v>
      </c>
      <c r="M522" s="9">
        <v>50</v>
      </c>
    </row>
    <row r="523" spans="1:13">
      <c r="A523" s="9">
        <v>522</v>
      </c>
      <c r="B523" s="10">
        <v>40566</v>
      </c>
      <c r="C523" s="9">
        <v>20</v>
      </c>
      <c r="D523" s="9" t="b">
        <v>0</v>
      </c>
      <c r="E523" s="9" t="str">
        <f t="shared" si="8"/>
        <v>Weekend</v>
      </c>
      <c r="F523" s="9">
        <v>1</v>
      </c>
      <c r="G523" s="9">
        <v>0.1</v>
      </c>
      <c r="H523" s="9">
        <v>0.1061</v>
      </c>
      <c r="I523" s="9">
        <v>0.36</v>
      </c>
      <c r="J523" s="9">
        <v>0.25369999999999998</v>
      </c>
      <c r="K523" s="9">
        <v>4</v>
      </c>
      <c r="L523" s="9">
        <v>31</v>
      </c>
      <c r="M523" s="9">
        <v>35</v>
      </c>
    </row>
    <row r="524" spans="1:13">
      <c r="A524" s="9">
        <v>523</v>
      </c>
      <c r="B524" s="10">
        <v>40566</v>
      </c>
      <c r="C524" s="9">
        <v>21</v>
      </c>
      <c r="D524" s="9" t="b">
        <v>0</v>
      </c>
      <c r="E524" s="9" t="str">
        <f t="shared" si="8"/>
        <v>Weekend</v>
      </c>
      <c r="F524" s="9">
        <v>1</v>
      </c>
      <c r="G524" s="9">
        <v>0.1</v>
      </c>
      <c r="H524" s="9">
        <v>0.1061</v>
      </c>
      <c r="I524" s="9">
        <v>0.36</v>
      </c>
      <c r="J524" s="9">
        <v>0.19400000000000001</v>
      </c>
      <c r="K524" s="9">
        <v>5</v>
      </c>
      <c r="L524" s="9">
        <v>20</v>
      </c>
      <c r="M524" s="9">
        <v>25</v>
      </c>
    </row>
    <row r="525" spans="1:13">
      <c r="A525" s="9">
        <v>524</v>
      </c>
      <c r="B525" s="10">
        <v>40566</v>
      </c>
      <c r="C525" s="9">
        <v>22</v>
      </c>
      <c r="D525" s="9" t="b">
        <v>0</v>
      </c>
      <c r="E525" s="9" t="str">
        <f t="shared" si="8"/>
        <v>Weekend</v>
      </c>
      <c r="F525" s="9">
        <v>1</v>
      </c>
      <c r="G525" s="9">
        <v>0.08</v>
      </c>
      <c r="H525" s="9">
        <v>9.0899999999999995E-2</v>
      </c>
      <c r="I525" s="9">
        <v>0.38</v>
      </c>
      <c r="J525" s="9">
        <v>0.19400000000000001</v>
      </c>
      <c r="K525" s="9">
        <v>5</v>
      </c>
      <c r="L525" s="9">
        <v>23</v>
      </c>
      <c r="M525" s="9">
        <v>28</v>
      </c>
    </row>
    <row r="526" spans="1:13">
      <c r="A526" s="9">
        <v>525</v>
      </c>
      <c r="B526" s="10">
        <v>40566</v>
      </c>
      <c r="C526" s="9">
        <v>23</v>
      </c>
      <c r="D526" s="9" t="b">
        <v>0</v>
      </c>
      <c r="E526" s="9" t="str">
        <f t="shared" si="8"/>
        <v>Weekend</v>
      </c>
      <c r="F526" s="9">
        <v>1</v>
      </c>
      <c r="G526" s="9">
        <v>0.06</v>
      </c>
      <c r="H526" s="9">
        <v>6.0600000000000001E-2</v>
      </c>
      <c r="I526" s="9">
        <v>0.41</v>
      </c>
      <c r="J526" s="9">
        <v>0.22389999999999999</v>
      </c>
      <c r="K526" s="9">
        <v>4</v>
      </c>
      <c r="L526" s="9">
        <v>17</v>
      </c>
      <c r="M526" s="9">
        <v>21</v>
      </c>
    </row>
    <row r="527" spans="1:13">
      <c r="A527" s="9">
        <v>526</v>
      </c>
      <c r="B527" s="10">
        <v>40567</v>
      </c>
      <c r="C527" s="9">
        <v>0</v>
      </c>
      <c r="D527" s="9" t="b">
        <v>0</v>
      </c>
      <c r="E527" s="9" t="str">
        <f t="shared" si="8"/>
        <v>Weekday</v>
      </c>
      <c r="F527" s="9">
        <v>1</v>
      </c>
      <c r="G527" s="9">
        <v>0.06</v>
      </c>
      <c r="H527" s="9">
        <v>6.0600000000000001E-2</v>
      </c>
      <c r="I527" s="9">
        <v>0.41</v>
      </c>
      <c r="J527" s="9">
        <v>0.19400000000000001</v>
      </c>
      <c r="K527" s="9">
        <v>0</v>
      </c>
      <c r="L527" s="9">
        <v>7</v>
      </c>
      <c r="M527" s="9">
        <v>7</v>
      </c>
    </row>
    <row r="528" spans="1:13">
      <c r="A528" s="9">
        <v>527</v>
      </c>
      <c r="B528" s="10">
        <v>40567</v>
      </c>
      <c r="C528" s="9">
        <v>1</v>
      </c>
      <c r="D528" s="9" t="b">
        <v>0</v>
      </c>
      <c r="E528" s="9" t="str">
        <f t="shared" si="8"/>
        <v>Weekday</v>
      </c>
      <c r="F528" s="9">
        <v>1</v>
      </c>
      <c r="G528" s="9">
        <v>0.04</v>
      </c>
      <c r="H528" s="9">
        <v>4.5499999999999999E-2</v>
      </c>
      <c r="I528" s="9">
        <v>0.45</v>
      </c>
      <c r="J528" s="9">
        <v>0.19400000000000001</v>
      </c>
      <c r="K528" s="9">
        <v>0</v>
      </c>
      <c r="L528" s="9">
        <v>1</v>
      </c>
      <c r="M528" s="9">
        <v>1</v>
      </c>
    </row>
    <row r="529" spans="1:13">
      <c r="A529" s="9">
        <v>528</v>
      </c>
      <c r="B529" s="10">
        <v>40567</v>
      </c>
      <c r="C529" s="9">
        <v>3</v>
      </c>
      <c r="D529" s="9" t="b">
        <v>0</v>
      </c>
      <c r="E529" s="9" t="str">
        <f t="shared" si="8"/>
        <v>Weekday</v>
      </c>
      <c r="F529" s="9">
        <v>1</v>
      </c>
      <c r="G529" s="9">
        <v>0.04</v>
      </c>
      <c r="H529" s="9">
        <v>3.0300000000000001E-2</v>
      </c>
      <c r="I529" s="9">
        <v>0.45</v>
      </c>
      <c r="J529" s="9">
        <v>0.25369999999999998</v>
      </c>
      <c r="K529" s="9">
        <v>0</v>
      </c>
      <c r="L529" s="9">
        <v>1</v>
      </c>
      <c r="M529" s="9">
        <v>1</v>
      </c>
    </row>
    <row r="530" spans="1:13">
      <c r="A530" s="9">
        <v>529</v>
      </c>
      <c r="B530" s="10">
        <v>40567</v>
      </c>
      <c r="C530" s="9">
        <v>4</v>
      </c>
      <c r="D530" s="9" t="b">
        <v>0</v>
      </c>
      <c r="E530" s="9" t="str">
        <f t="shared" si="8"/>
        <v>Weekday</v>
      </c>
      <c r="F530" s="9">
        <v>1</v>
      </c>
      <c r="G530" s="9">
        <v>0.02</v>
      </c>
      <c r="H530" s="9">
        <v>6.0600000000000001E-2</v>
      </c>
      <c r="I530" s="9">
        <v>0.48</v>
      </c>
      <c r="J530" s="9">
        <v>0.1343</v>
      </c>
      <c r="K530" s="9">
        <v>0</v>
      </c>
      <c r="L530" s="9">
        <v>1</v>
      </c>
      <c r="M530" s="9">
        <v>1</v>
      </c>
    </row>
    <row r="531" spans="1:13">
      <c r="A531" s="9">
        <v>530</v>
      </c>
      <c r="B531" s="10">
        <v>40567</v>
      </c>
      <c r="C531" s="9">
        <v>5</v>
      </c>
      <c r="D531" s="9" t="b">
        <v>0</v>
      </c>
      <c r="E531" s="9" t="str">
        <f t="shared" si="8"/>
        <v>Weekday</v>
      </c>
      <c r="F531" s="9">
        <v>1</v>
      </c>
      <c r="G531" s="9">
        <v>0.02</v>
      </c>
      <c r="H531" s="9">
        <v>6.0600000000000001E-2</v>
      </c>
      <c r="I531" s="9">
        <v>0.48</v>
      </c>
      <c r="J531" s="9">
        <v>0.1343</v>
      </c>
      <c r="K531" s="9">
        <v>0</v>
      </c>
      <c r="L531" s="9">
        <v>5</v>
      </c>
      <c r="M531" s="9">
        <v>5</v>
      </c>
    </row>
    <row r="532" spans="1:13">
      <c r="A532" s="9">
        <v>531</v>
      </c>
      <c r="B532" s="10">
        <v>40567</v>
      </c>
      <c r="C532" s="9">
        <v>6</v>
      </c>
      <c r="D532" s="9" t="b">
        <v>0</v>
      </c>
      <c r="E532" s="9" t="str">
        <f t="shared" si="8"/>
        <v>Weekday</v>
      </c>
      <c r="F532" s="9">
        <v>1</v>
      </c>
      <c r="G532" s="9">
        <v>0.02</v>
      </c>
      <c r="H532" s="9">
        <v>7.5800000000000006E-2</v>
      </c>
      <c r="I532" s="9">
        <v>0.48</v>
      </c>
      <c r="J532" s="9">
        <v>8.9599999999999999E-2</v>
      </c>
      <c r="K532" s="9">
        <v>0</v>
      </c>
      <c r="L532" s="9">
        <v>15</v>
      </c>
      <c r="M532" s="9">
        <v>15</v>
      </c>
    </row>
    <row r="533" spans="1:13">
      <c r="A533" s="9">
        <v>532</v>
      </c>
      <c r="B533" s="10">
        <v>40567</v>
      </c>
      <c r="C533" s="9">
        <v>7</v>
      </c>
      <c r="D533" s="9" t="b">
        <v>0</v>
      </c>
      <c r="E533" s="9" t="str">
        <f t="shared" si="8"/>
        <v>Weekday</v>
      </c>
      <c r="F533" s="9">
        <v>1</v>
      </c>
      <c r="G533" s="9">
        <v>0.02</v>
      </c>
      <c r="H533" s="9">
        <v>0.1212</v>
      </c>
      <c r="I533" s="9">
        <v>0.48</v>
      </c>
      <c r="J533" s="9">
        <v>0</v>
      </c>
      <c r="K533" s="9">
        <v>5</v>
      </c>
      <c r="L533" s="9">
        <v>79</v>
      </c>
      <c r="M533" s="9">
        <v>84</v>
      </c>
    </row>
    <row r="534" spans="1:13">
      <c r="A534" s="9">
        <v>533</v>
      </c>
      <c r="B534" s="10">
        <v>40567</v>
      </c>
      <c r="C534" s="9">
        <v>8</v>
      </c>
      <c r="D534" s="9" t="b">
        <v>0</v>
      </c>
      <c r="E534" s="9" t="str">
        <f t="shared" si="8"/>
        <v>Weekday</v>
      </c>
      <c r="F534" s="9">
        <v>1</v>
      </c>
      <c r="G534" s="9">
        <v>0.04</v>
      </c>
      <c r="H534" s="9">
        <v>0.13639999999999999</v>
      </c>
      <c r="I534" s="9">
        <v>0.49</v>
      </c>
      <c r="J534" s="9">
        <v>0</v>
      </c>
      <c r="K534" s="9">
        <v>6</v>
      </c>
      <c r="L534" s="9">
        <v>171</v>
      </c>
      <c r="M534" s="9">
        <v>177</v>
      </c>
    </row>
    <row r="535" spans="1:13">
      <c r="A535" s="9">
        <v>534</v>
      </c>
      <c r="B535" s="10">
        <v>40567</v>
      </c>
      <c r="C535" s="9">
        <v>9</v>
      </c>
      <c r="D535" s="9" t="b">
        <v>0</v>
      </c>
      <c r="E535" s="9" t="str">
        <f t="shared" si="8"/>
        <v>Weekday</v>
      </c>
      <c r="F535" s="9">
        <v>1</v>
      </c>
      <c r="G535" s="9">
        <v>0.06</v>
      </c>
      <c r="H535" s="9">
        <v>0.1515</v>
      </c>
      <c r="I535" s="9">
        <v>0.41</v>
      </c>
      <c r="J535" s="9">
        <v>0</v>
      </c>
      <c r="K535" s="9">
        <v>4</v>
      </c>
      <c r="L535" s="9">
        <v>98</v>
      </c>
      <c r="M535" s="9">
        <v>102</v>
      </c>
    </row>
    <row r="536" spans="1:13">
      <c r="A536" s="9">
        <v>535</v>
      </c>
      <c r="B536" s="10">
        <v>40567</v>
      </c>
      <c r="C536" s="9">
        <v>10</v>
      </c>
      <c r="D536" s="9" t="b">
        <v>0</v>
      </c>
      <c r="E536" s="9" t="str">
        <f t="shared" si="8"/>
        <v>Weekday</v>
      </c>
      <c r="F536" s="9">
        <v>1</v>
      </c>
      <c r="G536" s="9">
        <v>0.1</v>
      </c>
      <c r="H536" s="9">
        <v>0.13639999999999999</v>
      </c>
      <c r="I536" s="9">
        <v>0.42</v>
      </c>
      <c r="J536" s="9">
        <v>0</v>
      </c>
      <c r="K536" s="9">
        <v>6</v>
      </c>
      <c r="L536" s="9">
        <v>34</v>
      </c>
      <c r="M536" s="9">
        <v>40</v>
      </c>
    </row>
    <row r="537" spans="1:13">
      <c r="A537" s="9">
        <v>536</v>
      </c>
      <c r="B537" s="10">
        <v>40567</v>
      </c>
      <c r="C537" s="9">
        <v>11</v>
      </c>
      <c r="D537" s="9" t="b">
        <v>0</v>
      </c>
      <c r="E537" s="9" t="str">
        <f t="shared" si="8"/>
        <v>Weekday</v>
      </c>
      <c r="F537" s="9">
        <v>1</v>
      </c>
      <c r="G537" s="9">
        <v>0.1</v>
      </c>
      <c r="H537" s="9">
        <v>0.1212</v>
      </c>
      <c r="I537" s="9">
        <v>0.46</v>
      </c>
      <c r="J537" s="9">
        <v>0.1343</v>
      </c>
      <c r="K537" s="9">
        <v>3</v>
      </c>
      <c r="L537" s="9">
        <v>43</v>
      </c>
      <c r="M537" s="9">
        <v>46</v>
      </c>
    </row>
    <row r="538" spans="1:13">
      <c r="A538" s="9">
        <v>537</v>
      </c>
      <c r="B538" s="10">
        <v>40567</v>
      </c>
      <c r="C538" s="9">
        <v>12</v>
      </c>
      <c r="D538" s="9" t="b">
        <v>0</v>
      </c>
      <c r="E538" s="9" t="str">
        <f t="shared" si="8"/>
        <v>Weekday</v>
      </c>
      <c r="F538" s="9">
        <v>2</v>
      </c>
      <c r="G538" s="9">
        <v>0.12</v>
      </c>
      <c r="H538" s="9">
        <v>0.13639999999999999</v>
      </c>
      <c r="I538" s="9">
        <v>0.42</v>
      </c>
      <c r="J538" s="9">
        <v>0.19400000000000001</v>
      </c>
      <c r="K538" s="9">
        <v>11</v>
      </c>
      <c r="L538" s="9">
        <v>52</v>
      </c>
      <c r="M538" s="9">
        <v>63</v>
      </c>
    </row>
    <row r="539" spans="1:13">
      <c r="A539" s="9">
        <v>538</v>
      </c>
      <c r="B539" s="10">
        <v>40567</v>
      </c>
      <c r="C539" s="9">
        <v>13</v>
      </c>
      <c r="D539" s="9" t="b">
        <v>0</v>
      </c>
      <c r="E539" s="9" t="str">
        <f t="shared" si="8"/>
        <v>Weekday</v>
      </c>
      <c r="F539" s="9">
        <v>2</v>
      </c>
      <c r="G539" s="9">
        <v>0.14000000000000001</v>
      </c>
      <c r="H539" s="9">
        <v>0.13639999999999999</v>
      </c>
      <c r="I539" s="9">
        <v>0.43</v>
      </c>
      <c r="J539" s="9">
        <v>0.22389999999999999</v>
      </c>
      <c r="K539" s="9">
        <v>6</v>
      </c>
      <c r="L539" s="9">
        <v>54</v>
      </c>
      <c r="M539" s="9">
        <v>60</v>
      </c>
    </row>
    <row r="540" spans="1:13">
      <c r="A540" s="9">
        <v>539</v>
      </c>
      <c r="B540" s="10">
        <v>40567</v>
      </c>
      <c r="C540" s="9">
        <v>14</v>
      </c>
      <c r="D540" s="9" t="b">
        <v>0</v>
      </c>
      <c r="E540" s="9" t="str">
        <f t="shared" si="8"/>
        <v>Weekday</v>
      </c>
      <c r="F540" s="9">
        <v>2</v>
      </c>
      <c r="G540" s="9">
        <v>0.14000000000000001</v>
      </c>
      <c r="H540" s="9">
        <v>0.13639999999999999</v>
      </c>
      <c r="I540" s="9">
        <v>0.46</v>
      </c>
      <c r="J540" s="9">
        <v>0.22389999999999999</v>
      </c>
      <c r="K540" s="9">
        <v>2</v>
      </c>
      <c r="L540" s="9">
        <v>43</v>
      </c>
      <c r="M540" s="9">
        <v>45</v>
      </c>
    </row>
    <row r="541" spans="1:13">
      <c r="A541" s="9">
        <v>540</v>
      </c>
      <c r="B541" s="10">
        <v>40567</v>
      </c>
      <c r="C541" s="9">
        <v>15</v>
      </c>
      <c r="D541" s="9" t="b">
        <v>0</v>
      </c>
      <c r="E541" s="9" t="str">
        <f t="shared" si="8"/>
        <v>Weekday</v>
      </c>
      <c r="F541" s="9">
        <v>1</v>
      </c>
      <c r="G541" s="9">
        <v>0.16</v>
      </c>
      <c r="H541" s="9">
        <v>0.16669999999999999</v>
      </c>
      <c r="I541" s="9">
        <v>0.4</v>
      </c>
      <c r="J541" s="9">
        <v>0.16420000000000001</v>
      </c>
      <c r="K541" s="9">
        <v>7</v>
      </c>
      <c r="L541" s="9">
        <v>50</v>
      </c>
      <c r="M541" s="9">
        <v>57</v>
      </c>
    </row>
    <row r="542" spans="1:13">
      <c r="A542" s="9">
        <v>541</v>
      </c>
      <c r="B542" s="10">
        <v>40567</v>
      </c>
      <c r="C542" s="9">
        <v>16</v>
      </c>
      <c r="D542" s="9" t="b">
        <v>0</v>
      </c>
      <c r="E542" s="9" t="str">
        <f t="shared" si="8"/>
        <v>Weekday</v>
      </c>
      <c r="F542" s="9">
        <v>1</v>
      </c>
      <c r="G542" s="9">
        <v>0.16</v>
      </c>
      <c r="H542" s="9">
        <v>0.1515</v>
      </c>
      <c r="I542" s="9">
        <v>0.47</v>
      </c>
      <c r="J542" s="9">
        <v>0.25369999999999998</v>
      </c>
      <c r="K542" s="9">
        <v>4</v>
      </c>
      <c r="L542" s="9">
        <v>66</v>
      </c>
      <c r="M542" s="9">
        <v>70</v>
      </c>
    </row>
    <row r="543" spans="1:13">
      <c r="A543" s="9">
        <v>542</v>
      </c>
      <c r="B543" s="10">
        <v>40567</v>
      </c>
      <c r="C543" s="9">
        <v>17</v>
      </c>
      <c r="D543" s="9" t="b">
        <v>0</v>
      </c>
      <c r="E543" s="9" t="str">
        <f t="shared" si="8"/>
        <v>Weekday</v>
      </c>
      <c r="F543" s="9">
        <v>1</v>
      </c>
      <c r="G543" s="9">
        <v>0.14000000000000001</v>
      </c>
      <c r="H543" s="9">
        <v>0.1212</v>
      </c>
      <c r="I543" s="9">
        <v>0.5</v>
      </c>
      <c r="J543" s="9">
        <v>0.25369999999999998</v>
      </c>
      <c r="K543" s="9">
        <v>6</v>
      </c>
      <c r="L543" s="9">
        <v>178</v>
      </c>
      <c r="M543" s="9">
        <v>184</v>
      </c>
    </row>
    <row r="544" spans="1:13">
      <c r="A544" s="9">
        <v>543</v>
      </c>
      <c r="B544" s="10">
        <v>40567</v>
      </c>
      <c r="C544" s="9">
        <v>18</v>
      </c>
      <c r="D544" s="9" t="b">
        <v>0</v>
      </c>
      <c r="E544" s="9" t="str">
        <f t="shared" si="8"/>
        <v>Weekday</v>
      </c>
      <c r="F544" s="9">
        <v>1</v>
      </c>
      <c r="G544" s="9">
        <v>0.14000000000000001</v>
      </c>
      <c r="H544" s="9">
        <v>0.13639999999999999</v>
      </c>
      <c r="I544" s="9">
        <v>0.59</v>
      </c>
      <c r="J544" s="9">
        <v>0.19400000000000001</v>
      </c>
      <c r="K544" s="9">
        <v>8</v>
      </c>
      <c r="L544" s="9">
        <v>145</v>
      </c>
      <c r="M544" s="9">
        <v>153</v>
      </c>
    </row>
    <row r="545" spans="1:13">
      <c r="A545" s="9">
        <v>544</v>
      </c>
      <c r="B545" s="10">
        <v>40567</v>
      </c>
      <c r="C545" s="9">
        <v>19</v>
      </c>
      <c r="D545" s="9" t="b">
        <v>0</v>
      </c>
      <c r="E545" s="9" t="str">
        <f t="shared" si="8"/>
        <v>Weekday</v>
      </c>
      <c r="F545" s="9">
        <v>1</v>
      </c>
      <c r="G545" s="9">
        <v>0.14000000000000001</v>
      </c>
      <c r="H545" s="9">
        <v>0.1515</v>
      </c>
      <c r="I545" s="9">
        <v>0.54</v>
      </c>
      <c r="J545" s="9">
        <v>0.16420000000000001</v>
      </c>
      <c r="K545" s="9">
        <v>5</v>
      </c>
      <c r="L545" s="9">
        <v>101</v>
      </c>
      <c r="M545" s="9">
        <v>106</v>
      </c>
    </row>
    <row r="546" spans="1:13">
      <c r="A546" s="9">
        <v>545</v>
      </c>
      <c r="B546" s="10">
        <v>40567</v>
      </c>
      <c r="C546" s="9">
        <v>20</v>
      </c>
      <c r="D546" s="9" t="b">
        <v>0</v>
      </c>
      <c r="E546" s="9" t="str">
        <f t="shared" si="8"/>
        <v>Weekday</v>
      </c>
      <c r="F546" s="9">
        <v>1</v>
      </c>
      <c r="G546" s="9">
        <v>0.14000000000000001</v>
      </c>
      <c r="H546" s="9">
        <v>0.13639999999999999</v>
      </c>
      <c r="I546" s="9">
        <v>0.59</v>
      </c>
      <c r="J546" s="9">
        <v>0.19400000000000001</v>
      </c>
      <c r="K546" s="9">
        <v>1</v>
      </c>
      <c r="L546" s="9">
        <v>80</v>
      </c>
      <c r="M546" s="9">
        <v>81</v>
      </c>
    </row>
    <row r="547" spans="1:13">
      <c r="A547" s="9">
        <v>546</v>
      </c>
      <c r="B547" s="10">
        <v>40567</v>
      </c>
      <c r="C547" s="9">
        <v>21</v>
      </c>
      <c r="D547" s="9" t="b">
        <v>0</v>
      </c>
      <c r="E547" s="9" t="str">
        <f t="shared" si="8"/>
        <v>Weekday</v>
      </c>
      <c r="F547" s="9">
        <v>1</v>
      </c>
      <c r="G547" s="9">
        <v>0.14000000000000001</v>
      </c>
      <c r="H547" s="9">
        <v>0.1515</v>
      </c>
      <c r="I547" s="9">
        <v>0.63</v>
      </c>
      <c r="J547" s="9">
        <v>0.16420000000000001</v>
      </c>
      <c r="K547" s="9">
        <v>6</v>
      </c>
      <c r="L547" s="9">
        <v>53</v>
      </c>
      <c r="M547" s="9">
        <v>59</v>
      </c>
    </row>
    <row r="548" spans="1:13">
      <c r="A548" s="9">
        <v>547</v>
      </c>
      <c r="B548" s="10">
        <v>40567</v>
      </c>
      <c r="C548" s="9">
        <v>22</v>
      </c>
      <c r="D548" s="9" t="b">
        <v>0</v>
      </c>
      <c r="E548" s="9" t="str">
        <f t="shared" si="8"/>
        <v>Weekday</v>
      </c>
      <c r="F548" s="9">
        <v>2</v>
      </c>
      <c r="G548" s="9">
        <v>0.14000000000000001</v>
      </c>
      <c r="H548" s="9">
        <v>0.13639999999999999</v>
      </c>
      <c r="I548" s="9">
        <v>0.63</v>
      </c>
      <c r="J548" s="9">
        <v>0.22389999999999999</v>
      </c>
      <c r="K548" s="9">
        <v>3</v>
      </c>
      <c r="L548" s="9">
        <v>32</v>
      </c>
      <c r="M548" s="9">
        <v>35</v>
      </c>
    </row>
    <row r="549" spans="1:13">
      <c r="A549" s="9">
        <v>548</v>
      </c>
      <c r="B549" s="10">
        <v>40567</v>
      </c>
      <c r="C549" s="9">
        <v>23</v>
      </c>
      <c r="D549" s="9" t="b">
        <v>0</v>
      </c>
      <c r="E549" s="9" t="str">
        <f t="shared" si="8"/>
        <v>Weekday</v>
      </c>
      <c r="F549" s="9">
        <v>2</v>
      </c>
      <c r="G549" s="9">
        <v>0.16</v>
      </c>
      <c r="H549" s="9">
        <v>0.1515</v>
      </c>
      <c r="I549" s="9">
        <v>0.64</v>
      </c>
      <c r="J549" s="9">
        <v>0.25369999999999998</v>
      </c>
      <c r="K549" s="9">
        <v>3</v>
      </c>
      <c r="L549" s="9">
        <v>21</v>
      </c>
      <c r="M549" s="9">
        <v>24</v>
      </c>
    </row>
    <row r="550" spans="1:13">
      <c r="A550" s="9">
        <v>549</v>
      </c>
      <c r="B550" s="10">
        <v>40568</v>
      </c>
      <c r="C550" s="9">
        <v>0</v>
      </c>
      <c r="D550" s="9" t="b">
        <v>0</v>
      </c>
      <c r="E550" s="9" t="str">
        <f t="shared" si="8"/>
        <v>Weekday</v>
      </c>
      <c r="F550" s="9">
        <v>2</v>
      </c>
      <c r="G550" s="9">
        <v>0.16</v>
      </c>
      <c r="H550" s="9">
        <v>0.13639999999999999</v>
      </c>
      <c r="I550" s="9">
        <v>0.69</v>
      </c>
      <c r="J550" s="9">
        <v>0.28360000000000002</v>
      </c>
      <c r="K550" s="9">
        <v>3</v>
      </c>
      <c r="L550" s="9">
        <v>6</v>
      </c>
      <c r="M550" s="9">
        <v>9</v>
      </c>
    </row>
    <row r="551" spans="1:13">
      <c r="A551" s="9">
        <v>550</v>
      </c>
      <c r="B551" s="10">
        <v>40568</v>
      </c>
      <c r="C551" s="9">
        <v>1</v>
      </c>
      <c r="D551" s="9" t="b">
        <v>0</v>
      </c>
      <c r="E551" s="9" t="str">
        <f t="shared" si="8"/>
        <v>Weekday</v>
      </c>
      <c r="F551" s="9">
        <v>2</v>
      </c>
      <c r="G551" s="9">
        <v>0.16</v>
      </c>
      <c r="H551" s="9">
        <v>0.16669999999999999</v>
      </c>
      <c r="I551" s="9">
        <v>0.69</v>
      </c>
      <c r="J551" s="9">
        <v>0.16420000000000001</v>
      </c>
      <c r="K551" s="9">
        <v>0</v>
      </c>
      <c r="L551" s="9">
        <v>5</v>
      </c>
      <c r="M551" s="9">
        <v>5</v>
      </c>
    </row>
    <row r="552" spans="1:13">
      <c r="A552" s="9">
        <v>551</v>
      </c>
      <c r="B552" s="10">
        <v>40568</v>
      </c>
      <c r="C552" s="9">
        <v>2</v>
      </c>
      <c r="D552" s="9" t="b">
        <v>0</v>
      </c>
      <c r="E552" s="9" t="str">
        <f t="shared" si="8"/>
        <v>Weekday</v>
      </c>
      <c r="F552" s="9">
        <v>1</v>
      </c>
      <c r="G552" s="9">
        <v>0.16</v>
      </c>
      <c r="H552" s="9">
        <v>0.1515</v>
      </c>
      <c r="I552" s="9">
        <v>0.69</v>
      </c>
      <c r="J552" s="9">
        <v>0.22389999999999999</v>
      </c>
      <c r="K552" s="9">
        <v>0</v>
      </c>
      <c r="L552" s="9">
        <v>2</v>
      </c>
      <c r="M552" s="9">
        <v>2</v>
      </c>
    </row>
    <row r="553" spans="1:13">
      <c r="A553" s="9">
        <v>552</v>
      </c>
      <c r="B553" s="10">
        <v>40568</v>
      </c>
      <c r="C553" s="9">
        <v>4</v>
      </c>
      <c r="D553" s="9" t="b">
        <v>0</v>
      </c>
      <c r="E553" s="9" t="str">
        <f t="shared" si="8"/>
        <v>Weekday</v>
      </c>
      <c r="F553" s="9">
        <v>1</v>
      </c>
      <c r="G553" s="9">
        <v>0.14000000000000001</v>
      </c>
      <c r="H553" s="9">
        <v>0.16669999999999999</v>
      </c>
      <c r="I553" s="9">
        <v>0.74</v>
      </c>
      <c r="J553" s="9">
        <v>0.1045</v>
      </c>
      <c r="K553" s="9">
        <v>0</v>
      </c>
      <c r="L553" s="9">
        <v>1</v>
      </c>
      <c r="M553" s="9">
        <v>1</v>
      </c>
    </row>
    <row r="554" spans="1:13">
      <c r="A554" s="9">
        <v>553</v>
      </c>
      <c r="B554" s="10">
        <v>40568</v>
      </c>
      <c r="C554" s="9">
        <v>5</v>
      </c>
      <c r="D554" s="9" t="b">
        <v>0</v>
      </c>
      <c r="E554" s="9" t="str">
        <f t="shared" si="8"/>
        <v>Weekday</v>
      </c>
      <c r="F554" s="9">
        <v>1</v>
      </c>
      <c r="G554" s="9">
        <v>0.14000000000000001</v>
      </c>
      <c r="H554" s="9">
        <v>0.13639999999999999</v>
      </c>
      <c r="I554" s="9">
        <v>0.74</v>
      </c>
      <c r="J554" s="9">
        <v>0.22389999999999999</v>
      </c>
      <c r="K554" s="9">
        <v>0</v>
      </c>
      <c r="L554" s="9">
        <v>9</v>
      </c>
      <c r="M554" s="9">
        <v>9</v>
      </c>
    </row>
    <row r="555" spans="1:13">
      <c r="A555" s="9">
        <v>554</v>
      </c>
      <c r="B555" s="10">
        <v>40568</v>
      </c>
      <c r="C555" s="9">
        <v>6</v>
      </c>
      <c r="D555" s="9" t="b">
        <v>0</v>
      </c>
      <c r="E555" s="9" t="str">
        <f t="shared" si="8"/>
        <v>Weekday</v>
      </c>
      <c r="F555" s="9">
        <v>1</v>
      </c>
      <c r="G555" s="9">
        <v>0.16</v>
      </c>
      <c r="H555" s="9">
        <v>0.18179999999999999</v>
      </c>
      <c r="I555" s="9">
        <v>0.74</v>
      </c>
      <c r="J555" s="9">
        <v>0.1045</v>
      </c>
      <c r="K555" s="9">
        <v>1</v>
      </c>
      <c r="L555" s="9">
        <v>35</v>
      </c>
      <c r="M555" s="9">
        <v>36</v>
      </c>
    </row>
    <row r="556" spans="1:13">
      <c r="A556" s="9">
        <v>555</v>
      </c>
      <c r="B556" s="10">
        <v>40568</v>
      </c>
      <c r="C556" s="9">
        <v>7</v>
      </c>
      <c r="D556" s="9" t="b">
        <v>0</v>
      </c>
      <c r="E556" s="9" t="str">
        <f t="shared" si="8"/>
        <v>Weekday</v>
      </c>
      <c r="F556" s="9">
        <v>1</v>
      </c>
      <c r="G556" s="9">
        <v>0.16</v>
      </c>
      <c r="H556" s="9">
        <v>0.1515</v>
      </c>
      <c r="I556" s="9">
        <v>0.74</v>
      </c>
      <c r="J556" s="9">
        <v>0.22389999999999999</v>
      </c>
      <c r="K556" s="9">
        <v>5</v>
      </c>
      <c r="L556" s="9">
        <v>103</v>
      </c>
      <c r="M556" s="9">
        <v>108</v>
      </c>
    </row>
    <row r="557" spans="1:13">
      <c r="A557" s="9">
        <v>556</v>
      </c>
      <c r="B557" s="10">
        <v>40568</v>
      </c>
      <c r="C557" s="9">
        <v>8</v>
      </c>
      <c r="D557" s="9" t="b">
        <v>0</v>
      </c>
      <c r="E557" s="9" t="str">
        <f t="shared" si="8"/>
        <v>Weekday</v>
      </c>
      <c r="F557" s="9">
        <v>2</v>
      </c>
      <c r="G557" s="9">
        <v>0.16</v>
      </c>
      <c r="H557" s="9">
        <v>0.18179999999999999</v>
      </c>
      <c r="I557" s="9">
        <v>0.74</v>
      </c>
      <c r="J557" s="9">
        <v>0.1343</v>
      </c>
      <c r="K557" s="9">
        <v>5</v>
      </c>
      <c r="L557" s="9">
        <v>233</v>
      </c>
      <c r="M557" s="9">
        <v>238</v>
      </c>
    </row>
    <row r="558" spans="1:13">
      <c r="A558" s="9">
        <v>557</v>
      </c>
      <c r="B558" s="10">
        <v>40568</v>
      </c>
      <c r="C558" s="9">
        <v>9</v>
      </c>
      <c r="D558" s="9" t="b">
        <v>0</v>
      </c>
      <c r="E558" s="9" t="str">
        <f t="shared" si="8"/>
        <v>Weekday</v>
      </c>
      <c r="F558" s="9">
        <v>2</v>
      </c>
      <c r="G558" s="9">
        <v>0.2</v>
      </c>
      <c r="H558" s="9">
        <v>0.2273</v>
      </c>
      <c r="I558" s="9">
        <v>0.64</v>
      </c>
      <c r="J558" s="9">
        <v>8.9599999999999999E-2</v>
      </c>
      <c r="K558" s="9">
        <v>10</v>
      </c>
      <c r="L558" s="9">
        <v>134</v>
      </c>
      <c r="M558" s="9">
        <v>144</v>
      </c>
    </row>
    <row r="559" spans="1:13">
      <c r="A559" s="9">
        <v>558</v>
      </c>
      <c r="B559" s="10">
        <v>40568</v>
      </c>
      <c r="C559" s="9">
        <v>10</v>
      </c>
      <c r="D559" s="9" t="b">
        <v>0</v>
      </c>
      <c r="E559" s="9" t="str">
        <f t="shared" si="8"/>
        <v>Weekday</v>
      </c>
      <c r="F559" s="9">
        <v>2</v>
      </c>
      <c r="G559" s="9">
        <v>0.22</v>
      </c>
      <c r="H559" s="9">
        <v>0.2424</v>
      </c>
      <c r="I559" s="9">
        <v>0.6</v>
      </c>
      <c r="J559" s="9">
        <v>0.1045</v>
      </c>
      <c r="K559" s="9">
        <v>6</v>
      </c>
      <c r="L559" s="9">
        <v>49</v>
      </c>
      <c r="M559" s="9">
        <v>55</v>
      </c>
    </row>
    <row r="560" spans="1:13">
      <c r="A560" s="9">
        <v>559</v>
      </c>
      <c r="B560" s="10">
        <v>40568</v>
      </c>
      <c r="C560" s="9">
        <v>11</v>
      </c>
      <c r="D560" s="9" t="b">
        <v>0</v>
      </c>
      <c r="E560" s="9" t="str">
        <f t="shared" si="8"/>
        <v>Weekday</v>
      </c>
      <c r="F560" s="9">
        <v>2</v>
      </c>
      <c r="G560" s="9">
        <v>0.24</v>
      </c>
      <c r="H560" s="9">
        <v>0.2424</v>
      </c>
      <c r="I560" s="9">
        <v>0.6</v>
      </c>
      <c r="J560" s="9">
        <v>0.1343</v>
      </c>
      <c r="K560" s="9">
        <v>6</v>
      </c>
      <c r="L560" s="9">
        <v>55</v>
      </c>
      <c r="M560" s="9">
        <v>61</v>
      </c>
    </row>
    <row r="561" spans="1:13">
      <c r="A561" s="9">
        <v>560</v>
      </c>
      <c r="B561" s="10">
        <v>40568</v>
      </c>
      <c r="C561" s="9">
        <v>12</v>
      </c>
      <c r="D561" s="9" t="b">
        <v>0</v>
      </c>
      <c r="E561" s="9" t="str">
        <f t="shared" si="8"/>
        <v>Weekday</v>
      </c>
      <c r="F561" s="9">
        <v>2</v>
      </c>
      <c r="G561" s="9">
        <v>0.26</v>
      </c>
      <c r="H561" s="9">
        <v>0.28789999999999999</v>
      </c>
      <c r="I561" s="9">
        <v>0.56000000000000005</v>
      </c>
      <c r="J561" s="9">
        <v>8.9599999999999999E-2</v>
      </c>
      <c r="K561" s="9">
        <v>21</v>
      </c>
      <c r="L561" s="9">
        <v>85</v>
      </c>
      <c r="M561" s="9">
        <v>106</v>
      </c>
    </row>
    <row r="562" spans="1:13">
      <c r="A562" s="9">
        <v>561</v>
      </c>
      <c r="B562" s="10">
        <v>40568</v>
      </c>
      <c r="C562" s="9">
        <v>13</v>
      </c>
      <c r="D562" s="9" t="b">
        <v>0</v>
      </c>
      <c r="E562" s="9" t="str">
        <f t="shared" si="8"/>
        <v>Weekday</v>
      </c>
      <c r="F562" s="9">
        <v>2</v>
      </c>
      <c r="G562" s="9">
        <v>0.26</v>
      </c>
      <c r="H562" s="9">
        <v>0.2727</v>
      </c>
      <c r="I562" s="9">
        <v>0.56000000000000005</v>
      </c>
      <c r="J562" s="9">
        <v>0.1343</v>
      </c>
      <c r="K562" s="9">
        <v>21</v>
      </c>
      <c r="L562" s="9">
        <v>72</v>
      </c>
      <c r="M562" s="9">
        <v>93</v>
      </c>
    </row>
    <row r="563" spans="1:13">
      <c r="A563" s="9">
        <v>562</v>
      </c>
      <c r="B563" s="10">
        <v>40568</v>
      </c>
      <c r="C563" s="9">
        <v>14</v>
      </c>
      <c r="D563" s="9" t="b">
        <v>0</v>
      </c>
      <c r="E563" s="9" t="str">
        <f t="shared" si="8"/>
        <v>Weekday</v>
      </c>
      <c r="F563" s="9">
        <v>2</v>
      </c>
      <c r="G563" s="9">
        <v>0.3</v>
      </c>
      <c r="H563" s="9">
        <v>0.33329999999999999</v>
      </c>
      <c r="I563" s="9">
        <v>0.45</v>
      </c>
      <c r="J563" s="9">
        <v>0</v>
      </c>
      <c r="K563" s="9">
        <v>11</v>
      </c>
      <c r="L563" s="9">
        <v>57</v>
      </c>
      <c r="M563" s="9">
        <v>68</v>
      </c>
    </row>
    <row r="564" spans="1:13">
      <c r="A564" s="9">
        <v>563</v>
      </c>
      <c r="B564" s="10">
        <v>40568</v>
      </c>
      <c r="C564" s="9">
        <v>15</v>
      </c>
      <c r="D564" s="9" t="b">
        <v>0</v>
      </c>
      <c r="E564" s="9" t="str">
        <f t="shared" si="8"/>
        <v>Weekday</v>
      </c>
      <c r="F564" s="9">
        <v>2</v>
      </c>
      <c r="G564" s="9">
        <v>0.32</v>
      </c>
      <c r="H564" s="9">
        <v>0.34849999999999998</v>
      </c>
      <c r="I564" s="9">
        <v>0.42</v>
      </c>
      <c r="J564" s="9">
        <v>0</v>
      </c>
      <c r="K564" s="9">
        <v>21</v>
      </c>
      <c r="L564" s="9">
        <v>63</v>
      </c>
      <c r="M564" s="9">
        <v>84</v>
      </c>
    </row>
    <row r="565" spans="1:13">
      <c r="A565" s="9">
        <v>564</v>
      </c>
      <c r="B565" s="10">
        <v>40568</v>
      </c>
      <c r="C565" s="9">
        <v>16</v>
      </c>
      <c r="D565" s="9" t="b">
        <v>0</v>
      </c>
      <c r="E565" s="9" t="str">
        <f t="shared" si="8"/>
        <v>Weekday</v>
      </c>
      <c r="F565" s="9">
        <v>2</v>
      </c>
      <c r="G565" s="9">
        <v>0.32</v>
      </c>
      <c r="H565" s="9">
        <v>0.34849999999999998</v>
      </c>
      <c r="I565" s="9">
        <v>0.42</v>
      </c>
      <c r="J565" s="9">
        <v>0</v>
      </c>
      <c r="K565" s="9">
        <v>14</v>
      </c>
      <c r="L565" s="9">
        <v>102</v>
      </c>
      <c r="M565" s="9">
        <v>116</v>
      </c>
    </row>
    <row r="566" spans="1:13">
      <c r="A566" s="9">
        <v>565</v>
      </c>
      <c r="B566" s="10">
        <v>40568</v>
      </c>
      <c r="C566" s="9">
        <v>17</v>
      </c>
      <c r="D566" s="9" t="b">
        <v>0</v>
      </c>
      <c r="E566" s="9" t="str">
        <f t="shared" si="8"/>
        <v>Weekday</v>
      </c>
      <c r="F566" s="9">
        <v>1</v>
      </c>
      <c r="G566" s="9">
        <v>0.3</v>
      </c>
      <c r="H566" s="9">
        <v>0.33329999999999999</v>
      </c>
      <c r="I566" s="9">
        <v>0.45</v>
      </c>
      <c r="J566" s="9">
        <v>0</v>
      </c>
      <c r="K566" s="9">
        <v>14</v>
      </c>
      <c r="L566" s="9">
        <v>208</v>
      </c>
      <c r="M566" s="9">
        <v>222</v>
      </c>
    </row>
    <row r="567" spans="1:13">
      <c r="A567" s="9">
        <v>566</v>
      </c>
      <c r="B567" s="10">
        <v>40568</v>
      </c>
      <c r="C567" s="9">
        <v>18</v>
      </c>
      <c r="D567" s="9" t="b">
        <v>0</v>
      </c>
      <c r="E567" s="9" t="str">
        <f t="shared" si="8"/>
        <v>Weekday</v>
      </c>
      <c r="F567" s="9">
        <v>2</v>
      </c>
      <c r="G567" s="9">
        <v>0.3</v>
      </c>
      <c r="H567" s="9">
        <v>0.31819999999999998</v>
      </c>
      <c r="I567" s="9">
        <v>0.49</v>
      </c>
      <c r="J567" s="9">
        <v>8.9599999999999999E-2</v>
      </c>
      <c r="K567" s="9">
        <v>7</v>
      </c>
      <c r="L567" s="9">
        <v>218</v>
      </c>
      <c r="M567" s="9">
        <v>225</v>
      </c>
    </row>
    <row r="568" spans="1:13">
      <c r="A568" s="9">
        <v>567</v>
      </c>
      <c r="B568" s="10">
        <v>40568</v>
      </c>
      <c r="C568" s="9">
        <v>19</v>
      </c>
      <c r="D568" s="9" t="b">
        <v>0</v>
      </c>
      <c r="E568" s="9" t="str">
        <f t="shared" si="8"/>
        <v>Weekday</v>
      </c>
      <c r="F568" s="9">
        <v>2</v>
      </c>
      <c r="G568" s="9">
        <v>0.26</v>
      </c>
      <c r="H568" s="9">
        <v>0.2576</v>
      </c>
      <c r="I568" s="9">
        <v>0.65</v>
      </c>
      <c r="J568" s="9">
        <v>0.16420000000000001</v>
      </c>
      <c r="K568" s="9">
        <v>13</v>
      </c>
      <c r="L568" s="9">
        <v>133</v>
      </c>
      <c r="M568" s="9">
        <v>146</v>
      </c>
    </row>
    <row r="569" spans="1:13">
      <c r="A569" s="9">
        <v>568</v>
      </c>
      <c r="B569" s="10">
        <v>40568</v>
      </c>
      <c r="C569" s="9">
        <v>20</v>
      </c>
      <c r="D569" s="9" t="b">
        <v>0</v>
      </c>
      <c r="E569" s="9" t="str">
        <f t="shared" si="8"/>
        <v>Weekday</v>
      </c>
      <c r="F569" s="9">
        <v>1</v>
      </c>
      <c r="G569" s="9">
        <v>0.24</v>
      </c>
      <c r="H569" s="9">
        <v>0.2273</v>
      </c>
      <c r="I569" s="9">
        <v>0.65</v>
      </c>
      <c r="J569" s="9">
        <v>0.19400000000000001</v>
      </c>
      <c r="K569" s="9">
        <v>16</v>
      </c>
      <c r="L569" s="9">
        <v>103</v>
      </c>
      <c r="M569" s="9">
        <v>119</v>
      </c>
    </row>
    <row r="570" spans="1:13">
      <c r="A570" s="9">
        <v>569</v>
      </c>
      <c r="B570" s="10">
        <v>40568</v>
      </c>
      <c r="C570" s="9">
        <v>21</v>
      </c>
      <c r="D570" s="9" t="b">
        <v>0</v>
      </c>
      <c r="E570" s="9" t="str">
        <f t="shared" si="8"/>
        <v>Weekday</v>
      </c>
      <c r="F570" s="9">
        <v>1</v>
      </c>
      <c r="G570" s="9">
        <v>0.24</v>
      </c>
      <c r="H570" s="9">
        <v>0.2273</v>
      </c>
      <c r="I570" s="9">
        <v>0.65</v>
      </c>
      <c r="J570" s="9">
        <v>0.19400000000000001</v>
      </c>
      <c r="K570" s="9">
        <v>5</v>
      </c>
      <c r="L570" s="9">
        <v>40</v>
      </c>
      <c r="M570" s="9">
        <v>45</v>
      </c>
    </row>
    <row r="571" spans="1:13">
      <c r="A571" s="9">
        <v>570</v>
      </c>
      <c r="B571" s="10">
        <v>40568</v>
      </c>
      <c r="C571" s="9">
        <v>22</v>
      </c>
      <c r="D571" s="9" t="b">
        <v>0</v>
      </c>
      <c r="E571" s="9" t="str">
        <f t="shared" si="8"/>
        <v>Weekday</v>
      </c>
      <c r="F571" s="9">
        <v>1</v>
      </c>
      <c r="G571" s="9">
        <v>0.22</v>
      </c>
      <c r="H571" s="9">
        <v>0.2273</v>
      </c>
      <c r="I571" s="9">
        <v>0.64</v>
      </c>
      <c r="J571" s="9">
        <v>0.16420000000000001</v>
      </c>
      <c r="K571" s="9">
        <v>4</v>
      </c>
      <c r="L571" s="9">
        <v>49</v>
      </c>
      <c r="M571" s="9">
        <v>53</v>
      </c>
    </row>
    <row r="572" spans="1:13">
      <c r="A572" s="9">
        <v>571</v>
      </c>
      <c r="B572" s="10">
        <v>40568</v>
      </c>
      <c r="C572" s="9">
        <v>23</v>
      </c>
      <c r="D572" s="9" t="b">
        <v>0</v>
      </c>
      <c r="E572" s="9" t="str">
        <f t="shared" si="8"/>
        <v>Weekday</v>
      </c>
      <c r="F572" s="9">
        <v>2</v>
      </c>
      <c r="G572" s="9">
        <v>0.22</v>
      </c>
      <c r="H572" s="9">
        <v>0.2273</v>
      </c>
      <c r="I572" s="9">
        <v>0.64</v>
      </c>
      <c r="J572" s="9">
        <v>0.16420000000000001</v>
      </c>
      <c r="K572" s="9">
        <v>3</v>
      </c>
      <c r="L572" s="9">
        <v>37</v>
      </c>
      <c r="M572" s="9">
        <v>40</v>
      </c>
    </row>
    <row r="573" spans="1:13">
      <c r="A573" s="9">
        <v>572</v>
      </c>
      <c r="B573" s="10">
        <v>40569</v>
      </c>
      <c r="C573" s="9">
        <v>0</v>
      </c>
      <c r="D573" s="9" t="b">
        <v>0</v>
      </c>
      <c r="E573" s="9" t="str">
        <f t="shared" si="8"/>
        <v>Weekday</v>
      </c>
      <c r="F573" s="9">
        <v>2</v>
      </c>
      <c r="G573" s="9">
        <v>0.22</v>
      </c>
      <c r="H573" s="9">
        <v>0.2273</v>
      </c>
      <c r="I573" s="9">
        <v>0.69</v>
      </c>
      <c r="J573" s="9">
        <v>0.1343</v>
      </c>
      <c r="K573" s="9">
        <v>3</v>
      </c>
      <c r="L573" s="9">
        <v>14</v>
      </c>
      <c r="M573" s="9">
        <v>17</v>
      </c>
    </row>
    <row r="574" spans="1:13">
      <c r="A574" s="9">
        <v>573</v>
      </c>
      <c r="B574" s="10">
        <v>40569</v>
      </c>
      <c r="C574" s="9">
        <v>1</v>
      </c>
      <c r="D574" s="9" t="b">
        <v>0</v>
      </c>
      <c r="E574" s="9" t="str">
        <f t="shared" si="8"/>
        <v>Weekday</v>
      </c>
      <c r="F574" s="9">
        <v>2</v>
      </c>
      <c r="G574" s="9">
        <v>0.24</v>
      </c>
      <c r="H574" s="9">
        <v>0.2424</v>
      </c>
      <c r="I574" s="9">
        <v>0.65</v>
      </c>
      <c r="J574" s="9">
        <v>0.1343</v>
      </c>
      <c r="K574" s="9">
        <v>0</v>
      </c>
      <c r="L574" s="9">
        <v>5</v>
      </c>
      <c r="M574" s="9">
        <v>5</v>
      </c>
    </row>
    <row r="575" spans="1:13">
      <c r="A575" s="9">
        <v>574</v>
      </c>
      <c r="B575" s="10">
        <v>40569</v>
      </c>
      <c r="C575" s="9">
        <v>2</v>
      </c>
      <c r="D575" s="9" t="b">
        <v>0</v>
      </c>
      <c r="E575" s="9" t="str">
        <f t="shared" si="8"/>
        <v>Weekday</v>
      </c>
      <c r="F575" s="9">
        <v>3</v>
      </c>
      <c r="G575" s="9">
        <v>0.22</v>
      </c>
      <c r="H575" s="9">
        <v>0.2273</v>
      </c>
      <c r="I575" s="9">
        <v>0.69</v>
      </c>
      <c r="J575" s="9">
        <v>0.19400000000000001</v>
      </c>
      <c r="K575" s="9">
        <v>3</v>
      </c>
      <c r="L575" s="9">
        <v>7</v>
      </c>
      <c r="M575" s="9">
        <v>10</v>
      </c>
    </row>
    <row r="576" spans="1:13">
      <c r="A576" s="9">
        <v>575</v>
      </c>
      <c r="B576" s="10">
        <v>40569</v>
      </c>
      <c r="C576" s="9">
        <v>5</v>
      </c>
      <c r="D576" s="9" t="b">
        <v>0</v>
      </c>
      <c r="E576" s="9" t="str">
        <f t="shared" si="8"/>
        <v>Weekday</v>
      </c>
      <c r="F576" s="9">
        <v>3</v>
      </c>
      <c r="G576" s="9">
        <v>0.2</v>
      </c>
      <c r="H576" s="9">
        <v>0.18179999999999999</v>
      </c>
      <c r="I576" s="9">
        <v>0.86</v>
      </c>
      <c r="J576" s="9">
        <v>0.28360000000000002</v>
      </c>
      <c r="K576" s="9">
        <v>0</v>
      </c>
      <c r="L576" s="9">
        <v>1</v>
      </c>
      <c r="M576" s="9">
        <v>1</v>
      </c>
    </row>
    <row r="577" spans="1:13">
      <c r="A577" s="9">
        <v>576</v>
      </c>
      <c r="B577" s="10">
        <v>40569</v>
      </c>
      <c r="C577" s="9">
        <v>6</v>
      </c>
      <c r="D577" s="9" t="b">
        <v>0</v>
      </c>
      <c r="E577" s="9" t="str">
        <f t="shared" si="8"/>
        <v>Weekday</v>
      </c>
      <c r="F577" s="9">
        <v>3</v>
      </c>
      <c r="G577" s="9">
        <v>0.2</v>
      </c>
      <c r="H577" s="9">
        <v>0.18179999999999999</v>
      </c>
      <c r="I577" s="9">
        <v>0.86</v>
      </c>
      <c r="J577" s="9">
        <v>0.28360000000000002</v>
      </c>
      <c r="K577" s="9">
        <v>0</v>
      </c>
      <c r="L577" s="9">
        <v>8</v>
      </c>
      <c r="M577" s="9">
        <v>8</v>
      </c>
    </row>
    <row r="578" spans="1:13">
      <c r="A578" s="9">
        <v>577</v>
      </c>
      <c r="B578" s="10">
        <v>40569</v>
      </c>
      <c r="C578" s="9">
        <v>7</v>
      </c>
      <c r="D578" s="9" t="b">
        <v>0</v>
      </c>
      <c r="E578" s="9" t="str">
        <f t="shared" si="8"/>
        <v>Weekday</v>
      </c>
      <c r="F578" s="9">
        <v>3</v>
      </c>
      <c r="G578" s="9">
        <v>0.22</v>
      </c>
      <c r="H578" s="9">
        <v>0.21210000000000001</v>
      </c>
      <c r="I578" s="9">
        <v>0.87</v>
      </c>
      <c r="J578" s="9">
        <v>0.29849999999999999</v>
      </c>
      <c r="K578" s="9">
        <v>1</v>
      </c>
      <c r="L578" s="9">
        <v>29</v>
      </c>
      <c r="M578" s="9">
        <v>30</v>
      </c>
    </row>
    <row r="579" spans="1:13">
      <c r="A579" s="9">
        <v>578</v>
      </c>
      <c r="B579" s="10">
        <v>40569</v>
      </c>
      <c r="C579" s="9">
        <v>8</v>
      </c>
      <c r="D579" s="9" t="b">
        <v>0</v>
      </c>
      <c r="E579" s="9" t="str">
        <f t="shared" ref="E579:E642" si="9">IF(WEEKDAY(B579,2)&gt;=6,"Weekend","Weekday")</f>
        <v>Weekday</v>
      </c>
      <c r="F579" s="9">
        <v>3</v>
      </c>
      <c r="G579" s="9">
        <v>0.22</v>
      </c>
      <c r="H579" s="9">
        <v>0.21210000000000001</v>
      </c>
      <c r="I579" s="9">
        <v>0.87</v>
      </c>
      <c r="J579" s="9">
        <v>0.29849999999999999</v>
      </c>
      <c r="K579" s="9">
        <v>3</v>
      </c>
      <c r="L579" s="9">
        <v>69</v>
      </c>
      <c r="M579" s="9">
        <v>72</v>
      </c>
    </row>
    <row r="580" spans="1:13">
      <c r="A580" s="9">
        <v>579</v>
      </c>
      <c r="B580" s="10">
        <v>40569</v>
      </c>
      <c r="C580" s="9">
        <v>9</v>
      </c>
      <c r="D580" s="9" t="b">
        <v>0</v>
      </c>
      <c r="E580" s="9" t="str">
        <f t="shared" si="9"/>
        <v>Weekday</v>
      </c>
      <c r="F580" s="9">
        <v>3</v>
      </c>
      <c r="G580" s="9">
        <v>0.22</v>
      </c>
      <c r="H580" s="9">
        <v>0.21210000000000001</v>
      </c>
      <c r="I580" s="9">
        <v>0.87</v>
      </c>
      <c r="J580" s="9">
        <v>0.29849999999999999</v>
      </c>
      <c r="K580" s="9">
        <v>3</v>
      </c>
      <c r="L580" s="9">
        <v>55</v>
      </c>
      <c r="M580" s="9">
        <v>58</v>
      </c>
    </row>
    <row r="581" spans="1:13">
      <c r="A581" s="9">
        <v>580</v>
      </c>
      <c r="B581" s="10">
        <v>40569</v>
      </c>
      <c r="C581" s="9">
        <v>10</v>
      </c>
      <c r="D581" s="9" t="b">
        <v>0</v>
      </c>
      <c r="E581" s="9" t="str">
        <f t="shared" si="9"/>
        <v>Weekday</v>
      </c>
      <c r="F581" s="9">
        <v>3</v>
      </c>
      <c r="G581" s="9">
        <v>0.22</v>
      </c>
      <c r="H581" s="9">
        <v>0.21210000000000001</v>
      </c>
      <c r="I581" s="9">
        <v>0.93</v>
      </c>
      <c r="J581" s="9">
        <v>0.28360000000000002</v>
      </c>
      <c r="K581" s="9">
        <v>2</v>
      </c>
      <c r="L581" s="9">
        <v>26</v>
      </c>
      <c r="M581" s="9">
        <v>28</v>
      </c>
    </row>
    <row r="582" spans="1:13">
      <c r="A582" s="9">
        <v>581</v>
      </c>
      <c r="B582" s="10">
        <v>40569</v>
      </c>
      <c r="C582" s="9">
        <v>11</v>
      </c>
      <c r="D582" s="9" t="b">
        <v>0</v>
      </c>
      <c r="E582" s="9" t="str">
        <f t="shared" si="9"/>
        <v>Weekday</v>
      </c>
      <c r="F582" s="9">
        <v>3</v>
      </c>
      <c r="G582" s="9">
        <v>0.22</v>
      </c>
      <c r="H582" s="9">
        <v>0.19700000000000001</v>
      </c>
      <c r="I582" s="9">
        <v>0.93</v>
      </c>
      <c r="J582" s="9">
        <v>0.32840000000000003</v>
      </c>
      <c r="K582" s="9">
        <v>6</v>
      </c>
      <c r="L582" s="9">
        <v>35</v>
      </c>
      <c r="M582" s="9">
        <v>41</v>
      </c>
    </row>
    <row r="583" spans="1:13">
      <c r="A583" s="9">
        <v>582</v>
      </c>
      <c r="B583" s="10">
        <v>40569</v>
      </c>
      <c r="C583" s="9">
        <v>12</v>
      </c>
      <c r="D583" s="9" t="b">
        <v>0</v>
      </c>
      <c r="E583" s="9" t="str">
        <f t="shared" si="9"/>
        <v>Weekday</v>
      </c>
      <c r="F583" s="9">
        <v>3</v>
      </c>
      <c r="G583" s="9">
        <v>0.22</v>
      </c>
      <c r="H583" s="9">
        <v>0.19700000000000001</v>
      </c>
      <c r="I583" s="9">
        <v>0.93</v>
      </c>
      <c r="J583" s="9">
        <v>0.32840000000000003</v>
      </c>
      <c r="K583" s="9">
        <v>7</v>
      </c>
      <c r="L583" s="9">
        <v>41</v>
      </c>
      <c r="M583" s="9">
        <v>48</v>
      </c>
    </row>
    <row r="584" spans="1:13">
      <c r="A584" s="9">
        <v>583</v>
      </c>
      <c r="B584" s="10">
        <v>40569</v>
      </c>
      <c r="C584" s="9">
        <v>13</v>
      </c>
      <c r="D584" s="9" t="b">
        <v>0</v>
      </c>
      <c r="E584" s="9" t="str">
        <f t="shared" si="9"/>
        <v>Weekday</v>
      </c>
      <c r="F584" s="9">
        <v>3</v>
      </c>
      <c r="G584" s="9">
        <v>0.22</v>
      </c>
      <c r="H584" s="9">
        <v>0.19700000000000001</v>
      </c>
      <c r="I584" s="9">
        <v>0.93</v>
      </c>
      <c r="J584" s="9">
        <v>0.32840000000000003</v>
      </c>
      <c r="K584" s="9">
        <v>4</v>
      </c>
      <c r="L584" s="9">
        <v>43</v>
      </c>
      <c r="M584" s="9">
        <v>47</v>
      </c>
    </row>
    <row r="585" spans="1:13">
      <c r="A585" s="9">
        <v>584</v>
      </c>
      <c r="B585" s="10">
        <v>40569</v>
      </c>
      <c r="C585" s="9">
        <v>14</v>
      </c>
      <c r="D585" s="9" t="b">
        <v>0</v>
      </c>
      <c r="E585" s="9" t="str">
        <f t="shared" si="9"/>
        <v>Weekday</v>
      </c>
      <c r="F585" s="9">
        <v>3</v>
      </c>
      <c r="G585" s="9">
        <v>0.22</v>
      </c>
      <c r="H585" s="9">
        <v>0.19700000000000001</v>
      </c>
      <c r="I585" s="9">
        <v>0.93</v>
      </c>
      <c r="J585" s="9">
        <v>0.35820000000000002</v>
      </c>
      <c r="K585" s="9">
        <v>0</v>
      </c>
      <c r="L585" s="9">
        <v>36</v>
      </c>
      <c r="M585" s="9">
        <v>36</v>
      </c>
    </row>
    <row r="586" spans="1:13">
      <c r="A586" s="9">
        <v>585</v>
      </c>
      <c r="B586" s="10">
        <v>40569</v>
      </c>
      <c r="C586" s="9">
        <v>15</v>
      </c>
      <c r="D586" s="9" t="b">
        <v>0</v>
      </c>
      <c r="E586" s="9" t="str">
        <f t="shared" si="9"/>
        <v>Weekday</v>
      </c>
      <c r="F586" s="9">
        <v>3</v>
      </c>
      <c r="G586" s="9">
        <v>0.22</v>
      </c>
      <c r="H586" s="9">
        <v>0.18179999999999999</v>
      </c>
      <c r="I586" s="9">
        <v>0.93</v>
      </c>
      <c r="J586" s="9">
        <v>0.4627</v>
      </c>
      <c r="K586" s="9">
        <v>1</v>
      </c>
      <c r="L586" s="9">
        <v>42</v>
      </c>
      <c r="M586" s="9">
        <v>43</v>
      </c>
    </row>
    <row r="587" spans="1:13">
      <c r="A587" s="9">
        <v>586</v>
      </c>
      <c r="B587" s="10">
        <v>40569</v>
      </c>
      <c r="C587" s="9">
        <v>16</v>
      </c>
      <c r="D587" s="9" t="b">
        <v>0</v>
      </c>
      <c r="E587" s="9" t="str">
        <f t="shared" si="9"/>
        <v>Weekday</v>
      </c>
      <c r="F587" s="9">
        <v>4</v>
      </c>
      <c r="G587" s="9">
        <v>0.22</v>
      </c>
      <c r="H587" s="9">
        <v>0.19700000000000001</v>
      </c>
      <c r="I587" s="9">
        <v>0.93</v>
      </c>
      <c r="J587" s="9">
        <v>0.32840000000000003</v>
      </c>
      <c r="K587" s="9">
        <v>1</v>
      </c>
      <c r="L587" s="9">
        <v>35</v>
      </c>
      <c r="M587" s="9">
        <v>36</v>
      </c>
    </row>
    <row r="588" spans="1:13">
      <c r="A588" s="9">
        <v>587</v>
      </c>
      <c r="B588" s="10">
        <v>40569</v>
      </c>
      <c r="C588" s="9">
        <v>17</v>
      </c>
      <c r="D588" s="9" t="b">
        <v>0</v>
      </c>
      <c r="E588" s="9" t="str">
        <f t="shared" si="9"/>
        <v>Weekday</v>
      </c>
      <c r="F588" s="9">
        <v>3</v>
      </c>
      <c r="G588" s="9">
        <v>0.2</v>
      </c>
      <c r="H588" s="9">
        <v>0.18179999999999999</v>
      </c>
      <c r="I588" s="9">
        <v>0.93</v>
      </c>
      <c r="J588" s="9">
        <v>0.35820000000000002</v>
      </c>
      <c r="K588" s="9">
        <v>0</v>
      </c>
      <c r="L588" s="9">
        <v>26</v>
      </c>
      <c r="M588" s="9">
        <v>26</v>
      </c>
    </row>
    <row r="589" spans="1:13">
      <c r="A589" s="9">
        <v>588</v>
      </c>
      <c r="B589" s="10">
        <v>40570</v>
      </c>
      <c r="C589" s="9">
        <v>16</v>
      </c>
      <c r="D589" s="9" t="b">
        <v>0</v>
      </c>
      <c r="E589" s="9" t="str">
        <f t="shared" si="9"/>
        <v>Weekday</v>
      </c>
      <c r="F589" s="9">
        <v>1</v>
      </c>
      <c r="G589" s="9">
        <v>0.22</v>
      </c>
      <c r="H589" s="9">
        <v>0.2273</v>
      </c>
      <c r="I589" s="9">
        <v>0.55000000000000004</v>
      </c>
      <c r="J589" s="9">
        <v>0.19400000000000001</v>
      </c>
      <c r="K589" s="9">
        <v>1</v>
      </c>
      <c r="L589" s="9">
        <v>23</v>
      </c>
      <c r="M589" s="9">
        <v>24</v>
      </c>
    </row>
    <row r="590" spans="1:13">
      <c r="A590" s="9">
        <v>589</v>
      </c>
      <c r="B590" s="10">
        <v>40570</v>
      </c>
      <c r="C590" s="9">
        <v>17</v>
      </c>
      <c r="D590" s="9" t="b">
        <v>0</v>
      </c>
      <c r="E590" s="9" t="str">
        <f t="shared" si="9"/>
        <v>Weekday</v>
      </c>
      <c r="F590" s="9">
        <v>1</v>
      </c>
      <c r="G590" s="9">
        <v>0.22</v>
      </c>
      <c r="H590" s="9">
        <v>0.2424</v>
      </c>
      <c r="I590" s="9">
        <v>0.55000000000000004</v>
      </c>
      <c r="J590" s="9">
        <v>0.1045</v>
      </c>
      <c r="K590" s="9">
        <v>2</v>
      </c>
      <c r="L590" s="9">
        <v>82</v>
      </c>
      <c r="M590" s="9">
        <v>84</v>
      </c>
    </row>
    <row r="591" spans="1:13">
      <c r="A591" s="9">
        <v>590</v>
      </c>
      <c r="B591" s="10">
        <v>40570</v>
      </c>
      <c r="C591" s="9">
        <v>18</v>
      </c>
      <c r="D591" s="9" t="b">
        <v>0</v>
      </c>
      <c r="E591" s="9" t="str">
        <f t="shared" si="9"/>
        <v>Weekday</v>
      </c>
      <c r="F591" s="9">
        <v>1</v>
      </c>
      <c r="G591" s="9">
        <v>0.2</v>
      </c>
      <c r="H591" s="9">
        <v>0.2273</v>
      </c>
      <c r="I591" s="9">
        <v>0.69</v>
      </c>
      <c r="J591" s="9">
        <v>8.9599999999999999E-2</v>
      </c>
      <c r="K591" s="9">
        <v>3</v>
      </c>
      <c r="L591" s="9">
        <v>101</v>
      </c>
      <c r="M591" s="9">
        <v>104</v>
      </c>
    </row>
    <row r="592" spans="1:13">
      <c r="A592" s="9">
        <v>591</v>
      </c>
      <c r="B592" s="10">
        <v>40570</v>
      </c>
      <c r="C592" s="9">
        <v>19</v>
      </c>
      <c r="D592" s="9" t="b">
        <v>0</v>
      </c>
      <c r="E592" s="9" t="str">
        <f t="shared" si="9"/>
        <v>Weekday</v>
      </c>
      <c r="F592" s="9">
        <v>1</v>
      </c>
      <c r="G592" s="9">
        <v>0.2</v>
      </c>
      <c r="H592" s="9">
        <v>0.2273</v>
      </c>
      <c r="I592" s="9">
        <v>0.69</v>
      </c>
      <c r="J592" s="9">
        <v>8.9599999999999999E-2</v>
      </c>
      <c r="K592" s="9">
        <v>3</v>
      </c>
      <c r="L592" s="9">
        <v>76</v>
      </c>
      <c r="M592" s="9">
        <v>79</v>
      </c>
    </row>
    <row r="593" spans="1:13">
      <c r="A593" s="9">
        <v>592</v>
      </c>
      <c r="B593" s="10">
        <v>40570</v>
      </c>
      <c r="C593" s="9">
        <v>20</v>
      </c>
      <c r="D593" s="9" t="b">
        <v>0</v>
      </c>
      <c r="E593" s="9" t="str">
        <f t="shared" si="9"/>
        <v>Weekday</v>
      </c>
      <c r="F593" s="9">
        <v>1</v>
      </c>
      <c r="G593" s="9">
        <v>0.18</v>
      </c>
      <c r="H593" s="9">
        <v>0.21210000000000001</v>
      </c>
      <c r="I593" s="9">
        <v>0.74</v>
      </c>
      <c r="J593" s="9">
        <v>8.9599999999999999E-2</v>
      </c>
      <c r="K593" s="9">
        <v>4</v>
      </c>
      <c r="L593" s="9">
        <v>55</v>
      </c>
      <c r="M593" s="9">
        <v>59</v>
      </c>
    </row>
    <row r="594" spans="1:13">
      <c r="A594" s="9">
        <v>593</v>
      </c>
      <c r="B594" s="10">
        <v>40570</v>
      </c>
      <c r="C594" s="9">
        <v>21</v>
      </c>
      <c r="D594" s="9" t="b">
        <v>0</v>
      </c>
      <c r="E594" s="9" t="str">
        <f t="shared" si="9"/>
        <v>Weekday</v>
      </c>
      <c r="F594" s="9">
        <v>1</v>
      </c>
      <c r="G594" s="9">
        <v>0.18</v>
      </c>
      <c r="H594" s="9">
        <v>0.21210000000000001</v>
      </c>
      <c r="I594" s="9">
        <v>0.74</v>
      </c>
      <c r="J594" s="9">
        <v>8.9599999999999999E-2</v>
      </c>
      <c r="K594" s="9">
        <v>2</v>
      </c>
      <c r="L594" s="9">
        <v>36</v>
      </c>
      <c r="M594" s="9">
        <v>38</v>
      </c>
    </row>
    <row r="595" spans="1:13">
      <c r="A595" s="9">
        <v>594</v>
      </c>
      <c r="B595" s="10">
        <v>40570</v>
      </c>
      <c r="C595" s="9">
        <v>22</v>
      </c>
      <c r="D595" s="9" t="b">
        <v>0</v>
      </c>
      <c r="E595" s="9" t="str">
        <f t="shared" si="9"/>
        <v>Weekday</v>
      </c>
      <c r="F595" s="9">
        <v>1</v>
      </c>
      <c r="G595" s="9">
        <v>0.18</v>
      </c>
      <c r="H595" s="9">
        <v>0.21210000000000001</v>
      </c>
      <c r="I595" s="9">
        <v>0.74</v>
      </c>
      <c r="J595" s="9">
        <v>8.9599999999999999E-2</v>
      </c>
      <c r="K595" s="9">
        <v>0</v>
      </c>
      <c r="L595" s="9">
        <v>27</v>
      </c>
      <c r="M595" s="9">
        <v>27</v>
      </c>
    </row>
    <row r="596" spans="1:13">
      <c r="A596" s="9">
        <v>595</v>
      </c>
      <c r="B596" s="10">
        <v>40570</v>
      </c>
      <c r="C596" s="9">
        <v>23</v>
      </c>
      <c r="D596" s="9" t="b">
        <v>0</v>
      </c>
      <c r="E596" s="9" t="str">
        <f t="shared" si="9"/>
        <v>Weekday</v>
      </c>
      <c r="F596" s="9">
        <v>1</v>
      </c>
      <c r="G596" s="9">
        <v>0.18</v>
      </c>
      <c r="H596" s="9">
        <v>0.19700000000000001</v>
      </c>
      <c r="I596" s="9">
        <v>0.8</v>
      </c>
      <c r="J596" s="9">
        <v>0.16420000000000001</v>
      </c>
      <c r="K596" s="9">
        <v>0</v>
      </c>
      <c r="L596" s="9">
        <v>16</v>
      </c>
      <c r="M596" s="9">
        <v>16</v>
      </c>
    </row>
    <row r="597" spans="1:13">
      <c r="A597" s="9">
        <v>596</v>
      </c>
      <c r="B597" s="10">
        <v>40571</v>
      </c>
      <c r="C597" s="9">
        <v>0</v>
      </c>
      <c r="D597" s="9" t="b">
        <v>0</v>
      </c>
      <c r="E597" s="9" t="str">
        <f t="shared" si="9"/>
        <v>Weekday</v>
      </c>
      <c r="F597" s="9">
        <v>2</v>
      </c>
      <c r="G597" s="9">
        <v>0.2</v>
      </c>
      <c r="H597" s="9">
        <v>0.21210000000000001</v>
      </c>
      <c r="I597" s="9">
        <v>0.75</v>
      </c>
      <c r="J597" s="9">
        <v>0.1343</v>
      </c>
      <c r="K597" s="9">
        <v>0</v>
      </c>
      <c r="L597" s="9">
        <v>9</v>
      </c>
      <c r="M597" s="9">
        <v>9</v>
      </c>
    </row>
    <row r="598" spans="1:13">
      <c r="A598" s="9">
        <v>597</v>
      </c>
      <c r="B598" s="10">
        <v>40571</v>
      </c>
      <c r="C598" s="9">
        <v>1</v>
      </c>
      <c r="D598" s="9" t="b">
        <v>0</v>
      </c>
      <c r="E598" s="9" t="str">
        <f t="shared" si="9"/>
        <v>Weekday</v>
      </c>
      <c r="F598" s="9">
        <v>2</v>
      </c>
      <c r="G598" s="9">
        <v>0.2</v>
      </c>
      <c r="H598" s="9">
        <v>0.21210000000000001</v>
      </c>
      <c r="I598" s="9">
        <v>0.75</v>
      </c>
      <c r="J598" s="9">
        <v>0.1343</v>
      </c>
      <c r="K598" s="9">
        <v>1</v>
      </c>
      <c r="L598" s="9">
        <v>2</v>
      </c>
      <c r="M598" s="9">
        <v>3</v>
      </c>
    </row>
    <row r="599" spans="1:13">
      <c r="A599" s="9">
        <v>598</v>
      </c>
      <c r="B599" s="10">
        <v>40571</v>
      </c>
      <c r="C599" s="9">
        <v>2</v>
      </c>
      <c r="D599" s="9" t="b">
        <v>0</v>
      </c>
      <c r="E599" s="9" t="str">
        <f t="shared" si="9"/>
        <v>Weekday</v>
      </c>
      <c r="F599" s="9">
        <v>2</v>
      </c>
      <c r="G599" s="9">
        <v>0.2</v>
      </c>
      <c r="H599" s="9">
        <v>0.21210000000000001</v>
      </c>
      <c r="I599" s="9">
        <v>0.75</v>
      </c>
      <c r="J599" s="9">
        <v>0.16420000000000001</v>
      </c>
      <c r="K599" s="9">
        <v>0</v>
      </c>
      <c r="L599" s="9">
        <v>2</v>
      </c>
      <c r="M599" s="9">
        <v>2</v>
      </c>
    </row>
    <row r="600" spans="1:13">
      <c r="A600" s="9">
        <v>599</v>
      </c>
      <c r="B600" s="10">
        <v>40571</v>
      </c>
      <c r="C600" s="9">
        <v>3</v>
      </c>
      <c r="D600" s="9" t="b">
        <v>0</v>
      </c>
      <c r="E600" s="9" t="str">
        <f t="shared" si="9"/>
        <v>Weekday</v>
      </c>
      <c r="F600" s="9">
        <v>2</v>
      </c>
      <c r="G600" s="9">
        <v>0.2</v>
      </c>
      <c r="H600" s="9">
        <v>0.2273</v>
      </c>
      <c r="I600" s="9">
        <v>0.75</v>
      </c>
      <c r="J600" s="9">
        <v>0.1045</v>
      </c>
      <c r="K600" s="9">
        <v>1</v>
      </c>
      <c r="L600" s="9">
        <v>0</v>
      </c>
      <c r="M600" s="9">
        <v>1</v>
      </c>
    </row>
    <row r="601" spans="1:13">
      <c r="A601" s="9">
        <v>600</v>
      </c>
      <c r="B601" s="10">
        <v>40571</v>
      </c>
      <c r="C601" s="9">
        <v>5</v>
      </c>
      <c r="D601" s="9" t="b">
        <v>0</v>
      </c>
      <c r="E601" s="9" t="str">
        <f t="shared" si="9"/>
        <v>Weekday</v>
      </c>
      <c r="F601" s="9">
        <v>2</v>
      </c>
      <c r="G601" s="9">
        <v>0.18</v>
      </c>
      <c r="H601" s="9">
        <v>0.21210000000000001</v>
      </c>
      <c r="I601" s="9">
        <v>0.8</v>
      </c>
      <c r="J601" s="9">
        <v>0.1045</v>
      </c>
      <c r="K601" s="9">
        <v>0</v>
      </c>
      <c r="L601" s="9">
        <v>4</v>
      </c>
      <c r="M601" s="9">
        <v>4</v>
      </c>
    </row>
    <row r="602" spans="1:13">
      <c r="A602" s="9">
        <v>601</v>
      </c>
      <c r="B602" s="10">
        <v>40571</v>
      </c>
      <c r="C602" s="9">
        <v>6</v>
      </c>
      <c r="D602" s="9" t="b">
        <v>0</v>
      </c>
      <c r="E602" s="9" t="str">
        <f t="shared" si="9"/>
        <v>Weekday</v>
      </c>
      <c r="F602" s="9">
        <v>2</v>
      </c>
      <c r="G602" s="9">
        <v>0.18</v>
      </c>
      <c r="H602" s="9">
        <v>0.19700000000000001</v>
      </c>
      <c r="I602" s="9">
        <v>0.8</v>
      </c>
      <c r="J602" s="9">
        <v>0.1343</v>
      </c>
      <c r="K602" s="9">
        <v>0</v>
      </c>
      <c r="L602" s="9">
        <v>16</v>
      </c>
      <c r="M602" s="9">
        <v>16</v>
      </c>
    </row>
    <row r="603" spans="1:13">
      <c r="A603" s="9">
        <v>602</v>
      </c>
      <c r="B603" s="10">
        <v>40571</v>
      </c>
      <c r="C603" s="9">
        <v>7</v>
      </c>
      <c r="D603" s="9" t="b">
        <v>0</v>
      </c>
      <c r="E603" s="9" t="str">
        <f t="shared" si="9"/>
        <v>Weekday</v>
      </c>
      <c r="F603" s="9">
        <v>2</v>
      </c>
      <c r="G603" s="9">
        <v>0.16</v>
      </c>
      <c r="H603" s="9">
        <v>0.19700000000000001</v>
      </c>
      <c r="I603" s="9">
        <v>0.86</v>
      </c>
      <c r="J603" s="9">
        <v>8.9599999999999999E-2</v>
      </c>
      <c r="K603" s="9">
        <v>2</v>
      </c>
      <c r="L603" s="9">
        <v>58</v>
      </c>
      <c r="M603" s="9">
        <v>60</v>
      </c>
    </row>
    <row r="604" spans="1:13">
      <c r="A604" s="9">
        <v>603</v>
      </c>
      <c r="B604" s="10">
        <v>40571</v>
      </c>
      <c r="C604" s="9">
        <v>8</v>
      </c>
      <c r="D604" s="9" t="b">
        <v>0</v>
      </c>
      <c r="E604" s="9" t="str">
        <f t="shared" si="9"/>
        <v>Weekday</v>
      </c>
      <c r="F604" s="9">
        <v>2</v>
      </c>
      <c r="G604" s="9">
        <v>0.16</v>
      </c>
      <c r="H604" s="9">
        <v>0.19700000000000001</v>
      </c>
      <c r="I604" s="9">
        <v>0.86</v>
      </c>
      <c r="J604" s="9">
        <v>8.9599999999999999E-2</v>
      </c>
      <c r="K604" s="9">
        <v>2</v>
      </c>
      <c r="L604" s="9">
        <v>155</v>
      </c>
      <c r="M604" s="9">
        <v>157</v>
      </c>
    </row>
    <row r="605" spans="1:13">
      <c r="A605" s="9">
        <v>604</v>
      </c>
      <c r="B605" s="10">
        <v>40571</v>
      </c>
      <c r="C605" s="9">
        <v>9</v>
      </c>
      <c r="D605" s="9" t="b">
        <v>0</v>
      </c>
      <c r="E605" s="9" t="str">
        <f t="shared" si="9"/>
        <v>Weekday</v>
      </c>
      <c r="F605" s="9">
        <v>3</v>
      </c>
      <c r="G605" s="9">
        <v>0.18</v>
      </c>
      <c r="H605" s="9">
        <v>0.21210000000000001</v>
      </c>
      <c r="I605" s="9">
        <v>0.86</v>
      </c>
      <c r="J605" s="9">
        <v>8.9599999999999999E-2</v>
      </c>
      <c r="K605" s="9">
        <v>6</v>
      </c>
      <c r="L605" s="9">
        <v>95</v>
      </c>
      <c r="M605" s="9">
        <v>101</v>
      </c>
    </row>
    <row r="606" spans="1:13">
      <c r="A606" s="9">
        <v>605</v>
      </c>
      <c r="B606" s="10">
        <v>40571</v>
      </c>
      <c r="C606" s="9">
        <v>10</v>
      </c>
      <c r="D606" s="9" t="b">
        <v>0</v>
      </c>
      <c r="E606" s="9" t="str">
        <f t="shared" si="9"/>
        <v>Weekday</v>
      </c>
      <c r="F606" s="9">
        <v>3</v>
      </c>
      <c r="G606" s="9">
        <v>0.18</v>
      </c>
      <c r="H606" s="9">
        <v>0.21210000000000001</v>
      </c>
      <c r="I606" s="9">
        <v>0.86</v>
      </c>
      <c r="J606" s="9">
        <v>0.1045</v>
      </c>
      <c r="K606" s="9">
        <v>0</v>
      </c>
      <c r="L606" s="9">
        <v>49</v>
      </c>
      <c r="M606" s="9">
        <v>49</v>
      </c>
    </row>
    <row r="607" spans="1:13">
      <c r="A607" s="9">
        <v>606</v>
      </c>
      <c r="B607" s="10">
        <v>40571</v>
      </c>
      <c r="C607" s="9">
        <v>11</v>
      </c>
      <c r="D607" s="9" t="b">
        <v>0</v>
      </c>
      <c r="E607" s="9" t="str">
        <f t="shared" si="9"/>
        <v>Weekday</v>
      </c>
      <c r="F607" s="9">
        <v>3</v>
      </c>
      <c r="G607" s="9">
        <v>0.18</v>
      </c>
      <c r="H607" s="9">
        <v>0.21210000000000001</v>
      </c>
      <c r="I607" s="9">
        <v>0.93</v>
      </c>
      <c r="J607" s="9">
        <v>0.1045</v>
      </c>
      <c r="K607" s="9">
        <v>0</v>
      </c>
      <c r="L607" s="9">
        <v>30</v>
      </c>
      <c r="M607" s="9">
        <v>30</v>
      </c>
    </row>
    <row r="608" spans="1:13">
      <c r="A608" s="9">
        <v>607</v>
      </c>
      <c r="B608" s="10">
        <v>40571</v>
      </c>
      <c r="C608" s="9">
        <v>12</v>
      </c>
      <c r="D608" s="9" t="b">
        <v>0</v>
      </c>
      <c r="E608" s="9" t="str">
        <f t="shared" si="9"/>
        <v>Weekday</v>
      </c>
      <c r="F608" s="9">
        <v>3</v>
      </c>
      <c r="G608" s="9">
        <v>0.18</v>
      </c>
      <c r="H608" s="9">
        <v>0.21210000000000001</v>
      </c>
      <c r="I608" s="9">
        <v>0.93</v>
      </c>
      <c r="J608" s="9">
        <v>0.1045</v>
      </c>
      <c r="K608" s="9">
        <v>1</v>
      </c>
      <c r="L608" s="9">
        <v>28</v>
      </c>
      <c r="M608" s="9">
        <v>29</v>
      </c>
    </row>
    <row r="609" spans="1:13">
      <c r="A609" s="9">
        <v>608</v>
      </c>
      <c r="B609" s="10">
        <v>40571</v>
      </c>
      <c r="C609" s="9">
        <v>13</v>
      </c>
      <c r="D609" s="9" t="b">
        <v>0</v>
      </c>
      <c r="E609" s="9" t="str">
        <f t="shared" si="9"/>
        <v>Weekday</v>
      </c>
      <c r="F609" s="9">
        <v>3</v>
      </c>
      <c r="G609" s="9">
        <v>0.18</v>
      </c>
      <c r="H609" s="9">
        <v>0.21210000000000001</v>
      </c>
      <c r="I609" s="9">
        <v>0.93</v>
      </c>
      <c r="J609" s="9">
        <v>0.1045</v>
      </c>
      <c r="K609" s="9">
        <v>0</v>
      </c>
      <c r="L609" s="9">
        <v>31</v>
      </c>
      <c r="M609" s="9">
        <v>31</v>
      </c>
    </row>
    <row r="610" spans="1:13">
      <c r="A610" s="9">
        <v>609</v>
      </c>
      <c r="B610" s="10">
        <v>40571</v>
      </c>
      <c r="C610" s="9">
        <v>14</v>
      </c>
      <c r="D610" s="9" t="b">
        <v>0</v>
      </c>
      <c r="E610" s="9" t="str">
        <f t="shared" si="9"/>
        <v>Weekday</v>
      </c>
      <c r="F610" s="9">
        <v>3</v>
      </c>
      <c r="G610" s="9">
        <v>0.22</v>
      </c>
      <c r="H610" s="9">
        <v>0.2727</v>
      </c>
      <c r="I610" s="9">
        <v>0.8</v>
      </c>
      <c r="J610" s="9">
        <v>0</v>
      </c>
      <c r="K610" s="9">
        <v>2</v>
      </c>
      <c r="L610" s="9">
        <v>36</v>
      </c>
      <c r="M610" s="9">
        <v>38</v>
      </c>
    </row>
    <row r="611" spans="1:13">
      <c r="A611" s="9">
        <v>610</v>
      </c>
      <c r="B611" s="10">
        <v>40571</v>
      </c>
      <c r="C611" s="9">
        <v>15</v>
      </c>
      <c r="D611" s="9" t="b">
        <v>0</v>
      </c>
      <c r="E611" s="9" t="str">
        <f t="shared" si="9"/>
        <v>Weekday</v>
      </c>
      <c r="F611" s="9">
        <v>2</v>
      </c>
      <c r="G611" s="9">
        <v>0.2</v>
      </c>
      <c r="H611" s="9">
        <v>0.2576</v>
      </c>
      <c r="I611" s="9">
        <v>0.86</v>
      </c>
      <c r="J611" s="9">
        <v>0</v>
      </c>
      <c r="K611" s="9">
        <v>1</v>
      </c>
      <c r="L611" s="9">
        <v>40</v>
      </c>
      <c r="M611" s="9">
        <v>41</v>
      </c>
    </row>
    <row r="612" spans="1:13">
      <c r="A612" s="9">
        <v>620</v>
      </c>
      <c r="B612" s="10">
        <v>40572</v>
      </c>
      <c r="C612" s="9">
        <v>1</v>
      </c>
      <c r="D612" s="9" t="b">
        <v>0</v>
      </c>
      <c r="E612" s="9" t="str">
        <f t="shared" si="9"/>
        <v>Weekend</v>
      </c>
      <c r="F612" s="9">
        <v>1</v>
      </c>
      <c r="G612" s="9">
        <v>0.22</v>
      </c>
      <c r="H612" s="9">
        <v>0.2273</v>
      </c>
      <c r="I612" s="9">
        <v>0.64</v>
      </c>
      <c r="J612" s="9">
        <v>0.19400000000000001</v>
      </c>
      <c r="K612" s="9">
        <v>0</v>
      </c>
      <c r="L612" s="9">
        <v>20</v>
      </c>
      <c r="M612" s="9">
        <v>20</v>
      </c>
    </row>
    <row r="613" spans="1:13">
      <c r="A613" s="9">
        <v>621</v>
      </c>
      <c r="B613" s="10">
        <v>40572</v>
      </c>
      <c r="C613" s="9">
        <v>2</v>
      </c>
      <c r="D613" s="9" t="b">
        <v>0</v>
      </c>
      <c r="E613" s="9" t="str">
        <f t="shared" si="9"/>
        <v>Weekend</v>
      </c>
      <c r="F613" s="9">
        <v>1</v>
      </c>
      <c r="G613" s="9">
        <v>0.22</v>
      </c>
      <c r="H613" s="9">
        <v>0.2273</v>
      </c>
      <c r="I613" s="9">
        <v>0.64</v>
      </c>
      <c r="J613" s="9">
        <v>0.16420000000000001</v>
      </c>
      <c r="K613" s="9">
        <v>0</v>
      </c>
      <c r="L613" s="9">
        <v>15</v>
      </c>
      <c r="M613" s="9">
        <v>15</v>
      </c>
    </row>
    <row r="614" spans="1:13">
      <c r="A614" s="9">
        <v>622</v>
      </c>
      <c r="B614" s="10">
        <v>40572</v>
      </c>
      <c r="C614" s="9">
        <v>3</v>
      </c>
      <c r="D614" s="9" t="b">
        <v>0</v>
      </c>
      <c r="E614" s="9" t="str">
        <f t="shared" si="9"/>
        <v>Weekend</v>
      </c>
      <c r="F614" s="9">
        <v>1</v>
      </c>
      <c r="G614" s="9">
        <v>0.2</v>
      </c>
      <c r="H614" s="9">
        <v>0.21210000000000001</v>
      </c>
      <c r="I614" s="9">
        <v>0.64</v>
      </c>
      <c r="J614" s="9">
        <v>0.1343</v>
      </c>
      <c r="K614" s="9">
        <v>3</v>
      </c>
      <c r="L614" s="9">
        <v>5</v>
      </c>
      <c r="M614" s="9">
        <v>8</v>
      </c>
    </row>
    <row r="615" spans="1:13">
      <c r="A615" s="9">
        <v>623</v>
      </c>
      <c r="B615" s="10">
        <v>40572</v>
      </c>
      <c r="C615" s="9">
        <v>4</v>
      </c>
      <c r="D615" s="9" t="b">
        <v>0</v>
      </c>
      <c r="E615" s="9" t="str">
        <f t="shared" si="9"/>
        <v>Weekend</v>
      </c>
      <c r="F615" s="9">
        <v>1</v>
      </c>
      <c r="G615" s="9">
        <v>0.16</v>
      </c>
      <c r="H615" s="9">
        <v>0.18179999999999999</v>
      </c>
      <c r="I615" s="9">
        <v>0.69</v>
      </c>
      <c r="J615" s="9">
        <v>0.1045</v>
      </c>
      <c r="K615" s="9">
        <v>1</v>
      </c>
      <c r="L615" s="9">
        <v>2</v>
      </c>
      <c r="M615" s="9">
        <v>3</v>
      </c>
    </row>
    <row r="616" spans="1:13">
      <c r="A616" s="9">
        <v>624</v>
      </c>
      <c r="B616" s="10">
        <v>40572</v>
      </c>
      <c r="C616" s="9">
        <v>6</v>
      </c>
      <c r="D616" s="9" t="b">
        <v>0</v>
      </c>
      <c r="E616" s="9" t="str">
        <f t="shared" si="9"/>
        <v>Weekend</v>
      </c>
      <c r="F616" s="9">
        <v>1</v>
      </c>
      <c r="G616" s="9">
        <v>0.16</v>
      </c>
      <c r="H616" s="9">
        <v>0.18179999999999999</v>
      </c>
      <c r="I616" s="9">
        <v>0.64</v>
      </c>
      <c r="J616" s="9">
        <v>0.1343</v>
      </c>
      <c r="K616" s="9">
        <v>0</v>
      </c>
      <c r="L616" s="9">
        <v>2</v>
      </c>
      <c r="M616" s="9">
        <v>2</v>
      </c>
    </row>
    <row r="617" spans="1:13">
      <c r="A617" s="9">
        <v>625</v>
      </c>
      <c r="B617" s="10">
        <v>40572</v>
      </c>
      <c r="C617" s="9">
        <v>7</v>
      </c>
      <c r="D617" s="9" t="b">
        <v>0</v>
      </c>
      <c r="E617" s="9" t="str">
        <f t="shared" si="9"/>
        <v>Weekend</v>
      </c>
      <c r="F617" s="9">
        <v>1</v>
      </c>
      <c r="G617" s="9">
        <v>0.16</v>
      </c>
      <c r="H617" s="9">
        <v>0.18179999999999999</v>
      </c>
      <c r="I617" s="9">
        <v>0.59</v>
      </c>
      <c r="J617" s="9">
        <v>0.1045</v>
      </c>
      <c r="K617" s="9">
        <v>1</v>
      </c>
      <c r="L617" s="9">
        <v>4</v>
      </c>
      <c r="M617" s="9">
        <v>5</v>
      </c>
    </row>
    <row r="618" spans="1:13">
      <c r="A618" s="9">
        <v>626</v>
      </c>
      <c r="B618" s="10">
        <v>40572</v>
      </c>
      <c r="C618" s="9">
        <v>8</v>
      </c>
      <c r="D618" s="9" t="b">
        <v>0</v>
      </c>
      <c r="E618" s="9" t="str">
        <f t="shared" si="9"/>
        <v>Weekend</v>
      </c>
      <c r="F618" s="9">
        <v>1</v>
      </c>
      <c r="G618" s="9">
        <v>0.18</v>
      </c>
      <c r="H618" s="9">
        <v>0.19700000000000001</v>
      </c>
      <c r="I618" s="9">
        <v>0.55000000000000004</v>
      </c>
      <c r="J618" s="9">
        <v>0.16420000000000001</v>
      </c>
      <c r="K618" s="9">
        <v>3</v>
      </c>
      <c r="L618" s="9">
        <v>31</v>
      </c>
      <c r="M618" s="9">
        <v>34</v>
      </c>
    </row>
    <row r="619" spans="1:13">
      <c r="A619" s="9">
        <v>627</v>
      </c>
      <c r="B619" s="10">
        <v>40572</v>
      </c>
      <c r="C619" s="9">
        <v>9</v>
      </c>
      <c r="D619" s="9" t="b">
        <v>0</v>
      </c>
      <c r="E619" s="9" t="str">
        <f t="shared" si="9"/>
        <v>Weekend</v>
      </c>
      <c r="F619" s="9">
        <v>1</v>
      </c>
      <c r="G619" s="9">
        <v>0.18</v>
      </c>
      <c r="H619" s="9">
        <v>0.21210000000000001</v>
      </c>
      <c r="I619" s="9">
        <v>0.59</v>
      </c>
      <c r="J619" s="9">
        <v>8.9599999999999999E-2</v>
      </c>
      <c r="K619" s="9">
        <v>0</v>
      </c>
      <c r="L619" s="9">
        <v>34</v>
      </c>
      <c r="M619" s="9">
        <v>34</v>
      </c>
    </row>
    <row r="620" spans="1:13">
      <c r="A620" s="9">
        <v>628</v>
      </c>
      <c r="B620" s="10">
        <v>40572</v>
      </c>
      <c r="C620" s="9">
        <v>10</v>
      </c>
      <c r="D620" s="9" t="b">
        <v>0</v>
      </c>
      <c r="E620" s="9" t="str">
        <f t="shared" si="9"/>
        <v>Weekend</v>
      </c>
      <c r="F620" s="9">
        <v>2</v>
      </c>
      <c r="G620" s="9">
        <v>0.18</v>
      </c>
      <c r="H620" s="9">
        <v>0.21210000000000001</v>
      </c>
      <c r="I620" s="9">
        <v>0.64</v>
      </c>
      <c r="J620" s="9">
        <v>0.1045</v>
      </c>
      <c r="K620" s="9">
        <v>4</v>
      </c>
      <c r="L620" s="9">
        <v>51</v>
      </c>
      <c r="M620" s="9">
        <v>55</v>
      </c>
    </row>
    <row r="621" spans="1:13">
      <c r="A621" s="9">
        <v>629</v>
      </c>
      <c r="B621" s="10">
        <v>40572</v>
      </c>
      <c r="C621" s="9">
        <v>11</v>
      </c>
      <c r="D621" s="9" t="b">
        <v>0</v>
      </c>
      <c r="E621" s="9" t="str">
        <f t="shared" si="9"/>
        <v>Weekend</v>
      </c>
      <c r="F621" s="9">
        <v>2</v>
      </c>
      <c r="G621" s="9">
        <v>0.18</v>
      </c>
      <c r="H621" s="9">
        <v>0.19700000000000001</v>
      </c>
      <c r="I621" s="9">
        <v>0.64</v>
      </c>
      <c r="J621" s="9">
        <v>0.1343</v>
      </c>
      <c r="K621" s="9">
        <v>4</v>
      </c>
      <c r="L621" s="9">
        <v>60</v>
      </c>
      <c r="M621" s="9">
        <v>64</v>
      </c>
    </row>
    <row r="622" spans="1:13">
      <c r="A622" s="9">
        <v>630</v>
      </c>
      <c r="B622" s="10">
        <v>40572</v>
      </c>
      <c r="C622" s="9">
        <v>12</v>
      </c>
      <c r="D622" s="9" t="b">
        <v>0</v>
      </c>
      <c r="E622" s="9" t="str">
        <f t="shared" si="9"/>
        <v>Weekend</v>
      </c>
      <c r="F622" s="9">
        <v>2</v>
      </c>
      <c r="G622" s="9">
        <v>0.2</v>
      </c>
      <c r="H622" s="9">
        <v>0.19700000000000001</v>
      </c>
      <c r="I622" s="9">
        <v>0.59</v>
      </c>
      <c r="J622" s="9">
        <v>0.19400000000000001</v>
      </c>
      <c r="K622" s="9">
        <v>12</v>
      </c>
      <c r="L622" s="9">
        <v>66</v>
      </c>
      <c r="M622" s="9">
        <v>78</v>
      </c>
    </row>
    <row r="623" spans="1:13">
      <c r="A623" s="9">
        <v>631</v>
      </c>
      <c r="B623" s="10">
        <v>40572</v>
      </c>
      <c r="C623" s="9">
        <v>13</v>
      </c>
      <c r="D623" s="9" t="b">
        <v>0</v>
      </c>
      <c r="E623" s="9" t="str">
        <f t="shared" si="9"/>
        <v>Weekend</v>
      </c>
      <c r="F623" s="9">
        <v>2</v>
      </c>
      <c r="G623" s="9">
        <v>0.22</v>
      </c>
      <c r="H623" s="9">
        <v>0.2273</v>
      </c>
      <c r="I623" s="9">
        <v>0.55000000000000004</v>
      </c>
      <c r="J623" s="9">
        <v>0.16420000000000001</v>
      </c>
      <c r="K623" s="9">
        <v>9</v>
      </c>
      <c r="L623" s="9">
        <v>56</v>
      </c>
      <c r="M623" s="9">
        <v>65</v>
      </c>
    </row>
    <row r="624" spans="1:13">
      <c r="A624" s="9">
        <v>632</v>
      </c>
      <c r="B624" s="10">
        <v>40572</v>
      </c>
      <c r="C624" s="9">
        <v>14</v>
      </c>
      <c r="D624" s="9" t="b">
        <v>0</v>
      </c>
      <c r="E624" s="9" t="str">
        <f t="shared" si="9"/>
        <v>Weekend</v>
      </c>
      <c r="F624" s="9">
        <v>2</v>
      </c>
      <c r="G624" s="9">
        <v>0.22</v>
      </c>
      <c r="H624" s="9">
        <v>0.2273</v>
      </c>
      <c r="I624" s="9">
        <v>0.6</v>
      </c>
      <c r="J624" s="9">
        <v>0.1343</v>
      </c>
      <c r="K624" s="9">
        <v>10</v>
      </c>
      <c r="L624" s="9">
        <v>89</v>
      </c>
      <c r="M624" s="9">
        <v>99</v>
      </c>
    </row>
    <row r="625" spans="1:13">
      <c r="A625" s="9">
        <v>633</v>
      </c>
      <c r="B625" s="10">
        <v>40572</v>
      </c>
      <c r="C625" s="9">
        <v>15</v>
      </c>
      <c r="D625" s="9" t="b">
        <v>0</v>
      </c>
      <c r="E625" s="9" t="str">
        <f t="shared" si="9"/>
        <v>Weekend</v>
      </c>
      <c r="F625" s="9">
        <v>1</v>
      </c>
      <c r="G625" s="9">
        <v>0.22</v>
      </c>
      <c r="H625" s="9">
        <v>0.21210000000000001</v>
      </c>
      <c r="I625" s="9">
        <v>0.69</v>
      </c>
      <c r="J625" s="9">
        <v>0.25369999999999998</v>
      </c>
      <c r="K625" s="9">
        <v>22</v>
      </c>
      <c r="L625" s="9">
        <v>98</v>
      </c>
      <c r="M625" s="9">
        <v>120</v>
      </c>
    </row>
    <row r="626" spans="1:13">
      <c r="A626" s="9">
        <v>634</v>
      </c>
      <c r="B626" s="10">
        <v>40572</v>
      </c>
      <c r="C626" s="9">
        <v>16</v>
      </c>
      <c r="D626" s="9" t="b">
        <v>0</v>
      </c>
      <c r="E626" s="9" t="str">
        <f t="shared" si="9"/>
        <v>Weekend</v>
      </c>
      <c r="F626" s="9">
        <v>1</v>
      </c>
      <c r="G626" s="9">
        <v>0.24</v>
      </c>
      <c r="H626" s="9">
        <v>0.2424</v>
      </c>
      <c r="I626" s="9">
        <v>0.6</v>
      </c>
      <c r="J626" s="9">
        <v>0.16420000000000001</v>
      </c>
      <c r="K626" s="9">
        <v>19</v>
      </c>
      <c r="L626" s="9">
        <v>88</v>
      </c>
      <c r="M626" s="9">
        <v>107</v>
      </c>
    </row>
    <row r="627" spans="1:13">
      <c r="A627" s="9">
        <v>635</v>
      </c>
      <c r="B627" s="10">
        <v>40572</v>
      </c>
      <c r="C627" s="9">
        <v>17</v>
      </c>
      <c r="D627" s="9" t="b">
        <v>0</v>
      </c>
      <c r="E627" s="9" t="str">
        <f t="shared" si="9"/>
        <v>Weekend</v>
      </c>
      <c r="F627" s="9">
        <v>1</v>
      </c>
      <c r="G627" s="9">
        <v>0.24</v>
      </c>
      <c r="H627" s="9">
        <v>0.28789999999999999</v>
      </c>
      <c r="I627" s="9">
        <v>0.6</v>
      </c>
      <c r="J627" s="9">
        <v>0</v>
      </c>
      <c r="K627" s="9">
        <v>9</v>
      </c>
      <c r="L627" s="9">
        <v>82</v>
      </c>
      <c r="M627" s="9">
        <v>91</v>
      </c>
    </row>
    <row r="628" spans="1:13">
      <c r="A628" s="9">
        <v>636</v>
      </c>
      <c r="B628" s="10">
        <v>40572</v>
      </c>
      <c r="C628" s="9">
        <v>18</v>
      </c>
      <c r="D628" s="9" t="b">
        <v>0</v>
      </c>
      <c r="E628" s="9" t="str">
        <f t="shared" si="9"/>
        <v>Weekend</v>
      </c>
      <c r="F628" s="9">
        <v>1</v>
      </c>
      <c r="G628" s="9">
        <v>0.22</v>
      </c>
      <c r="H628" s="9">
        <v>0.2273</v>
      </c>
      <c r="I628" s="9">
        <v>0.69</v>
      </c>
      <c r="J628" s="9">
        <v>0.1343</v>
      </c>
      <c r="K628" s="9">
        <v>9</v>
      </c>
      <c r="L628" s="9">
        <v>59</v>
      </c>
      <c r="M628" s="9">
        <v>68</v>
      </c>
    </row>
    <row r="629" spans="1:13">
      <c r="A629" s="9">
        <v>637</v>
      </c>
      <c r="B629" s="10">
        <v>40572</v>
      </c>
      <c r="C629" s="9">
        <v>19</v>
      </c>
      <c r="D629" s="9" t="b">
        <v>0</v>
      </c>
      <c r="E629" s="9" t="str">
        <f t="shared" si="9"/>
        <v>Weekend</v>
      </c>
      <c r="F629" s="9">
        <v>2</v>
      </c>
      <c r="G629" s="9">
        <v>0.22</v>
      </c>
      <c r="H629" s="9">
        <v>0.21210000000000001</v>
      </c>
      <c r="I629" s="9">
        <v>0.69</v>
      </c>
      <c r="J629" s="9">
        <v>0.25369999999999998</v>
      </c>
      <c r="K629" s="9">
        <v>6</v>
      </c>
      <c r="L629" s="9">
        <v>52</v>
      </c>
      <c r="M629" s="9">
        <v>58</v>
      </c>
    </row>
    <row r="630" spans="1:13">
      <c r="A630" s="9">
        <v>638</v>
      </c>
      <c r="B630" s="10">
        <v>40572</v>
      </c>
      <c r="C630" s="9">
        <v>20</v>
      </c>
      <c r="D630" s="9" t="b">
        <v>0</v>
      </c>
      <c r="E630" s="9" t="str">
        <f t="shared" si="9"/>
        <v>Weekend</v>
      </c>
      <c r="F630" s="9">
        <v>1</v>
      </c>
      <c r="G630" s="9">
        <v>0.18</v>
      </c>
      <c r="H630" s="9">
        <v>0.21210000000000001</v>
      </c>
      <c r="I630" s="9">
        <v>0.74</v>
      </c>
      <c r="J630" s="9">
        <v>8.9599999999999999E-2</v>
      </c>
      <c r="K630" s="9">
        <v>1</v>
      </c>
      <c r="L630" s="9">
        <v>42</v>
      </c>
      <c r="M630" s="9">
        <v>43</v>
      </c>
    </row>
    <row r="631" spans="1:13">
      <c r="A631" s="9">
        <v>639</v>
      </c>
      <c r="B631" s="10">
        <v>40572</v>
      </c>
      <c r="C631" s="9">
        <v>21</v>
      </c>
      <c r="D631" s="9" t="b">
        <v>0</v>
      </c>
      <c r="E631" s="9" t="str">
        <f t="shared" si="9"/>
        <v>Weekend</v>
      </c>
      <c r="F631" s="9">
        <v>1</v>
      </c>
      <c r="G631" s="9">
        <v>0.18</v>
      </c>
      <c r="H631" s="9">
        <v>0.21210000000000001</v>
      </c>
      <c r="I631" s="9">
        <v>0.74</v>
      </c>
      <c r="J631" s="9">
        <v>8.9599999999999999E-2</v>
      </c>
      <c r="K631" s="9">
        <v>1</v>
      </c>
      <c r="L631" s="9">
        <v>35</v>
      </c>
      <c r="M631" s="9">
        <v>36</v>
      </c>
    </row>
    <row r="632" spans="1:13">
      <c r="A632" s="9">
        <v>640</v>
      </c>
      <c r="B632" s="10">
        <v>40572</v>
      </c>
      <c r="C632" s="9">
        <v>22</v>
      </c>
      <c r="D632" s="9" t="b">
        <v>0</v>
      </c>
      <c r="E632" s="9" t="str">
        <f t="shared" si="9"/>
        <v>Weekend</v>
      </c>
      <c r="F632" s="9">
        <v>1</v>
      </c>
      <c r="G632" s="9">
        <v>0.16</v>
      </c>
      <c r="H632" s="9">
        <v>0.19700000000000001</v>
      </c>
      <c r="I632" s="9">
        <v>0.8</v>
      </c>
      <c r="J632" s="9">
        <v>8.9599999999999999E-2</v>
      </c>
      <c r="K632" s="9">
        <v>4</v>
      </c>
      <c r="L632" s="9">
        <v>28</v>
      </c>
      <c r="M632" s="9">
        <v>32</v>
      </c>
    </row>
    <row r="633" spans="1:13">
      <c r="A633" s="9">
        <v>641</v>
      </c>
      <c r="B633" s="10">
        <v>40572</v>
      </c>
      <c r="C633" s="9">
        <v>23</v>
      </c>
      <c r="D633" s="9" t="b">
        <v>0</v>
      </c>
      <c r="E633" s="9" t="str">
        <f t="shared" si="9"/>
        <v>Weekend</v>
      </c>
      <c r="F633" s="9">
        <v>1</v>
      </c>
      <c r="G633" s="9">
        <v>0.16</v>
      </c>
      <c r="H633" s="9">
        <v>0.19700000000000001</v>
      </c>
      <c r="I633" s="9">
        <v>0.8</v>
      </c>
      <c r="J633" s="9">
        <v>8.9599999999999999E-2</v>
      </c>
      <c r="K633" s="9">
        <v>3</v>
      </c>
      <c r="L633" s="9">
        <v>30</v>
      </c>
      <c r="M633" s="9">
        <v>33</v>
      </c>
    </row>
    <row r="634" spans="1:13">
      <c r="A634" s="9">
        <v>642</v>
      </c>
      <c r="B634" s="10">
        <v>40573</v>
      </c>
      <c r="C634" s="9">
        <v>0</v>
      </c>
      <c r="D634" s="9" t="b">
        <v>0</v>
      </c>
      <c r="E634" s="9" t="str">
        <f t="shared" si="9"/>
        <v>Weekend</v>
      </c>
      <c r="F634" s="9">
        <v>1</v>
      </c>
      <c r="G634" s="9">
        <v>0.16</v>
      </c>
      <c r="H634" s="9">
        <v>0.18179999999999999</v>
      </c>
      <c r="I634" s="9">
        <v>0.8</v>
      </c>
      <c r="J634" s="9">
        <v>0.1045</v>
      </c>
      <c r="K634" s="9">
        <v>0</v>
      </c>
      <c r="L634" s="9">
        <v>33</v>
      </c>
      <c r="M634" s="9">
        <v>33</v>
      </c>
    </row>
    <row r="635" spans="1:13">
      <c r="A635" s="9">
        <v>643</v>
      </c>
      <c r="B635" s="10">
        <v>40573</v>
      </c>
      <c r="C635" s="9">
        <v>1</v>
      </c>
      <c r="D635" s="9" t="b">
        <v>0</v>
      </c>
      <c r="E635" s="9" t="str">
        <f t="shared" si="9"/>
        <v>Weekend</v>
      </c>
      <c r="F635" s="9">
        <v>1</v>
      </c>
      <c r="G635" s="9">
        <v>0.14000000000000001</v>
      </c>
      <c r="H635" s="9">
        <v>0.21210000000000001</v>
      </c>
      <c r="I635" s="9">
        <v>0.8</v>
      </c>
      <c r="J635" s="9">
        <v>0</v>
      </c>
      <c r="K635" s="9">
        <v>7</v>
      </c>
      <c r="L635" s="9">
        <v>22</v>
      </c>
      <c r="M635" s="9">
        <v>29</v>
      </c>
    </row>
    <row r="636" spans="1:13">
      <c r="A636" s="9">
        <v>644</v>
      </c>
      <c r="B636" s="10">
        <v>40573</v>
      </c>
      <c r="C636" s="9">
        <v>2</v>
      </c>
      <c r="D636" s="9" t="b">
        <v>0</v>
      </c>
      <c r="E636" s="9" t="str">
        <f t="shared" si="9"/>
        <v>Weekend</v>
      </c>
      <c r="F636" s="9">
        <v>1</v>
      </c>
      <c r="G636" s="9">
        <v>0.16</v>
      </c>
      <c r="H636" s="9">
        <v>0.2273</v>
      </c>
      <c r="I636" s="9">
        <v>0.8</v>
      </c>
      <c r="J636" s="9">
        <v>0</v>
      </c>
      <c r="K636" s="9">
        <v>1</v>
      </c>
      <c r="L636" s="9">
        <v>10</v>
      </c>
      <c r="M636" s="9">
        <v>11</v>
      </c>
    </row>
    <row r="637" spans="1:13">
      <c r="A637" s="9">
        <v>645</v>
      </c>
      <c r="B637" s="10">
        <v>40573</v>
      </c>
      <c r="C637" s="9">
        <v>3</v>
      </c>
      <c r="D637" s="9" t="b">
        <v>0</v>
      </c>
      <c r="E637" s="9" t="str">
        <f t="shared" si="9"/>
        <v>Weekend</v>
      </c>
      <c r="F637" s="9">
        <v>1</v>
      </c>
      <c r="G637" s="9">
        <v>0.14000000000000001</v>
      </c>
      <c r="H637" s="9">
        <v>0.21210000000000001</v>
      </c>
      <c r="I637" s="9">
        <v>0.93</v>
      </c>
      <c r="J637" s="9">
        <v>0</v>
      </c>
      <c r="K637" s="9">
        <v>1</v>
      </c>
      <c r="L637" s="9">
        <v>7</v>
      </c>
      <c r="M637" s="9">
        <v>8</v>
      </c>
    </row>
    <row r="638" spans="1:13">
      <c r="A638" s="9">
        <v>646</v>
      </c>
      <c r="B638" s="10">
        <v>40573</v>
      </c>
      <c r="C638" s="9">
        <v>4</v>
      </c>
      <c r="D638" s="9" t="b">
        <v>0</v>
      </c>
      <c r="E638" s="9" t="str">
        <f t="shared" si="9"/>
        <v>Weekend</v>
      </c>
      <c r="F638" s="9">
        <v>1</v>
      </c>
      <c r="G638" s="9">
        <v>0.14000000000000001</v>
      </c>
      <c r="H638" s="9">
        <v>0.21210000000000001</v>
      </c>
      <c r="I638" s="9">
        <v>0.93</v>
      </c>
      <c r="J638" s="9">
        <v>0</v>
      </c>
      <c r="K638" s="9">
        <v>0</v>
      </c>
      <c r="L638" s="9">
        <v>1</v>
      </c>
      <c r="M638" s="9">
        <v>1</v>
      </c>
    </row>
    <row r="639" spans="1:13">
      <c r="A639" s="9">
        <v>647</v>
      </c>
      <c r="B639" s="10">
        <v>40573</v>
      </c>
      <c r="C639" s="9">
        <v>5</v>
      </c>
      <c r="D639" s="9" t="b">
        <v>0</v>
      </c>
      <c r="E639" s="9" t="str">
        <f t="shared" si="9"/>
        <v>Weekend</v>
      </c>
      <c r="F639" s="9">
        <v>1</v>
      </c>
      <c r="G639" s="9">
        <v>0.14000000000000001</v>
      </c>
      <c r="H639" s="9">
        <v>0.21210000000000001</v>
      </c>
      <c r="I639" s="9">
        <v>0.86</v>
      </c>
      <c r="J639" s="9">
        <v>0</v>
      </c>
      <c r="K639" s="9">
        <v>0</v>
      </c>
      <c r="L639" s="9">
        <v>3</v>
      </c>
      <c r="M639" s="9">
        <v>3</v>
      </c>
    </row>
    <row r="640" spans="1:13">
      <c r="A640" s="9">
        <v>648</v>
      </c>
      <c r="B640" s="10">
        <v>40573</v>
      </c>
      <c r="C640" s="9">
        <v>7</v>
      </c>
      <c r="D640" s="9" t="b">
        <v>0</v>
      </c>
      <c r="E640" s="9" t="str">
        <f t="shared" si="9"/>
        <v>Weekend</v>
      </c>
      <c r="F640" s="9">
        <v>1</v>
      </c>
      <c r="G640" s="9">
        <v>0.14000000000000001</v>
      </c>
      <c r="H640" s="9">
        <v>0.21210000000000001</v>
      </c>
      <c r="I640" s="9">
        <v>0.86</v>
      </c>
      <c r="J640" s="9">
        <v>0</v>
      </c>
      <c r="K640" s="9">
        <v>0</v>
      </c>
      <c r="L640" s="9">
        <v>3</v>
      </c>
      <c r="M640" s="9">
        <v>3</v>
      </c>
    </row>
    <row r="641" spans="1:13">
      <c r="A641" s="9">
        <v>649</v>
      </c>
      <c r="B641" s="10">
        <v>40573</v>
      </c>
      <c r="C641" s="9">
        <v>8</v>
      </c>
      <c r="D641" s="9" t="b">
        <v>0</v>
      </c>
      <c r="E641" s="9" t="str">
        <f t="shared" si="9"/>
        <v>Weekend</v>
      </c>
      <c r="F641" s="9">
        <v>2</v>
      </c>
      <c r="G641" s="9">
        <v>0.14000000000000001</v>
      </c>
      <c r="H641" s="9">
        <v>0.21210000000000001</v>
      </c>
      <c r="I641" s="9">
        <v>0.86</v>
      </c>
      <c r="J641" s="9">
        <v>0</v>
      </c>
      <c r="K641" s="9">
        <v>1</v>
      </c>
      <c r="L641" s="9">
        <v>11</v>
      </c>
      <c r="M641" s="9">
        <v>12</v>
      </c>
    </row>
    <row r="642" spans="1:13">
      <c r="A642" s="9">
        <v>650</v>
      </c>
      <c r="B642" s="10">
        <v>40573</v>
      </c>
      <c r="C642" s="9">
        <v>9</v>
      </c>
      <c r="D642" s="9" t="b">
        <v>0</v>
      </c>
      <c r="E642" s="9" t="str">
        <f t="shared" si="9"/>
        <v>Weekend</v>
      </c>
      <c r="F642" s="9">
        <v>2</v>
      </c>
      <c r="G642" s="9">
        <v>0.16</v>
      </c>
      <c r="H642" s="9">
        <v>0.2273</v>
      </c>
      <c r="I642" s="9">
        <v>0.8</v>
      </c>
      <c r="J642" s="9">
        <v>0</v>
      </c>
      <c r="K642" s="9">
        <v>4</v>
      </c>
      <c r="L642" s="9">
        <v>34</v>
      </c>
      <c r="M642" s="9">
        <v>38</v>
      </c>
    </row>
    <row r="643" spans="1:13">
      <c r="A643" s="9">
        <v>651</v>
      </c>
      <c r="B643" s="10">
        <v>40573</v>
      </c>
      <c r="C643" s="9">
        <v>10</v>
      </c>
      <c r="D643" s="9" t="b">
        <v>0</v>
      </c>
      <c r="E643" s="9" t="str">
        <f t="shared" ref="E643:E706" si="10">IF(WEEKDAY(B643,2)&gt;=6,"Weekend","Weekday")</f>
        <v>Weekend</v>
      </c>
      <c r="F643" s="9">
        <v>2</v>
      </c>
      <c r="G643" s="9">
        <v>0.18</v>
      </c>
      <c r="H643" s="9">
        <v>0.2424</v>
      </c>
      <c r="I643" s="9">
        <v>0.8</v>
      </c>
      <c r="J643" s="9">
        <v>0</v>
      </c>
      <c r="K643" s="9">
        <v>7</v>
      </c>
      <c r="L643" s="9">
        <v>57</v>
      </c>
      <c r="M643" s="9">
        <v>64</v>
      </c>
    </row>
    <row r="644" spans="1:13">
      <c r="A644" s="9">
        <v>652</v>
      </c>
      <c r="B644" s="10">
        <v>40573</v>
      </c>
      <c r="C644" s="9">
        <v>11</v>
      </c>
      <c r="D644" s="9" t="b">
        <v>0</v>
      </c>
      <c r="E644" s="9" t="str">
        <f t="shared" si="10"/>
        <v>Weekend</v>
      </c>
      <c r="F644" s="9">
        <v>1</v>
      </c>
      <c r="G644" s="9">
        <v>0.22</v>
      </c>
      <c r="H644" s="9">
        <v>0.2727</v>
      </c>
      <c r="I644" s="9">
        <v>0.75</v>
      </c>
      <c r="J644" s="9">
        <v>0</v>
      </c>
      <c r="K644" s="9">
        <v>9</v>
      </c>
      <c r="L644" s="9">
        <v>50</v>
      </c>
      <c r="M644" s="9">
        <v>59</v>
      </c>
    </row>
    <row r="645" spans="1:13">
      <c r="A645" s="9">
        <v>653</v>
      </c>
      <c r="B645" s="10">
        <v>40573</v>
      </c>
      <c r="C645" s="9">
        <v>12</v>
      </c>
      <c r="D645" s="9" t="b">
        <v>0</v>
      </c>
      <c r="E645" s="9" t="str">
        <f t="shared" si="10"/>
        <v>Weekend</v>
      </c>
      <c r="F645" s="9">
        <v>1</v>
      </c>
      <c r="G645" s="9">
        <v>0.3</v>
      </c>
      <c r="H645" s="9">
        <v>0.31819999999999998</v>
      </c>
      <c r="I645" s="9">
        <v>0.52</v>
      </c>
      <c r="J645" s="9">
        <v>0.1045</v>
      </c>
      <c r="K645" s="9">
        <v>10</v>
      </c>
      <c r="L645" s="9">
        <v>87</v>
      </c>
      <c r="M645" s="9">
        <v>97</v>
      </c>
    </row>
    <row r="646" spans="1:13">
      <c r="A646" s="9">
        <v>654</v>
      </c>
      <c r="B646" s="10">
        <v>40573</v>
      </c>
      <c r="C646" s="9">
        <v>13</v>
      </c>
      <c r="D646" s="9" t="b">
        <v>0</v>
      </c>
      <c r="E646" s="9" t="str">
        <f t="shared" si="10"/>
        <v>Weekend</v>
      </c>
      <c r="F646" s="9">
        <v>1</v>
      </c>
      <c r="G646" s="9">
        <v>0.28000000000000003</v>
      </c>
      <c r="H646" s="9">
        <v>0.28789999999999999</v>
      </c>
      <c r="I646" s="9">
        <v>0.61</v>
      </c>
      <c r="J646" s="9">
        <v>0.1045</v>
      </c>
      <c r="K646" s="9">
        <v>13</v>
      </c>
      <c r="L646" s="9">
        <v>71</v>
      </c>
      <c r="M646" s="9">
        <v>84</v>
      </c>
    </row>
    <row r="647" spans="1:13">
      <c r="A647" s="9">
        <v>655</v>
      </c>
      <c r="B647" s="10">
        <v>40573</v>
      </c>
      <c r="C647" s="9">
        <v>14</v>
      </c>
      <c r="D647" s="9" t="b">
        <v>0</v>
      </c>
      <c r="E647" s="9" t="str">
        <f t="shared" si="10"/>
        <v>Weekend</v>
      </c>
      <c r="F647" s="9">
        <v>1</v>
      </c>
      <c r="G647" s="9">
        <v>0.28000000000000003</v>
      </c>
      <c r="H647" s="9">
        <v>0.30299999999999999</v>
      </c>
      <c r="I647" s="9">
        <v>0.61</v>
      </c>
      <c r="J647" s="9">
        <v>8.9599999999999999E-2</v>
      </c>
      <c r="K647" s="9">
        <v>18</v>
      </c>
      <c r="L647" s="9">
        <v>104</v>
      </c>
      <c r="M647" s="9">
        <v>122</v>
      </c>
    </row>
    <row r="648" spans="1:13">
      <c r="A648" s="9">
        <v>656</v>
      </c>
      <c r="B648" s="10">
        <v>40573</v>
      </c>
      <c r="C648" s="9">
        <v>15</v>
      </c>
      <c r="D648" s="9" t="b">
        <v>0</v>
      </c>
      <c r="E648" s="9" t="str">
        <f t="shared" si="10"/>
        <v>Weekend</v>
      </c>
      <c r="F648" s="9">
        <v>1</v>
      </c>
      <c r="G648" s="9">
        <v>0.3</v>
      </c>
      <c r="H648" s="9">
        <v>0.33329999999999999</v>
      </c>
      <c r="I648" s="9">
        <v>0.56000000000000005</v>
      </c>
      <c r="J648" s="9">
        <v>0</v>
      </c>
      <c r="K648" s="9">
        <v>14</v>
      </c>
      <c r="L648" s="9">
        <v>95</v>
      </c>
      <c r="M648" s="9">
        <v>109</v>
      </c>
    </row>
    <row r="649" spans="1:13">
      <c r="A649" s="9">
        <v>657</v>
      </c>
      <c r="B649" s="10">
        <v>40573</v>
      </c>
      <c r="C649" s="9">
        <v>16</v>
      </c>
      <c r="D649" s="9" t="b">
        <v>0</v>
      </c>
      <c r="E649" s="9" t="str">
        <f t="shared" si="10"/>
        <v>Weekend</v>
      </c>
      <c r="F649" s="9">
        <v>1</v>
      </c>
      <c r="G649" s="9">
        <v>0.3</v>
      </c>
      <c r="H649" s="9">
        <v>0.33329999999999999</v>
      </c>
      <c r="I649" s="9">
        <v>0.56000000000000005</v>
      </c>
      <c r="J649" s="9">
        <v>0</v>
      </c>
      <c r="K649" s="9">
        <v>19</v>
      </c>
      <c r="L649" s="9">
        <v>104</v>
      </c>
      <c r="M649" s="9">
        <v>123</v>
      </c>
    </row>
    <row r="650" spans="1:13">
      <c r="A650" s="9">
        <v>658</v>
      </c>
      <c r="B650" s="10">
        <v>40573</v>
      </c>
      <c r="C650" s="9">
        <v>17</v>
      </c>
      <c r="D650" s="9" t="b">
        <v>0</v>
      </c>
      <c r="E650" s="9" t="str">
        <f t="shared" si="10"/>
        <v>Weekend</v>
      </c>
      <c r="F650" s="9">
        <v>1</v>
      </c>
      <c r="G650" s="9">
        <v>0.3</v>
      </c>
      <c r="H650" s="9">
        <v>0.28789999999999999</v>
      </c>
      <c r="I650" s="9">
        <v>0.56000000000000005</v>
      </c>
      <c r="J650" s="9">
        <v>0.19400000000000001</v>
      </c>
      <c r="K650" s="9">
        <v>6</v>
      </c>
      <c r="L650" s="9">
        <v>71</v>
      </c>
      <c r="M650" s="9">
        <v>77</v>
      </c>
    </row>
    <row r="651" spans="1:13">
      <c r="A651" s="9">
        <v>659</v>
      </c>
      <c r="B651" s="10">
        <v>40573</v>
      </c>
      <c r="C651" s="9">
        <v>18</v>
      </c>
      <c r="D651" s="9" t="b">
        <v>0</v>
      </c>
      <c r="E651" s="9" t="str">
        <f t="shared" si="10"/>
        <v>Weekend</v>
      </c>
      <c r="F651" s="9">
        <v>1</v>
      </c>
      <c r="G651" s="9">
        <v>0.26</v>
      </c>
      <c r="H651" s="9">
        <v>0.2576</v>
      </c>
      <c r="I651" s="9">
        <v>0.65</v>
      </c>
      <c r="J651" s="9">
        <v>0.16420000000000001</v>
      </c>
      <c r="K651" s="9">
        <v>8</v>
      </c>
      <c r="L651" s="9">
        <v>57</v>
      </c>
      <c r="M651" s="9">
        <v>65</v>
      </c>
    </row>
    <row r="652" spans="1:13">
      <c r="A652" s="9">
        <v>660</v>
      </c>
      <c r="B652" s="10">
        <v>40573</v>
      </c>
      <c r="C652" s="9">
        <v>19</v>
      </c>
      <c r="D652" s="9" t="b">
        <v>0</v>
      </c>
      <c r="E652" s="9" t="str">
        <f t="shared" si="10"/>
        <v>Weekend</v>
      </c>
      <c r="F652" s="9">
        <v>1</v>
      </c>
      <c r="G652" s="9">
        <v>0.26</v>
      </c>
      <c r="H652" s="9">
        <v>0.2576</v>
      </c>
      <c r="I652" s="9">
        <v>0.65</v>
      </c>
      <c r="J652" s="9">
        <v>0.19400000000000001</v>
      </c>
      <c r="K652" s="9">
        <v>9</v>
      </c>
      <c r="L652" s="9">
        <v>46</v>
      </c>
      <c r="M652" s="9">
        <v>55</v>
      </c>
    </row>
    <row r="653" spans="1:13">
      <c r="A653" s="9">
        <v>661</v>
      </c>
      <c r="B653" s="10">
        <v>40573</v>
      </c>
      <c r="C653" s="9">
        <v>20</v>
      </c>
      <c r="D653" s="9" t="b">
        <v>0</v>
      </c>
      <c r="E653" s="9" t="str">
        <f t="shared" si="10"/>
        <v>Weekend</v>
      </c>
      <c r="F653" s="9">
        <v>2</v>
      </c>
      <c r="G653" s="9">
        <v>0.26</v>
      </c>
      <c r="H653" s="9">
        <v>0.2727</v>
      </c>
      <c r="I653" s="9">
        <v>0.65</v>
      </c>
      <c r="J653" s="9">
        <v>0.1045</v>
      </c>
      <c r="K653" s="9">
        <v>3</v>
      </c>
      <c r="L653" s="9">
        <v>30</v>
      </c>
      <c r="M653" s="9">
        <v>33</v>
      </c>
    </row>
    <row r="654" spans="1:13">
      <c r="A654" s="9">
        <v>662</v>
      </c>
      <c r="B654" s="10">
        <v>40573</v>
      </c>
      <c r="C654" s="9">
        <v>21</v>
      </c>
      <c r="D654" s="9" t="b">
        <v>0</v>
      </c>
      <c r="E654" s="9" t="str">
        <f t="shared" si="10"/>
        <v>Weekend</v>
      </c>
      <c r="F654" s="9">
        <v>2</v>
      </c>
      <c r="G654" s="9">
        <v>0.24</v>
      </c>
      <c r="H654" s="9">
        <v>0.2424</v>
      </c>
      <c r="I654" s="9">
        <v>0.7</v>
      </c>
      <c r="J654" s="9">
        <v>0.16420000000000001</v>
      </c>
      <c r="K654" s="9">
        <v>3</v>
      </c>
      <c r="L654" s="9">
        <v>25</v>
      </c>
      <c r="M654" s="9">
        <v>28</v>
      </c>
    </row>
    <row r="655" spans="1:13">
      <c r="A655" s="9">
        <v>663</v>
      </c>
      <c r="B655" s="10">
        <v>40573</v>
      </c>
      <c r="C655" s="9">
        <v>22</v>
      </c>
      <c r="D655" s="9" t="b">
        <v>0</v>
      </c>
      <c r="E655" s="9" t="str">
        <f t="shared" si="10"/>
        <v>Weekend</v>
      </c>
      <c r="F655" s="9">
        <v>2</v>
      </c>
      <c r="G655" s="9">
        <v>0.24</v>
      </c>
      <c r="H655" s="9">
        <v>0.2273</v>
      </c>
      <c r="I655" s="9">
        <v>0.7</v>
      </c>
      <c r="J655" s="9">
        <v>0.19400000000000001</v>
      </c>
      <c r="K655" s="9">
        <v>2</v>
      </c>
      <c r="L655" s="9">
        <v>19</v>
      </c>
      <c r="M655" s="9">
        <v>21</v>
      </c>
    </row>
    <row r="656" spans="1:13">
      <c r="A656" s="9">
        <v>664</v>
      </c>
      <c r="B656" s="10">
        <v>40573</v>
      </c>
      <c r="C656" s="9">
        <v>23</v>
      </c>
      <c r="D656" s="9" t="b">
        <v>0</v>
      </c>
      <c r="E656" s="9" t="str">
        <f t="shared" si="10"/>
        <v>Weekend</v>
      </c>
      <c r="F656" s="9">
        <v>2</v>
      </c>
      <c r="G656" s="9">
        <v>0.24</v>
      </c>
      <c r="H656" s="9">
        <v>0.21210000000000001</v>
      </c>
      <c r="I656" s="9">
        <v>0.65</v>
      </c>
      <c r="J656" s="9">
        <v>0.28360000000000002</v>
      </c>
      <c r="K656" s="9">
        <v>5</v>
      </c>
      <c r="L656" s="9">
        <v>16</v>
      </c>
      <c r="M656" s="9">
        <v>21</v>
      </c>
    </row>
    <row r="657" spans="1:13">
      <c r="A657" s="9">
        <v>665</v>
      </c>
      <c r="B657" s="10">
        <v>40574</v>
      </c>
      <c r="C657" s="9">
        <v>0</v>
      </c>
      <c r="D657" s="9" t="b">
        <v>0</v>
      </c>
      <c r="E657" s="9" t="str">
        <f t="shared" si="10"/>
        <v>Weekday</v>
      </c>
      <c r="F657" s="9">
        <v>2</v>
      </c>
      <c r="G657" s="9">
        <v>0.24</v>
      </c>
      <c r="H657" s="9">
        <v>0.2273</v>
      </c>
      <c r="I657" s="9">
        <v>0.65</v>
      </c>
      <c r="J657" s="9">
        <v>0.22389999999999999</v>
      </c>
      <c r="K657" s="9">
        <v>1</v>
      </c>
      <c r="L657" s="9">
        <v>6</v>
      </c>
      <c r="M657" s="9">
        <v>7</v>
      </c>
    </row>
    <row r="658" spans="1:13">
      <c r="A658" s="9">
        <v>666</v>
      </c>
      <c r="B658" s="10">
        <v>40574</v>
      </c>
      <c r="C658" s="9">
        <v>1</v>
      </c>
      <c r="D658" s="9" t="b">
        <v>0</v>
      </c>
      <c r="E658" s="9" t="str">
        <f t="shared" si="10"/>
        <v>Weekday</v>
      </c>
      <c r="F658" s="9">
        <v>1</v>
      </c>
      <c r="G658" s="9">
        <v>0.22</v>
      </c>
      <c r="H658" s="9">
        <v>0.21210000000000001</v>
      </c>
      <c r="I658" s="9">
        <v>0.64</v>
      </c>
      <c r="J658" s="9">
        <v>0.25369999999999998</v>
      </c>
      <c r="K658" s="9">
        <v>2</v>
      </c>
      <c r="L658" s="9">
        <v>5</v>
      </c>
      <c r="M658" s="9">
        <v>7</v>
      </c>
    </row>
    <row r="659" spans="1:13">
      <c r="A659" s="9">
        <v>667</v>
      </c>
      <c r="B659" s="10">
        <v>40574</v>
      </c>
      <c r="C659" s="9">
        <v>2</v>
      </c>
      <c r="D659" s="9" t="b">
        <v>0</v>
      </c>
      <c r="E659" s="9" t="str">
        <f t="shared" si="10"/>
        <v>Weekday</v>
      </c>
      <c r="F659" s="9">
        <v>1</v>
      </c>
      <c r="G659" s="9">
        <v>0.22</v>
      </c>
      <c r="H659" s="9">
        <v>0.2273</v>
      </c>
      <c r="I659" s="9">
        <v>0.64</v>
      </c>
      <c r="J659" s="9">
        <v>0.19400000000000001</v>
      </c>
      <c r="K659" s="9">
        <v>0</v>
      </c>
      <c r="L659" s="9">
        <v>1</v>
      </c>
      <c r="M659" s="9">
        <v>1</v>
      </c>
    </row>
    <row r="660" spans="1:13">
      <c r="A660" s="9">
        <v>668</v>
      </c>
      <c r="B660" s="10">
        <v>40574</v>
      </c>
      <c r="C660" s="9">
        <v>3</v>
      </c>
      <c r="D660" s="9" t="b">
        <v>0</v>
      </c>
      <c r="E660" s="9" t="str">
        <f t="shared" si="10"/>
        <v>Weekday</v>
      </c>
      <c r="F660" s="9">
        <v>1</v>
      </c>
      <c r="G660" s="9">
        <v>0.22</v>
      </c>
      <c r="H660" s="9">
        <v>0.2273</v>
      </c>
      <c r="I660" s="9">
        <v>0.64</v>
      </c>
      <c r="J660" s="9">
        <v>0.19400000000000001</v>
      </c>
      <c r="K660" s="9">
        <v>0</v>
      </c>
      <c r="L660" s="9">
        <v>2</v>
      </c>
      <c r="M660" s="9">
        <v>2</v>
      </c>
    </row>
    <row r="661" spans="1:13">
      <c r="A661" s="9">
        <v>669</v>
      </c>
      <c r="B661" s="10">
        <v>40574</v>
      </c>
      <c r="C661" s="9">
        <v>4</v>
      </c>
      <c r="D661" s="9" t="b">
        <v>0</v>
      </c>
      <c r="E661" s="9" t="str">
        <f t="shared" si="10"/>
        <v>Weekday</v>
      </c>
      <c r="F661" s="9">
        <v>1</v>
      </c>
      <c r="G661" s="9">
        <v>0.2</v>
      </c>
      <c r="H661" s="9">
        <v>0.19700000000000001</v>
      </c>
      <c r="I661" s="9">
        <v>0.59</v>
      </c>
      <c r="J661" s="9">
        <v>0.22389999999999999</v>
      </c>
      <c r="K661" s="9">
        <v>0</v>
      </c>
      <c r="L661" s="9">
        <v>2</v>
      </c>
      <c r="M661" s="9">
        <v>2</v>
      </c>
    </row>
    <row r="662" spans="1:13">
      <c r="A662" s="9">
        <v>670</v>
      </c>
      <c r="B662" s="10">
        <v>40574</v>
      </c>
      <c r="C662" s="9">
        <v>5</v>
      </c>
      <c r="D662" s="9" t="b">
        <v>0</v>
      </c>
      <c r="E662" s="9" t="str">
        <f t="shared" si="10"/>
        <v>Weekday</v>
      </c>
      <c r="F662" s="9">
        <v>1</v>
      </c>
      <c r="G662" s="9">
        <v>0.18</v>
      </c>
      <c r="H662" s="9">
        <v>0.16669999999999999</v>
      </c>
      <c r="I662" s="9">
        <v>0.64</v>
      </c>
      <c r="J662" s="9">
        <v>0.28360000000000002</v>
      </c>
      <c r="K662" s="9">
        <v>0</v>
      </c>
      <c r="L662" s="9">
        <v>8</v>
      </c>
      <c r="M662" s="9">
        <v>8</v>
      </c>
    </row>
    <row r="663" spans="1:13">
      <c r="A663" s="9">
        <v>671</v>
      </c>
      <c r="B663" s="10">
        <v>40574</v>
      </c>
      <c r="C663" s="9">
        <v>6</v>
      </c>
      <c r="D663" s="9" t="b">
        <v>0</v>
      </c>
      <c r="E663" s="9" t="str">
        <f t="shared" si="10"/>
        <v>Weekday</v>
      </c>
      <c r="F663" s="9">
        <v>1</v>
      </c>
      <c r="G663" s="9">
        <v>0.16</v>
      </c>
      <c r="H663" s="9">
        <v>0.13639999999999999</v>
      </c>
      <c r="I663" s="9">
        <v>0.69</v>
      </c>
      <c r="J663" s="9">
        <v>0.32840000000000003</v>
      </c>
      <c r="K663" s="9">
        <v>0</v>
      </c>
      <c r="L663" s="9">
        <v>37</v>
      </c>
      <c r="M663" s="9">
        <v>37</v>
      </c>
    </row>
    <row r="664" spans="1:13">
      <c r="A664" s="9">
        <v>672</v>
      </c>
      <c r="B664" s="10">
        <v>40574</v>
      </c>
      <c r="C664" s="9">
        <v>7</v>
      </c>
      <c r="D664" s="9" t="b">
        <v>0</v>
      </c>
      <c r="E664" s="9" t="str">
        <f t="shared" si="10"/>
        <v>Weekday</v>
      </c>
      <c r="F664" s="9">
        <v>2</v>
      </c>
      <c r="G664" s="9">
        <v>0.16</v>
      </c>
      <c r="H664" s="9">
        <v>0.13639999999999999</v>
      </c>
      <c r="I664" s="9">
        <v>0.64</v>
      </c>
      <c r="J664" s="9">
        <v>0.28360000000000002</v>
      </c>
      <c r="K664" s="9">
        <v>1</v>
      </c>
      <c r="L664" s="9">
        <v>71</v>
      </c>
      <c r="M664" s="9">
        <v>72</v>
      </c>
    </row>
    <row r="665" spans="1:13">
      <c r="A665" s="9">
        <v>673</v>
      </c>
      <c r="B665" s="10">
        <v>40574</v>
      </c>
      <c r="C665" s="9">
        <v>8</v>
      </c>
      <c r="D665" s="9" t="b">
        <v>0</v>
      </c>
      <c r="E665" s="9" t="str">
        <f t="shared" si="10"/>
        <v>Weekday</v>
      </c>
      <c r="F665" s="9">
        <v>2</v>
      </c>
      <c r="G665" s="9">
        <v>0.16</v>
      </c>
      <c r="H665" s="9">
        <v>0.13639999999999999</v>
      </c>
      <c r="I665" s="9">
        <v>0.59</v>
      </c>
      <c r="J665" s="9">
        <v>0.28360000000000002</v>
      </c>
      <c r="K665" s="9">
        <v>3</v>
      </c>
      <c r="L665" s="9">
        <v>182</v>
      </c>
      <c r="M665" s="9">
        <v>185</v>
      </c>
    </row>
    <row r="666" spans="1:13">
      <c r="A666" s="9">
        <v>674</v>
      </c>
      <c r="B666" s="10">
        <v>40574</v>
      </c>
      <c r="C666" s="9">
        <v>9</v>
      </c>
      <c r="D666" s="9" t="b">
        <v>0</v>
      </c>
      <c r="E666" s="9" t="str">
        <f t="shared" si="10"/>
        <v>Weekday</v>
      </c>
      <c r="F666" s="9">
        <v>2</v>
      </c>
      <c r="G666" s="9">
        <v>0.16</v>
      </c>
      <c r="H666" s="9">
        <v>0.13639999999999999</v>
      </c>
      <c r="I666" s="9">
        <v>0.59</v>
      </c>
      <c r="J666" s="9">
        <v>0.29849999999999999</v>
      </c>
      <c r="K666" s="9">
        <v>0</v>
      </c>
      <c r="L666" s="9">
        <v>112</v>
      </c>
      <c r="M666" s="9">
        <v>112</v>
      </c>
    </row>
    <row r="667" spans="1:13">
      <c r="A667" s="9">
        <v>675</v>
      </c>
      <c r="B667" s="10">
        <v>40574</v>
      </c>
      <c r="C667" s="9">
        <v>10</v>
      </c>
      <c r="D667" s="9" t="b">
        <v>0</v>
      </c>
      <c r="E667" s="9" t="str">
        <f t="shared" si="10"/>
        <v>Weekday</v>
      </c>
      <c r="F667" s="9">
        <v>2</v>
      </c>
      <c r="G667" s="9">
        <v>0.16</v>
      </c>
      <c r="H667" s="9">
        <v>0.1515</v>
      </c>
      <c r="I667" s="9">
        <v>0.59</v>
      </c>
      <c r="J667" s="9">
        <v>0.19400000000000001</v>
      </c>
      <c r="K667" s="9">
        <v>1</v>
      </c>
      <c r="L667" s="9">
        <v>68</v>
      </c>
      <c r="M667" s="9">
        <v>69</v>
      </c>
    </row>
    <row r="668" spans="1:13">
      <c r="A668" s="9">
        <v>676</v>
      </c>
      <c r="B668" s="10">
        <v>40574</v>
      </c>
      <c r="C668" s="9">
        <v>11</v>
      </c>
      <c r="D668" s="9" t="b">
        <v>0</v>
      </c>
      <c r="E668" s="9" t="str">
        <f t="shared" si="10"/>
        <v>Weekday</v>
      </c>
      <c r="F668" s="9">
        <v>2</v>
      </c>
      <c r="G668" s="9">
        <v>0.16</v>
      </c>
      <c r="H668" s="9">
        <v>0.1515</v>
      </c>
      <c r="I668" s="9">
        <v>0.59</v>
      </c>
      <c r="J668" s="9">
        <v>0.19400000000000001</v>
      </c>
      <c r="K668" s="9">
        <v>2</v>
      </c>
      <c r="L668" s="9">
        <v>46</v>
      </c>
      <c r="M668" s="9">
        <v>48</v>
      </c>
    </row>
    <row r="669" spans="1:13">
      <c r="A669" s="9">
        <v>677</v>
      </c>
      <c r="B669" s="10">
        <v>40574</v>
      </c>
      <c r="C669" s="9">
        <v>12</v>
      </c>
      <c r="D669" s="9" t="b">
        <v>0</v>
      </c>
      <c r="E669" s="9" t="str">
        <f t="shared" si="10"/>
        <v>Weekday</v>
      </c>
      <c r="F669" s="9">
        <v>2</v>
      </c>
      <c r="G669" s="9">
        <v>0.18</v>
      </c>
      <c r="H669" s="9">
        <v>0.21210000000000001</v>
      </c>
      <c r="I669" s="9">
        <v>0.55000000000000004</v>
      </c>
      <c r="J669" s="9">
        <v>0.1045</v>
      </c>
      <c r="K669" s="9">
        <v>6</v>
      </c>
      <c r="L669" s="9">
        <v>62</v>
      </c>
      <c r="M669" s="9">
        <v>68</v>
      </c>
    </row>
    <row r="670" spans="1:13">
      <c r="A670" s="9">
        <v>678</v>
      </c>
      <c r="B670" s="10">
        <v>40574</v>
      </c>
      <c r="C670" s="9">
        <v>13</v>
      </c>
      <c r="D670" s="9" t="b">
        <v>0</v>
      </c>
      <c r="E670" s="9" t="str">
        <f t="shared" si="10"/>
        <v>Weekday</v>
      </c>
      <c r="F670" s="9">
        <v>2</v>
      </c>
      <c r="G670" s="9">
        <v>0.16</v>
      </c>
      <c r="H670" s="9">
        <v>0.2273</v>
      </c>
      <c r="I670" s="9">
        <v>0.59</v>
      </c>
      <c r="J670" s="9">
        <v>0</v>
      </c>
      <c r="K670" s="9">
        <v>2</v>
      </c>
      <c r="L670" s="9">
        <v>52</v>
      </c>
      <c r="M670" s="9">
        <v>54</v>
      </c>
    </row>
    <row r="671" spans="1:13">
      <c r="A671" s="9">
        <v>679</v>
      </c>
      <c r="B671" s="10">
        <v>40574</v>
      </c>
      <c r="C671" s="9">
        <v>14</v>
      </c>
      <c r="D671" s="9" t="b">
        <v>0</v>
      </c>
      <c r="E671" s="9" t="str">
        <f t="shared" si="10"/>
        <v>Weekday</v>
      </c>
      <c r="F671" s="9">
        <v>2</v>
      </c>
      <c r="G671" s="9">
        <v>0.18</v>
      </c>
      <c r="H671" s="9">
        <v>0.19700000000000001</v>
      </c>
      <c r="I671" s="9">
        <v>0.55000000000000004</v>
      </c>
      <c r="J671" s="9">
        <v>0.1343</v>
      </c>
      <c r="K671" s="9">
        <v>1</v>
      </c>
      <c r="L671" s="9">
        <v>85</v>
      </c>
      <c r="M671" s="9">
        <v>86</v>
      </c>
    </row>
    <row r="672" spans="1:13">
      <c r="A672" s="9">
        <v>680</v>
      </c>
      <c r="B672" s="10">
        <v>40574</v>
      </c>
      <c r="C672" s="9">
        <v>15</v>
      </c>
      <c r="D672" s="9" t="b">
        <v>0</v>
      </c>
      <c r="E672" s="9" t="str">
        <f t="shared" si="10"/>
        <v>Weekday</v>
      </c>
      <c r="F672" s="9">
        <v>2</v>
      </c>
      <c r="G672" s="9">
        <v>0.16</v>
      </c>
      <c r="H672" s="9">
        <v>0.18179999999999999</v>
      </c>
      <c r="I672" s="9">
        <v>0.59</v>
      </c>
      <c r="J672" s="9">
        <v>0.1343</v>
      </c>
      <c r="K672" s="9">
        <v>3</v>
      </c>
      <c r="L672" s="9">
        <v>41</v>
      </c>
      <c r="M672" s="9">
        <v>44</v>
      </c>
    </row>
    <row r="673" spans="1:13">
      <c r="A673" s="9">
        <v>681</v>
      </c>
      <c r="B673" s="10">
        <v>40574</v>
      </c>
      <c r="C673" s="9">
        <v>16</v>
      </c>
      <c r="D673" s="9" t="b">
        <v>0</v>
      </c>
      <c r="E673" s="9" t="str">
        <f t="shared" si="10"/>
        <v>Weekday</v>
      </c>
      <c r="F673" s="9">
        <v>2</v>
      </c>
      <c r="G673" s="9">
        <v>0.16</v>
      </c>
      <c r="H673" s="9">
        <v>0.18179999999999999</v>
      </c>
      <c r="I673" s="9">
        <v>0.56000000000000005</v>
      </c>
      <c r="J673" s="9">
        <v>0.19400000000000001</v>
      </c>
      <c r="K673" s="9">
        <v>3</v>
      </c>
      <c r="L673" s="9">
        <v>83</v>
      </c>
      <c r="M673" s="9">
        <v>86</v>
      </c>
    </row>
    <row r="674" spans="1:13">
      <c r="A674" s="9">
        <v>682</v>
      </c>
      <c r="B674" s="10">
        <v>40574</v>
      </c>
      <c r="C674" s="9">
        <v>17</v>
      </c>
      <c r="D674" s="9" t="b">
        <v>0</v>
      </c>
      <c r="E674" s="9" t="str">
        <f t="shared" si="10"/>
        <v>Weekday</v>
      </c>
      <c r="F674" s="9">
        <v>2</v>
      </c>
      <c r="G674" s="9">
        <v>0.16</v>
      </c>
      <c r="H674" s="9">
        <v>0.1515</v>
      </c>
      <c r="I674" s="9">
        <v>0.59</v>
      </c>
      <c r="J674" s="9">
        <v>0.19400000000000001</v>
      </c>
      <c r="K674" s="9">
        <v>6</v>
      </c>
      <c r="L674" s="9">
        <v>155</v>
      </c>
      <c r="M674" s="9">
        <v>161</v>
      </c>
    </row>
    <row r="675" spans="1:13">
      <c r="A675" s="9">
        <v>683</v>
      </c>
      <c r="B675" s="10">
        <v>40574</v>
      </c>
      <c r="C675" s="9">
        <v>18</v>
      </c>
      <c r="D675" s="9" t="b">
        <v>0</v>
      </c>
      <c r="E675" s="9" t="str">
        <f t="shared" si="10"/>
        <v>Weekday</v>
      </c>
      <c r="F675" s="9">
        <v>2</v>
      </c>
      <c r="G675" s="9">
        <v>0.16</v>
      </c>
      <c r="H675" s="9">
        <v>0.1515</v>
      </c>
      <c r="I675" s="9">
        <v>0.55000000000000004</v>
      </c>
      <c r="J675" s="9">
        <v>0.22389999999999999</v>
      </c>
      <c r="K675" s="9">
        <v>3</v>
      </c>
      <c r="L675" s="9">
        <v>153</v>
      </c>
      <c r="M675" s="9">
        <v>156</v>
      </c>
    </row>
    <row r="676" spans="1:13">
      <c r="A676" s="9">
        <v>684</v>
      </c>
      <c r="B676" s="10">
        <v>40574</v>
      </c>
      <c r="C676" s="9">
        <v>19</v>
      </c>
      <c r="D676" s="9" t="b">
        <v>0</v>
      </c>
      <c r="E676" s="9" t="str">
        <f t="shared" si="10"/>
        <v>Weekday</v>
      </c>
      <c r="F676" s="9">
        <v>1</v>
      </c>
      <c r="G676" s="9">
        <v>0.3</v>
      </c>
      <c r="H676" s="9">
        <v>0.31819999999999998</v>
      </c>
      <c r="I676" s="9">
        <v>0.61</v>
      </c>
      <c r="J676" s="9">
        <v>0.1045</v>
      </c>
      <c r="K676" s="9">
        <v>3</v>
      </c>
      <c r="L676" s="9">
        <v>108</v>
      </c>
      <c r="M676" s="9">
        <v>111</v>
      </c>
    </row>
    <row r="677" spans="1:13">
      <c r="A677" s="9">
        <v>685</v>
      </c>
      <c r="B677" s="10">
        <v>40574</v>
      </c>
      <c r="C677" s="9">
        <v>20</v>
      </c>
      <c r="D677" s="9" t="b">
        <v>0</v>
      </c>
      <c r="E677" s="9" t="str">
        <f t="shared" si="10"/>
        <v>Weekday</v>
      </c>
      <c r="F677" s="9">
        <v>3</v>
      </c>
      <c r="G677" s="9">
        <v>0.16</v>
      </c>
      <c r="H677" s="9">
        <v>0.16669999999999999</v>
      </c>
      <c r="I677" s="9">
        <v>0.59</v>
      </c>
      <c r="J677" s="9">
        <v>0.16420000000000001</v>
      </c>
      <c r="K677" s="9">
        <v>0</v>
      </c>
      <c r="L677" s="9">
        <v>78</v>
      </c>
      <c r="M677" s="9">
        <v>78</v>
      </c>
    </row>
    <row r="678" spans="1:13">
      <c r="A678" s="9">
        <v>686</v>
      </c>
      <c r="B678" s="10">
        <v>40574</v>
      </c>
      <c r="C678" s="9">
        <v>21</v>
      </c>
      <c r="D678" s="9" t="b">
        <v>0</v>
      </c>
      <c r="E678" s="9" t="str">
        <f t="shared" si="10"/>
        <v>Weekday</v>
      </c>
      <c r="F678" s="9">
        <v>3</v>
      </c>
      <c r="G678" s="9">
        <v>0.16</v>
      </c>
      <c r="H678" s="9">
        <v>0.19700000000000001</v>
      </c>
      <c r="I678" s="9">
        <v>0.59</v>
      </c>
      <c r="J678" s="9">
        <v>8.9599999999999999E-2</v>
      </c>
      <c r="K678" s="9">
        <v>3</v>
      </c>
      <c r="L678" s="9">
        <v>53</v>
      </c>
      <c r="M678" s="9">
        <v>56</v>
      </c>
    </row>
    <row r="679" spans="1:13">
      <c r="A679" s="9">
        <v>687</v>
      </c>
      <c r="B679" s="10">
        <v>40574</v>
      </c>
      <c r="C679" s="9">
        <v>22</v>
      </c>
      <c r="D679" s="9" t="b">
        <v>0</v>
      </c>
      <c r="E679" s="9" t="str">
        <f t="shared" si="10"/>
        <v>Weekday</v>
      </c>
      <c r="F679" s="9">
        <v>2</v>
      </c>
      <c r="G679" s="9">
        <v>0.16</v>
      </c>
      <c r="H679" s="9">
        <v>0.18179999999999999</v>
      </c>
      <c r="I679" s="9">
        <v>0.59</v>
      </c>
      <c r="J679" s="9">
        <v>0.1045</v>
      </c>
      <c r="K679" s="9">
        <v>0</v>
      </c>
      <c r="L679" s="9">
        <v>34</v>
      </c>
      <c r="M679" s="9">
        <v>34</v>
      </c>
    </row>
    <row r="680" spans="1:13">
      <c r="A680" s="9">
        <v>688</v>
      </c>
      <c r="B680" s="10">
        <v>40574</v>
      </c>
      <c r="C680" s="9">
        <v>23</v>
      </c>
      <c r="D680" s="9" t="b">
        <v>0</v>
      </c>
      <c r="E680" s="9" t="str">
        <f t="shared" si="10"/>
        <v>Weekday</v>
      </c>
      <c r="F680" s="9">
        <v>2</v>
      </c>
      <c r="G680" s="9">
        <v>0.16</v>
      </c>
      <c r="H680" s="9">
        <v>0.19700000000000001</v>
      </c>
      <c r="I680" s="9">
        <v>0.64</v>
      </c>
      <c r="J680" s="9">
        <v>8.9599999999999999E-2</v>
      </c>
      <c r="K680" s="9">
        <v>2</v>
      </c>
      <c r="L680" s="9">
        <v>15</v>
      </c>
      <c r="M680" s="9">
        <v>17</v>
      </c>
    </row>
    <row r="681" spans="1:13">
      <c r="A681" s="9">
        <v>689</v>
      </c>
      <c r="B681" s="10">
        <v>40575</v>
      </c>
      <c r="C681" s="9">
        <v>0</v>
      </c>
      <c r="D681" s="9" t="b">
        <v>0</v>
      </c>
      <c r="E681" s="9" t="str">
        <f t="shared" si="10"/>
        <v>Weekday</v>
      </c>
      <c r="F681" s="9">
        <v>2</v>
      </c>
      <c r="G681" s="9">
        <v>0.16</v>
      </c>
      <c r="H681" s="9">
        <v>0.18179999999999999</v>
      </c>
      <c r="I681" s="9">
        <v>0.64</v>
      </c>
      <c r="J681" s="9">
        <v>0.1045</v>
      </c>
      <c r="K681" s="9">
        <v>2</v>
      </c>
      <c r="L681" s="9">
        <v>6</v>
      </c>
      <c r="M681" s="9">
        <v>8</v>
      </c>
    </row>
    <row r="682" spans="1:13">
      <c r="A682" s="9">
        <v>690</v>
      </c>
      <c r="B682" s="10">
        <v>40575</v>
      </c>
      <c r="C682" s="9">
        <v>1</v>
      </c>
      <c r="D682" s="9" t="b">
        <v>0</v>
      </c>
      <c r="E682" s="9" t="str">
        <f t="shared" si="10"/>
        <v>Weekday</v>
      </c>
      <c r="F682" s="9">
        <v>2</v>
      </c>
      <c r="G682" s="9">
        <v>0.16</v>
      </c>
      <c r="H682" s="9">
        <v>0.18179999999999999</v>
      </c>
      <c r="I682" s="9">
        <v>0.69</v>
      </c>
      <c r="J682" s="9">
        <v>0.1045</v>
      </c>
      <c r="K682" s="9">
        <v>0</v>
      </c>
      <c r="L682" s="9">
        <v>3</v>
      </c>
      <c r="M682" s="9">
        <v>3</v>
      </c>
    </row>
    <row r="683" spans="1:13">
      <c r="A683" s="9">
        <v>691</v>
      </c>
      <c r="B683" s="10">
        <v>40575</v>
      </c>
      <c r="C683" s="9">
        <v>2</v>
      </c>
      <c r="D683" s="9" t="b">
        <v>0</v>
      </c>
      <c r="E683" s="9" t="str">
        <f t="shared" si="10"/>
        <v>Weekday</v>
      </c>
      <c r="F683" s="9">
        <v>2</v>
      </c>
      <c r="G683" s="9">
        <v>0.16</v>
      </c>
      <c r="H683" s="9">
        <v>0.2273</v>
      </c>
      <c r="I683" s="9">
        <v>0.69</v>
      </c>
      <c r="J683" s="9">
        <v>0</v>
      </c>
      <c r="K683" s="9">
        <v>0</v>
      </c>
      <c r="L683" s="9">
        <v>2</v>
      </c>
      <c r="M683" s="9">
        <v>2</v>
      </c>
    </row>
    <row r="684" spans="1:13">
      <c r="A684" s="9">
        <v>692</v>
      </c>
      <c r="B684" s="10">
        <v>40575</v>
      </c>
      <c r="C684" s="9">
        <v>3</v>
      </c>
      <c r="D684" s="9" t="b">
        <v>0</v>
      </c>
      <c r="E684" s="9" t="str">
        <f t="shared" si="10"/>
        <v>Weekday</v>
      </c>
      <c r="F684" s="9">
        <v>2</v>
      </c>
      <c r="G684" s="9">
        <v>0.16</v>
      </c>
      <c r="H684" s="9">
        <v>0.2273</v>
      </c>
      <c r="I684" s="9">
        <v>0.69</v>
      </c>
      <c r="J684" s="9">
        <v>0</v>
      </c>
      <c r="K684" s="9">
        <v>0</v>
      </c>
      <c r="L684" s="9">
        <v>2</v>
      </c>
      <c r="M684" s="9">
        <v>2</v>
      </c>
    </row>
    <row r="685" spans="1:13">
      <c r="A685" s="9">
        <v>693</v>
      </c>
      <c r="B685" s="10">
        <v>40575</v>
      </c>
      <c r="C685" s="9">
        <v>5</v>
      </c>
      <c r="D685" s="9" t="b">
        <v>0</v>
      </c>
      <c r="E685" s="9" t="str">
        <f t="shared" si="10"/>
        <v>Weekday</v>
      </c>
      <c r="F685" s="9">
        <v>3</v>
      </c>
      <c r="G685" s="9">
        <v>0.14000000000000001</v>
      </c>
      <c r="H685" s="9">
        <v>0.21210000000000001</v>
      </c>
      <c r="I685" s="9">
        <v>0.93</v>
      </c>
      <c r="J685" s="9">
        <v>0</v>
      </c>
      <c r="K685" s="9">
        <v>0</v>
      </c>
      <c r="L685" s="9">
        <v>3</v>
      </c>
      <c r="M685" s="9">
        <v>3</v>
      </c>
    </row>
    <row r="686" spans="1:13">
      <c r="A686" s="9">
        <v>694</v>
      </c>
      <c r="B686" s="10">
        <v>40575</v>
      </c>
      <c r="C686" s="9">
        <v>6</v>
      </c>
      <c r="D686" s="9" t="b">
        <v>0</v>
      </c>
      <c r="E686" s="9" t="str">
        <f t="shared" si="10"/>
        <v>Weekday</v>
      </c>
      <c r="F686" s="9">
        <v>3</v>
      </c>
      <c r="G686" s="9">
        <v>0.14000000000000001</v>
      </c>
      <c r="H686" s="9">
        <v>0.21210000000000001</v>
      </c>
      <c r="I686" s="9">
        <v>0.93</v>
      </c>
      <c r="J686" s="9">
        <v>0</v>
      </c>
      <c r="K686" s="9">
        <v>0</v>
      </c>
      <c r="L686" s="9">
        <v>22</v>
      </c>
      <c r="M686" s="9">
        <v>22</v>
      </c>
    </row>
    <row r="687" spans="1:13">
      <c r="A687" s="9">
        <v>695</v>
      </c>
      <c r="B687" s="10">
        <v>40575</v>
      </c>
      <c r="C687" s="9">
        <v>7</v>
      </c>
      <c r="D687" s="9" t="b">
        <v>0</v>
      </c>
      <c r="E687" s="9" t="str">
        <f t="shared" si="10"/>
        <v>Weekday</v>
      </c>
      <c r="F687" s="9">
        <v>3</v>
      </c>
      <c r="G687" s="9">
        <v>0.16</v>
      </c>
      <c r="H687" s="9">
        <v>0.2273</v>
      </c>
      <c r="I687" s="9">
        <v>0.93</v>
      </c>
      <c r="J687" s="9">
        <v>0</v>
      </c>
      <c r="K687" s="9">
        <v>0</v>
      </c>
      <c r="L687" s="9">
        <v>52</v>
      </c>
      <c r="M687" s="9">
        <v>52</v>
      </c>
    </row>
    <row r="688" spans="1:13">
      <c r="A688" s="9">
        <v>696</v>
      </c>
      <c r="B688" s="10">
        <v>40575</v>
      </c>
      <c r="C688" s="9">
        <v>8</v>
      </c>
      <c r="D688" s="9" t="b">
        <v>0</v>
      </c>
      <c r="E688" s="9" t="str">
        <f t="shared" si="10"/>
        <v>Weekday</v>
      </c>
      <c r="F688" s="9">
        <v>3</v>
      </c>
      <c r="G688" s="9">
        <v>0.16</v>
      </c>
      <c r="H688" s="9">
        <v>0.2273</v>
      </c>
      <c r="I688" s="9">
        <v>0.93</v>
      </c>
      <c r="J688" s="9">
        <v>0</v>
      </c>
      <c r="K688" s="9">
        <v>3</v>
      </c>
      <c r="L688" s="9">
        <v>132</v>
      </c>
      <c r="M688" s="9">
        <v>135</v>
      </c>
    </row>
    <row r="689" spans="1:13">
      <c r="A689" s="9">
        <v>697</v>
      </c>
      <c r="B689" s="10">
        <v>40575</v>
      </c>
      <c r="C689" s="9">
        <v>9</v>
      </c>
      <c r="D689" s="9" t="b">
        <v>0</v>
      </c>
      <c r="E689" s="9" t="str">
        <f t="shared" si="10"/>
        <v>Weekday</v>
      </c>
      <c r="F689" s="9">
        <v>2</v>
      </c>
      <c r="G689" s="9">
        <v>0.16</v>
      </c>
      <c r="H689" s="9">
        <v>0.2273</v>
      </c>
      <c r="I689" s="9">
        <v>0.93</v>
      </c>
      <c r="J689" s="9">
        <v>0</v>
      </c>
      <c r="K689" s="9">
        <v>2</v>
      </c>
      <c r="L689" s="9">
        <v>114</v>
      </c>
      <c r="M689" s="9">
        <v>116</v>
      </c>
    </row>
    <row r="690" spans="1:13">
      <c r="A690" s="9">
        <v>698</v>
      </c>
      <c r="B690" s="10">
        <v>40575</v>
      </c>
      <c r="C690" s="9">
        <v>10</v>
      </c>
      <c r="D690" s="9" t="b">
        <v>0</v>
      </c>
      <c r="E690" s="9" t="str">
        <f t="shared" si="10"/>
        <v>Weekday</v>
      </c>
      <c r="F690" s="9">
        <v>2</v>
      </c>
      <c r="G690" s="9">
        <v>0.16</v>
      </c>
      <c r="H690" s="9">
        <v>0.2273</v>
      </c>
      <c r="I690" s="9">
        <v>0.93</v>
      </c>
      <c r="J690" s="9">
        <v>0</v>
      </c>
      <c r="K690" s="9">
        <v>0</v>
      </c>
      <c r="L690" s="9">
        <v>47</v>
      </c>
      <c r="M690" s="9">
        <v>47</v>
      </c>
    </row>
    <row r="691" spans="1:13">
      <c r="A691" s="9">
        <v>699</v>
      </c>
      <c r="B691" s="10">
        <v>40575</v>
      </c>
      <c r="C691" s="9">
        <v>11</v>
      </c>
      <c r="D691" s="9" t="b">
        <v>0</v>
      </c>
      <c r="E691" s="9" t="str">
        <f t="shared" si="10"/>
        <v>Weekday</v>
      </c>
      <c r="F691" s="9">
        <v>2</v>
      </c>
      <c r="G691" s="9">
        <v>0.18</v>
      </c>
      <c r="H691" s="9">
        <v>0.2424</v>
      </c>
      <c r="I691" s="9">
        <v>0.86</v>
      </c>
      <c r="J691" s="9">
        <v>0</v>
      </c>
      <c r="K691" s="9">
        <v>2</v>
      </c>
      <c r="L691" s="9">
        <v>49</v>
      </c>
      <c r="M691" s="9">
        <v>51</v>
      </c>
    </row>
    <row r="692" spans="1:13">
      <c r="A692" s="9">
        <v>700</v>
      </c>
      <c r="B692" s="10">
        <v>40575</v>
      </c>
      <c r="C692" s="9">
        <v>12</v>
      </c>
      <c r="D692" s="9" t="b">
        <v>0</v>
      </c>
      <c r="E692" s="9" t="str">
        <f t="shared" si="10"/>
        <v>Weekday</v>
      </c>
      <c r="F692" s="9">
        <v>2</v>
      </c>
      <c r="G692" s="9">
        <v>0.2</v>
      </c>
      <c r="H692" s="9">
        <v>0.2576</v>
      </c>
      <c r="I692" s="9">
        <v>0.86</v>
      </c>
      <c r="J692" s="9">
        <v>0</v>
      </c>
      <c r="K692" s="9">
        <v>2</v>
      </c>
      <c r="L692" s="9">
        <v>53</v>
      </c>
      <c r="M692" s="9">
        <v>55</v>
      </c>
    </row>
    <row r="693" spans="1:13">
      <c r="A693" s="9">
        <v>701</v>
      </c>
      <c r="B693" s="10">
        <v>40575</v>
      </c>
      <c r="C693" s="9">
        <v>13</v>
      </c>
      <c r="D693" s="9" t="b">
        <v>0</v>
      </c>
      <c r="E693" s="9" t="str">
        <f t="shared" si="10"/>
        <v>Weekday</v>
      </c>
      <c r="F693" s="9">
        <v>2</v>
      </c>
      <c r="G693" s="9">
        <v>0.2</v>
      </c>
      <c r="H693" s="9">
        <v>0.2576</v>
      </c>
      <c r="I693" s="9">
        <v>0.86</v>
      </c>
      <c r="J693" s="9">
        <v>0</v>
      </c>
      <c r="K693" s="9">
        <v>3</v>
      </c>
      <c r="L693" s="9">
        <v>49</v>
      </c>
      <c r="M693" s="9">
        <v>52</v>
      </c>
    </row>
    <row r="694" spans="1:13">
      <c r="A694" s="9">
        <v>702</v>
      </c>
      <c r="B694" s="10">
        <v>40575</v>
      </c>
      <c r="C694" s="9">
        <v>14</v>
      </c>
      <c r="D694" s="9" t="b">
        <v>0</v>
      </c>
      <c r="E694" s="9" t="str">
        <f t="shared" si="10"/>
        <v>Weekday</v>
      </c>
      <c r="F694" s="9">
        <v>2</v>
      </c>
      <c r="G694" s="9">
        <v>0.22</v>
      </c>
      <c r="H694" s="9">
        <v>0.2576</v>
      </c>
      <c r="I694" s="9">
        <v>0.8</v>
      </c>
      <c r="J694" s="9">
        <v>8.9599999999999999E-2</v>
      </c>
      <c r="K694" s="9">
        <v>5</v>
      </c>
      <c r="L694" s="9">
        <v>49</v>
      </c>
      <c r="M694" s="9">
        <v>54</v>
      </c>
    </row>
    <row r="695" spans="1:13">
      <c r="A695" s="9">
        <v>703</v>
      </c>
      <c r="B695" s="10">
        <v>40575</v>
      </c>
      <c r="C695" s="9">
        <v>15</v>
      </c>
      <c r="D695" s="9" t="b">
        <v>0</v>
      </c>
      <c r="E695" s="9" t="str">
        <f t="shared" si="10"/>
        <v>Weekday</v>
      </c>
      <c r="F695" s="9">
        <v>2</v>
      </c>
      <c r="G695" s="9">
        <v>0.24</v>
      </c>
      <c r="H695" s="9">
        <v>0.28789999999999999</v>
      </c>
      <c r="I695" s="9">
        <v>0.75</v>
      </c>
      <c r="J695" s="9">
        <v>0</v>
      </c>
      <c r="K695" s="9">
        <v>7</v>
      </c>
      <c r="L695" s="9">
        <v>45</v>
      </c>
      <c r="M695" s="9">
        <v>52</v>
      </c>
    </row>
    <row r="696" spans="1:13">
      <c r="A696" s="9">
        <v>704</v>
      </c>
      <c r="B696" s="10">
        <v>40575</v>
      </c>
      <c r="C696" s="9">
        <v>16</v>
      </c>
      <c r="D696" s="9" t="b">
        <v>0</v>
      </c>
      <c r="E696" s="9" t="str">
        <f t="shared" si="10"/>
        <v>Weekday</v>
      </c>
      <c r="F696" s="9">
        <v>2</v>
      </c>
      <c r="G696" s="9">
        <v>0.24</v>
      </c>
      <c r="H696" s="9">
        <v>0.2424</v>
      </c>
      <c r="I696" s="9">
        <v>0.75</v>
      </c>
      <c r="J696" s="9">
        <v>0.1343</v>
      </c>
      <c r="K696" s="9">
        <v>3</v>
      </c>
      <c r="L696" s="9">
        <v>61</v>
      </c>
      <c r="M696" s="9">
        <v>64</v>
      </c>
    </row>
    <row r="697" spans="1:13">
      <c r="A697" s="9">
        <v>705</v>
      </c>
      <c r="B697" s="10">
        <v>40575</v>
      </c>
      <c r="C697" s="9">
        <v>17</v>
      </c>
      <c r="D697" s="9" t="b">
        <v>0</v>
      </c>
      <c r="E697" s="9" t="str">
        <f t="shared" si="10"/>
        <v>Weekday</v>
      </c>
      <c r="F697" s="9">
        <v>2</v>
      </c>
      <c r="G697" s="9">
        <v>0.24</v>
      </c>
      <c r="H697" s="9">
        <v>0.28789999999999999</v>
      </c>
      <c r="I697" s="9">
        <v>0.75</v>
      </c>
      <c r="J697" s="9">
        <v>0</v>
      </c>
      <c r="K697" s="9">
        <v>4</v>
      </c>
      <c r="L697" s="9">
        <v>172</v>
      </c>
      <c r="M697" s="9">
        <v>176</v>
      </c>
    </row>
    <row r="698" spans="1:13">
      <c r="A698" s="9">
        <v>706</v>
      </c>
      <c r="B698" s="10">
        <v>40575</v>
      </c>
      <c r="C698" s="9">
        <v>18</v>
      </c>
      <c r="D698" s="9" t="b">
        <v>0</v>
      </c>
      <c r="E698" s="9" t="str">
        <f t="shared" si="10"/>
        <v>Weekday</v>
      </c>
      <c r="F698" s="9">
        <v>2</v>
      </c>
      <c r="G698" s="9">
        <v>0.24</v>
      </c>
      <c r="H698" s="9">
        <v>0.2576</v>
      </c>
      <c r="I698" s="9">
        <v>0.81</v>
      </c>
      <c r="J698" s="9">
        <v>0.1045</v>
      </c>
      <c r="K698" s="9">
        <v>3</v>
      </c>
      <c r="L698" s="9">
        <v>165</v>
      </c>
      <c r="M698" s="9">
        <v>168</v>
      </c>
    </row>
    <row r="699" spans="1:13">
      <c r="A699" s="9">
        <v>707</v>
      </c>
      <c r="B699" s="10">
        <v>40575</v>
      </c>
      <c r="C699" s="9">
        <v>19</v>
      </c>
      <c r="D699" s="9" t="b">
        <v>0</v>
      </c>
      <c r="E699" s="9" t="str">
        <f t="shared" si="10"/>
        <v>Weekday</v>
      </c>
      <c r="F699" s="9">
        <v>2</v>
      </c>
      <c r="G699" s="9">
        <v>0.24</v>
      </c>
      <c r="H699" s="9">
        <v>0.2424</v>
      </c>
      <c r="I699" s="9">
        <v>0.81</v>
      </c>
      <c r="J699" s="9">
        <v>0.1343</v>
      </c>
      <c r="K699" s="9">
        <v>3</v>
      </c>
      <c r="L699" s="9">
        <v>105</v>
      </c>
      <c r="M699" s="9">
        <v>108</v>
      </c>
    </row>
    <row r="700" spans="1:13">
      <c r="A700" s="9">
        <v>708</v>
      </c>
      <c r="B700" s="10">
        <v>40575</v>
      </c>
      <c r="C700" s="9">
        <v>20</v>
      </c>
      <c r="D700" s="9" t="b">
        <v>0</v>
      </c>
      <c r="E700" s="9" t="str">
        <f t="shared" si="10"/>
        <v>Weekday</v>
      </c>
      <c r="F700" s="9">
        <v>2</v>
      </c>
      <c r="G700" s="9">
        <v>0.22</v>
      </c>
      <c r="H700" s="9">
        <v>0.2273</v>
      </c>
      <c r="I700" s="9">
        <v>0.87</v>
      </c>
      <c r="J700" s="9">
        <v>0.1343</v>
      </c>
      <c r="K700" s="9">
        <v>5</v>
      </c>
      <c r="L700" s="9">
        <v>69</v>
      </c>
      <c r="M700" s="9">
        <v>74</v>
      </c>
    </row>
    <row r="701" spans="1:13">
      <c r="A701" s="9">
        <v>709</v>
      </c>
      <c r="B701" s="10">
        <v>40575</v>
      </c>
      <c r="C701" s="9">
        <v>21</v>
      </c>
      <c r="D701" s="9" t="b">
        <v>0</v>
      </c>
      <c r="E701" s="9" t="str">
        <f t="shared" si="10"/>
        <v>Weekday</v>
      </c>
      <c r="F701" s="9">
        <v>2</v>
      </c>
      <c r="G701" s="9">
        <v>0.22</v>
      </c>
      <c r="H701" s="9">
        <v>0.2273</v>
      </c>
      <c r="I701" s="9">
        <v>0.87</v>
      </c>
      <c r="J701" s="9">
        <v>0.1343</v>
      </c>
      <c r="K701" s="9">
        <v>0</v>
      </c>
      <c r="L701" s="9">
        <v>64</v>
      </c>
      <c r="M701" s="9">
        <v>64</v>
      </c>
    </row>
    <row r="702" spans="1:13">
      <c r="A702" s="9">
        <v>710</v>
      </c>
      <c r="B702" s="10">
        <v>40575</v>
      </c>
      <c r="C702" s="9">
        <v>22</v>
      </c>
      <c r="D702" s="9" t="b">
        <v>0</v>
      </c>
      <c r="E702" s="9" t="str">
        <f t="shared" si="10"/>
        <v>Weekday</v>
      </c>
      <c r="F702" s="9">
        <v>2</v>
      </c>
      <c r="G702" s="9">
        <v>0.22</v>
      </c>
      <c r="H702" s="9">
        <v>0.2576</v>
      </c>
      <c r="I702" s="9">
        <v>0.87</v>
      </c>
      <c r="J702" s="9">
        <v>8.9599999999999999E-2</v>
      </c>
      <c r="K702" s="9">
        <v>2</v>
      </c>
      <c r="L702" s="9">
        <v>34</v>
      </c>
      <c r="M702" s="9">
        <v>36</v>
      </c>
    </row>
    <row r="703" spans="1:13">
      <c r="A703" s="9">
        <v>711</v>
      </c>
      <c r="B703" s="10">
        <v>40575</v>
      </c>
      <c r="C703" s="9">
        <v>23</v>
      </c>
      <c r="D703" s="9" t="b">
        <v>0</v>
      </c>
      <c r="E703" s="9" t="str">
        <f t="shared" si="10"/>
        <v>Weekday</v>
      </c>
      <c r="F703" s="9">
        <v>3</v>
      </c>
      <c r="G703" s="9">
        <v>0.2</v>
      </c>
      <c r="H703" s="9">
        <v>0.19700000000000001</v>
      </c>
      <c r="I703" s="9">
        <v>0.93</v>
      </c>
      <c r="J703" s="9">
        <v>0.19400000000000001</v>
      </c>
      <c r="K703" s="9">
        <v>1</v>
      </c>
      <c r="L703" s="9">
        <v>15</v>
      </c>
      <c r="M703" s="9">
        <v>16</v>
      </c>
    </row>
    <row r="704" spans="1:13">
      <c r="A704" s="9">
        <v>712</v>
      </c>
      <c r="B704" s="10">
        <v>40576</v>
      </c>
      <c r="C704" s="9">
        <v>0</v>
      </c>
      <c r="D704" s="9" t="b">
        <v>0</v>
      </c>
      <c r="E704" s="9" t="str">
        <f t="shared" si="10"/>
        <v>Weekday</v>
      </c>
      <c r="F704" s="9">
        <v>3</v>
      </c>
      <c r="G704" s="9">
        <v>0.22</v>
      </c>
      <c r="H704" s="9">
        <v>0.2424</v>
      </c>
      <c r="I704" s="9">
        <v>0.93</v>
      </c>
      <c r="J704" s="9">
        <v>0.1045</v>
      </c>
      <c r="K704" s="9">
        <v>0</v>
      </c>
      <c r="L704" s="9">
        <v>2</v>
      </c>
      <c r="M704" s="9">
        <v>2</v>
      </c>
    </row>
    <row r="705" spans="1:13">
      <c r="A705" s="9">
        <v>713</v>
      </c>
      <c r="B705" s="10">
        <v>40576</v>
      </c>
      <c r="C705" s="9">
        <v>1</v>
      </c>
      <c r="D705" s="9" t="b">
        <v>0</v>
      </c>
      <c r="E705" s="9" t="str">
        <f t="shared" si="10"/>
        <v>Weekday</v>
      </c>
      <c r="F705" s="9">
        <v>3</v>
      </c>
      <c r="G705" s="9">
        <v>0.22</v>
      </c>
      <c r="H705" s="9">
        <v>0.2273</v>
      </c>
      <c r="I705" s="9">
        <v>0.93</v>
      </c>
      <c r="J705" s="9">
        <v>0.19400000000000001</v>
      </c>
      <c r="K705" s="9">
        <v>0</v>
      </c>
      <c r="L705" s="9">
        <v>3</v>
      </c>
      <c r="M705" s="9">
        <v>3</v>
      </c>
    </row>
    <row r="706" spans="1:13">
      <c r="A706" s="9">
        <v>714</v>
      </c>
      <c r="B706" s="10">
        <v>40576</v>
      </c>
      <c r="C706" s="9">
        <v>2</v>
      </c>
      <c r="D706" s="9" t="b">
        <v>0</v>
      </c>
      <c r="E706" s="9" t="str">
        <f t="shared" si="10"/>
        <v>Weekday</v>
      </c>
      <c r="F706" s="9">
        <v>3</v>
      </c>
      <c r="G706" s="9">
        <v>0.22</v>
      </c>
      <c r="H706" s="9">
        <v>0.2273</v>
      </c>
      <c r="I706" s="9">
        <v>0.93</v>
      </c>
      <c r="J706" s="9">
        <v>0.1343</v>
      </c>
      <c r="K706" s="9">
        <v>4</v>
      </c>
      <c r="L706" s="9">
        <v>0</v>
      </c>
      <c r="M706" s="9">
        <v>4</v>
      </c>
    </row>
    <row r="707" spans="1:13">
      <c r="A707" s="9">
        <v>715</v>
      </c>
      <c r="B707" s="10">
        <v>40576</v>
      </c>
      <c r="C707" s="9">
        <v>3</v>
      </c>
      <c r="D707" s="9" t="b">
        <v>0</v>
      </c>
      <c r="E707" s="9" t="str">
        <f t="shared" ref="E707:E770" si="11">IF(WEEKDAY(B707,2)&gt;=6,"Weekend","Weekday")</f>
        <v>Weekday</v>
      </c>
      <c r="F707" s="9">
        <v>3</v>
      </c>
      <c r="G707" s="9">
        <v>0.22</v>
      </c>
      <c r="H707" s="9">
        <v>0.2273</v>
      </c>
      <c r="I707" s="9">
        <v>0.93</v>
      </c>
      <c r="J707" s="9">
        <v>0.1343</v>
      </c>
      <c r="K707" s="9">
        <v>0</v>
      </c>
      <c r="L707" s="9">
        <v>1</v>
      </c>
      <c r="M707" s="9">
        <v>1</v>
      </c>
    </row>
    <row r="708" spans="1:13">
      <c r="A708" s="9">
        <v>716</v>
      </c>
      <c r="B708" s="10">
        <v>40576</v>
      </c>
      <c r="C708" s="9">
        <v>4</v>
      </c>
      <c r="D708" s="9" t="b">
        <v>0</v>
      </c>
      <c r="E708" s="9" t="str">
        <f t="shared" si="11"/>
        <v>Weekday</v>
      </c>
      <c r="F708" s="9">
        <v>3</v>
      </c>
      <c r="G708" s="9">
        <v>0.22</v>
      </c>
      <c r="H708" s="9">
        <v>0.21210000000000001</v>
      </c>
      <c r="I708" s="9">
        <v>0.93</v>
      </c>
      <c r="J708" s="9">
        <v>0.28360000000000002</v>
      </c>
      <c r="K708" s="9">
        <v>0</v>
      </c>
      <c r="L708" s="9">
        <v>1</v>
      </c>
      <c r="M708" s="9">
        <v>1</v>
      </c>
    </row>
    <row r="709" spans="1:13">
      <c r="A709" s="9">
        <v>717</v>
      </c>
      <c r="B709" s="10">
        <v>40576</v>
      </c>
      <c r="C709" s="9">
        <v>5</v>
      </c>
      <c r="D709" s="9" t="b">
        <v>0</v>
      </c>
      <c r="E709" s="9" t="str">
        <f t="shared" si="11"/>
        <v>Weekday</v>
      </c>
      <c r="F709" s="9">
        <v>3</v>
      </c>
      <c r="G709" s="9">
        <v>0.22</v>
      </c>
      <c r="H709" s="9">
        <v>0.2424</v>
      </c>
      <c r="I709" s="9">
        <v>0.93</v>
      </c>
      <c r="J709" s="9">
        <v>0.1045</v>
      </c>
      <c r="K709" s="9">
        <v>0</v>
      </c>
      <c r="L709" s="9">
        <v>3</v>
      </c>
      <c r="M709" s="9">
        <v>3</v>
      </c>
    </row>
    <row r="710" spans="1:13">
      <c r="A710" s="9">
        <v>718</v>
      </c>
      <c r="B710" s="10">
        <v>40576</v>
      </c>
      <c r="C710" s="9">
        <v>6</v>
      </c>
      <c r="D710" s="9" t="b">
        <v>0</v>
      </c>
      <c r="E710" s="9" t="str">
        <f t="shared" si="11"/>
        <v>Weekday</v>
      </c>
      <c r="F710" s="9">
        <v>3</v>
      </c>
      <c r="G710" s="9">
        <v>0.22</v>
      </c>
      <c r="H710" s="9">
        <v>0.2424</v>
      </c>
      <c r="I710" s="9">
        <v>0.93</v>
      </c>
      <c r="J710" s="9">
        <v>0.1045</v>
      </c>
      <c r="K710" s="9">
        <v>1</v>
      </c>
      <c r="L710" s="9">
        <v>17</v>
      </c>
      <c r="M710" s="9">
        <v>18</v>
      </c>
    </row>
    <row r="711" spans="1:13">
      <c r="A711" s="9">
        <v>719</v>
      </c>
      <c r="B711" s="10">
        <v>40576</v>
      </c>
      <c r="C711" s="9">
        <v>7</v>
      </c>
      <c r="D711" s="9" t="b">
        <v>0</v>
      </c>
      <c r="E711" s="9" t="str">
        <f t="shared" si="11"/>
        <v>Weekday</v>
      </c>
      <c r="F711" s="9">
        <v>3</v>
      </c>
      <c r="G711" s="9">
        <v>0.22</v>
      </c>
      <c r="H711" s="9">
        <v>0.21210000000000001</v>
      </c>
      <c r="I711" s="9">
        <v>0.93</v>
      </c>
      <c r="J711" s="9">
        <v>0.22389999999999999</v>
      </c>
      <c r="K711" s="9">
        <v>1</v>
      </c>
      <c r="L711" s="9">
        <v>48</v>
      </c>
      <c r="M711" s="9">
        <v>49</v>
      </c>
    </row>
    <row r="712" spans="1:13">
      <c r="A712" s="9">
        <v>720</v>
      </c>
      <c r="B712" s="10">
        <v>40576</v>
      </c>
      <c r="C712" s="9">
        <v>8</v>
      </c>
      <c r="D712" s="9" t="b">
        <v>0</v>
      </c>
      <c r="E712" s="9" t="str">
        <f t="shared" si="11"/>
        <v>Weekday</v>
      </c>
      <c r="F712" s="9">
        <v>3</v>
      </c>
      <c r="G712" s="9">
        <v>0.22</v>
      </c>
      <c r="H712" s="9">
        <v>0.21210000000000001</v>
      </c>
      <c r="I712" s="9">
        <v>0.93</v>
      </c>
      <c r="J712" s="9">
        <v>0.22389999999999999</v>
      </c>
      <c r="K712" s="9">
        <v>1</v>
      </c>
      <c r="L712" s="9">
        <v>154</v>
      </c>
      <c r="M712" s="9">
        <v>155</v>
      </c>
    </row>
    <row r="713" spans="1:13">
      <c r="A713" s="9">
        <v>721</v>
      </c>
      <c r="B713" s="10">
        <v>40576</v>
      </c>
      <c r="C713" s="9">
        <v>9</v>
      </c>
      <c r="D713" s="9" t="b">
        <v>0</v>
      </c>
      <c r="E713" s="9" t="str">
        <f t="shared" si="11"/>
        <v>Weekday</v>
      </c>
      <c r="F713" s="9">
        <v>2</v>
      </c>
      <c r="G713" s="9">
        <v>0.24</v>
      </c>
      <c r="H713" s="9">
        <v>0.2576</v>
      </c>
      <c r="I713" s="9">
        <v>0.93</v>
      </c>
      <c r="J713" s="9">
        <v>8.9599999999999999E-2</v>
      </c>
      <c r="K713" s="9">
        <v>4</v>
      </c>
      <c r="L713" s="9">
        <v>119</v>
      </c>
      <c r="M713" s="9">
        <v>123</v>
      </c>
    </row>
    <row r="714" spans="1:13">
      <c r="A714" s="9">
        <v>722</v>
      </c>
      <c r="B714" s="10">
        <v>40576</v>
      </c>
      <c r="C714" s="9">
        <v>10</v>
      </c>
      <c r="D714" s="9" t="b">
        <v>0</v>
      </c>
      <c r="E714" s="9" t="str">
        <f t="shared" si="11"/>
        <v>Weekday</v>
      </c>
      <c r="F714" s="9">
        <v>2</v>
      </c>
      <c r="G714" s="9">
        <v>0.22</v>
      </c>
      <c r="H714" s="9">
        <v>0.2727</v>
      </c>
      <c r="I714" s="9">
        <v>1</v>
      </c>
      <c r="J714" s="9">
        <v>0</v>
      </c>
      <c r="K714" s="9">
        <v>2</v>
      </c>
      <c r="L714" s="9">
        <v>59</v>
      </c>
      <c r="M714" s="9">
        <v>61</v>
      </c>
    </row>
    <row r="715" spans="1:13">
      <c r="A715" s="9">
        <v>723</v>
      </c>
      <c r="B715" s="10">
        <v>40576</v>
      </c>
      <c r="C715" s="9">
        <v>11</v>
      </c>
      <c r="D715" s="9" t="b">
        <v>0</v>
      </c>
      <c r="E715" s="9" t="str">
        <f t="shared" si="11"/>
        <v>Weekday</v>
      </c>
      <c r="F715" s="9">
        <v>2</v>
      </c>
      <c r="G715" s="9">
        <v>0.24</v>
      </c>
      <c r="H715" s="9">
        <v>0.2273</v>
      </c>
      <c r="I715" s="9">
        <v>0.93</v>
      </c>
      <c r="J715" s="9">
        <v>0.19400000000000001</v>
      </c>
      <c r="K715" s="9">
        <v>5</v>
      </c>
      <c r="L715" s="9">
        <v>47</v>
      </c>
      <c r="M715" s="9">
        <v>52</v>
      </c>
    </row>
    <row r="716" spans="1:13">
      <c r="A716" s="9">
        <v>724</v>
      </c>
      <c r="B716" s="10">
        <v>40576</v>
      </c>
      <c r="C716" s="9">
        <v>12</v>
      </c>
      <c r="D716" s="9" t="b">
        <v>0</v>
      </c>
      <c r="E716" s="9" t="str">
        <f t="shared" si="11"/>
        <v>Weekday</v>
      </c>
      <c r="F716" s="9">
        <v>2</v>
      </c>
      <c r="G716" s="9">
        <v>0.24</v>
      </c>
      <c r="H716" s="9">
        <v>0.2273</v>
      </c>
      <c r="I716" s="9">
        <v>0.93</v>
      </c>
      <c r="J716" s="9">
        <v>0.22389999999999999</v>
      </c>
      <c r="K716" s="9">
        <v>3</v>
      </c>
      <c r="L716" s="9">
        <v>61</v>
      </c>
      <c r="M716" s="9">
        <v>64</v>
      </c>
    </row>
    <row r="717" spans="1:13">
      <c r="A717" s="9">
        <v>725</v>
      </c>
      <c r="B717" s="10">
        <v>40576</v>
      </c>
      <c r="C717" s="9">
        <v>13</v>
      </c>
      <c r="D717" s="9" t="b">
        <v>0</v>
      </c>
      <c r="E717" s="9" t="str">
        <f t="shared" si="11"/>
        <v>Weekday</v>
      </c>
      <c r="F717" s="9">
        <v>1</v>
      </c>
      <c r="G717" s="9">
        <v>0.34</v>
      </c>
      <c r="H717" s="9">
        <v>0.33329999999999999</v>
      </c>
      <c r="I717" s="9">
        <v>0.93</v>
      </c>
      <c r="J717" s="9">
        <v>0.16420000000000001</v>
      </c>
      <c r="K717" s="9">
        <v>1</v>
      </c>
      <c r="L717" s="9">
        <v>74</v>
      </c>
      <c r="M717" s="9">
        <v>75</v>
      </c>
    </row>
    <row r="718" spans="1:13">
      <c r="A718" s="9">
        <v>726</v>
      </c>
      <c r="B718" s="10">
        <v>40576</v>
      </c>
      <c r="C718" s="9">
        <v>14</v>
      </c>
      <c r="D718" s="9" t="b">
        <v>0</v>
      </c>
      <c r="E718" s="9" t="str">
        <f t="shared" si="11"/>
        <v>Weekday</v>
      </c>
      <c r="F718" s="9">
        <v>1</v>
      </c>
      <c r="G718" s="9">
        <v>0.38</v>
      </c>
      <c r="H718" s="9">
        <v>0.39389999999999997</v>
      </c>
      <c r="I718" s="9">
        <v>0.82</v>
      </c>
      <c r="J718" s="9">
        <v>0.3881</v>
      </c>
      <c r="K718" s="9">
        <v>2</v>
      </c>
      <c r="L718" s="9">
        <v>61</v>
      </c>
      <c r="M718" s="9">
        <v>63</v>
      </c>
    </row>
    <row r="719" spans="1:13">
      <c r="A719" s="9">
        <v>727</v>
      </c>
      <c r="B719" s="10">
        <v>40576</v>
      </c>
      <c r="C719" s="9">
        <v>15</v>
      </c>
      <c r="D719" s="9" t="b">
        <v>0</v>
      </c>
      <c r="E719" s="9" t="str">
        <f t="shared" si="11"/>
        <v>Weekday</v>
      </c>
      <c r="F719" s="9">
        <v>1</v>
      </c>
      <c r="G719" s="9">
        <v>0.38</v>
      </c>
      <c r="H719" s="9">
        <v>0.39389999999999997</v>
      </c>
      <c r="I719" s="9">
        <v>0.76</v>
      </c>
      <c r="J719" s="9">
        <v>0.32840000000000003</v>
      </c>
      <c r="K719" s="9">
        <v>10</v>
      </c>
      <c r="L719" s="9">
        <v>66</v>
      </c>
      <c r="M719" s="9">
        <v>76</v>
      </c>
    </row>
    <row r="720" spans="1:13">
      <c r="A720" s="9">
        <v>728</v>
      </c>
      <c r="B720" s="10">
        <v>40576</v>
      </c>
      <c r="C720" s="9">
        <v>16</v>
      </c>
      <c r="D720" s="9" t="b">
        <v>0</v>
      </c>
      <c r="E720" s="9" t="str">
        <f t="shared" si="11"/>
        <v>Weekday</v>
      </c>
      <c r="F720" s="9">
        <v>1</v>
      </c>
      <c r="G720" s="9">
        <v>0.36</v>
      </c>
      <c r="H720" s="9">
        <v>0.33329999999999999</v>
      </c>
      <c r="I720" s="9">
        <v>0.71</v>
      </c>
      <c r="J720" s="9">
        <v>0.29849999999999999</v>
      </c>
      <c r="K720" s="9">
        <v>8</v>
      </c>
      <c r="L720" s="9">
        <v>95</v>
      </c>
      <c r="M720" s="9">
        <v>103</v>
      </c>
    </row>
    <row r="721" spans="1:13">
      <c r="A721" s="9">
        <v>729</v>
      </c>
      <c r="B721" s="10">
        <v>40576</v>
      </c>
      <c r="C721" s="9">
        <v>17</v>
      </c>
      <c r="D721" s="9" t="b">
        <v>0</v>
      </c>
      <c r="E721" s="9" t="str">
        <f t="shared" si="11"/>
        <v>Weekday</v>
      </c>
      <c r="F721" s="9">
        <v>1</v>
      </c>
      <c r="G721" s="9">
        <v>0.36</v>
      </c>
      <c r="H721" s="9">
        <v>0.31819999999999998</v>
      </c>
      <c r="I721" s="9">
        <v>0.53</v>
      </c>
      <c r="J721" s="9">
        <v>0.52239999999999998</v>
      </c>
      <c r="K721" s="9">
        <v>7</v>
      </c>
      <c r="L721" s="9">
        <v>183</v>
      </c>
      <c r="M721" s="9">
        <v>190</v>
      </c>
    </row>
    <row r="722" spans="1:13">
      <c r="A722" s="9">
        <v>730</v>
      </c>
      <c r="B722" s="10">
        <v>40576</v>
      </c>
      <c r="C722" s="9">
        <v>18</v>
      </c>
      <c r="D722" s="9" t="b">
        <v>0</v>
      </c>
      <c r="E722" s="9" t="str">
        <f t="shared" si="11"/>
        <v>Weekday</v>
      </c>
      <c r="F722" s="9">
        <v>1</v>
      </c>
      <c r="G722" s="9">
        <v>0.34</v>
      </c>
      <c r="H722" s="9">
        <v>0.28789999999999999</v>
      </c>
      <c r="I722" s="9">
        <v>0.42</v>
      </c>
      <c r="J722" s="9">
        <v>0.55220000000000002</v>
      </c>
      <c r="K722" s="9">
        <v>7</v>
      </c>
      <c r="L722" s="9">
        <v>175</v>
      </c>
      <c r="M722" s="9">
        <v>182</v>
      </c>
    </row>
    <row r="723" spans="1:13">
      <c r="A723" s="9">
        <v>731</v>
      </c>
      <c r="B723" s="10">
        <v>40576</v>
      </c>
      <c r="C723" s="9">
        <v>19</v>
      </c>
      <c r="D723" s="9" t="b">
        <v>0</v>
      </c>
      <c r="E723" s="9" t="str">
        <f t="shared" si="11"/>
        <v>Weekday</v>
      </c>
      <c r="F723" s="9">
        <v>1</v>
      </c>
      <c r="G723" s="9">
        <v>0.28000000000000003</v>
      </c>
      <c r="H723" s="9">
        <v>0.2424</v>
      </c>
      <c r="I723" s="9">
        <v>0.45</v>
      </c>
      <c r="J723" s="9">
        <v>0.49249999999999999</v>
      </c>
      <c r="K723" s="9">
        <v>3</v>
      </c>
      <c r="L723" s="9">
        <v>88</v>
      </c>
      <c r="M723" s="9">
        <v>91</v>
      </c>
    </row>
    <row r="724" spans="1:13">
      <c r="A724" s="9">
        <v>732</v>
      </c>
      <c r="B724" s="10">
        <v>40576</v>
      </c>
      <c r="C724" s="9">
        <v>20</v>
      </c>
      <c r="D724" s="9" t="b">
        <v>0</v>
      </c>
      <c r="E724" s="9" t="str">
        <f t="shared" si="11"/>
        <v>Weekday</v>
      </c>
      <c r="F724" s="9">
        <v>1</v>
      </c>
      <c r="G724" s="9">
        <v>0.24</v>
      </c>
      <c r="H724" s="9">
        <v>0.19700000000000001</v>
      </c>
      <c r="I724" s="9">
        <v>0.48</v>
      </c>
      <c r="J724" s="9">
        <v>0.55220000000000002</v>
      </c>
      <c r="K724" s="9">
        <v>4</v>
      </c>
      <c r="L724" s="9">
        <v>71</v>
      </c>
      <c r="M724" s="9">
        <v>75</v>
      </c>
    </row>
    <row r="725" spans="1:13">
      <c r="A725" s="9">
        <v>733</v>
      </c>
      <c r="B725" s="10">
        <v>40576</v>
      </c>
      <c r="C725" s="9">
        <v>21</v>
      </c>
      <c r="D725" s="9" t="b">
        <v>0</v>
      </c>
      <c r="E725" s="9" t="str">
        <f t="shared" si="11"/>
        <v>Weekday</v>
      </c>
      <c r="F725" s="9">
        <v>1</v>
      </c>
      <c r="G725" s="9">
        <v>0.22</v>
      </c>
      <c r="H725" s="9">
        <v>0.19700000000000001</v>
      </c>
      <c r="I725" s="9">
        <v>0.47</v>
      </c>
      <c r="J725" s="9">
        <v>0.32840000000000003</v>
      </c>
      <c r="K725" s="9">
        <v>1</v>
      </c>
      <c r="L725" s="9">
        <v>62</v>
      </c>
      <c r="M725" s="9">
        <v>63</v>
      </c>
    </row>
    <row r="726" spans="1:13">
      <c r="A726" s="9">
        <v>734</v>
      </c>
      <c r="B726" s="10">
        <v>40576</v>
      </c>
      <c r="C726" s="9">
        <v>22</v>
      </c>
      <c r="D726" s="9" t="b">
        <v>0</v>
      </c>
      <c r="E726" s="9" t="str">
        <f t="shared" si="11"/>
        <v>Weekday</v>
      </c>
      <c r="F726" s="9">
        <v>1</v>
      </c>
      <c r="G726" s="9">
        <v>0.22</v>
      </c>
      <c r="H726" s="9">
        <v>0.21210000000000001</v>
      </c>
      <c r="I726" s="9">
        <v>0.44</v>
      </c>
      <c r="J726" s="9">
        <v>0.25369999999999998</v>
      </c>
      <c r="K726" s="9">
        <v>5</v>
      </c>
      <c r="L726" s="9">
        <v>35</v>
      </c>
      <c r="M726" s="9">
        <v>40</v>
      </c>
    </row>
    <row r="727" spans="1:13">
      <c r="A727" s="9">
        <v>735</v>
      </c>
      <c r="B727" s="10">
        <v>40576</v>
      </c>
      <c r="C727" s="9">
        <v>23</v>
      </c>
      <c r="D727" s="9" t="b">
        <v>0</v>
      </c>
      <c r="E727" s="9" t="str">
        <f t="shared" si="11"/>
        <v>Weekday</v>
      </c>
      <c r="F727" s="9">
        <v>1</v>
      </c>
      <c r="G727" s="9">
        <v>0.2</v>
      </c>
      <c r="H727" s="9">
        <v>0.16669999999999999</v>
      </c>
      <c r="I727" s="9">
        <v>0.44</v>
      </c>
      <c r="J727" s="9">
        <v>0.44779999999999998</v>
      </c>
      <c r="K727" s="9">
        <v>3</v>
      </c>
      <c r="L727" s="9">
        <v>29</v>
      </c>
      <c r="M727" s="9">
        <v>32</v>
      </c>
    </row>
    <row r="728" spans="1:13">
      <c r="A728" s="9">
        <v>736</v>
      </c>
      <c r="B728" s="10">
        <v>40577</v>
      </c>
      <c r="C728" s="9">
        <v>0</v>
      </c>
      <c r="D728" s="9" t="b">
        <v>0</v>
      </c>
      <c r="E728" s="9" t="str">
        <f t="shared" si="11"/>
        <v>Weekday</v>
      </c>
      <c r="F728" s="9">
        <v>1</v>
      </c>
      <c r="G728" s="9">
        <v>0.2</v>
      </c>
      <c r="H728" s="9">
        <v>0.16669999999999999</v>
      </c>
      <c r="I728" s="9">
        <v>0.4</v>
      </c>
      <c r="J728" s="9">
        <v>0.44779999999999998</v>
      </c>
      <c r="K728" s="9">
        <v>1</v>
      </c>
      <c r="L728" s="9">
        <v>11</v>
      </c>
      <c r="M728" s="9">
        <v>12</v>
      </c>
    </row>
    <row r="729" spans="1:13">
      <c r="A729" s="9">
        <v>737</v>
      </c>
      <c r="B729" s="10">
        <v>40577</v>
      </c>
      <c r="C729" s="9">
        <v>1</v>
      </c>
      <c r="D729" s="9" t="b">
        <v>0</v>
      </c>
      <c r="E729" s="9" t="str">
        <f t="shared" si="11"/>
        <v>Weekday</v>
      </c>
      <c r="F729" s="9">
        <v>1</v>
      </c>
      <c r="G729" s="9">
        <v>0.2</v>
      </c>
      <c r="H729" s="9">
        <v>0.1515</v>
      </c>
      <c r="I729" s="9">
        <v>0.44</v>
      </c>
      <c r="J729" s="9">
        <v>0.52239999999999998</v>
      </c>
      <c r="K729" s="9">
        <v>0</v>
      </c>
      <c r="L729" s="9">
        <v>5</v>
      </c>
      <c r="M729" s="9">
        <v>5</v>
      </c>
    </row>
    <row r="730" spans="1:13">
      <c r="A730" s="9">
        <v>738</v>
      </c>
      <c r="B730" s="10">
        <v>40577</v>
      </c>
      <c r="C730" s="9">
        <v>2</v>
      </c>
      <c r="D730" s="9" t="b">
        <v>0</v>
      </c>
      <c r="E730" s="9" t="str">
        <f t="shared" si="11"/>
        <v>Weekday</v>
      </c>
      <c r="F730" s="9">
        <v>1</v>
      </c>
      <c r="G730" s="9">
        <v>0.18</v>
      </c>
      <c r="H730" s="9">
        <v>0.16669999999999999</v>
      </c>
      <c r="I730" s="9">
        <v>0.43</v>
      </c>
      <c r="J730" s="9">
        <v>0.25369999999999998</v>
      </c>
      <c r="K730" s="9">
        <v>0</v>
      </c>
      <c r="L730" s="9">
        <v>2</v>
      </c>
      <c r="M730" s="9">
        <v>2</v>
      </c>
    </row>
    <row r="731" spans="1:13">
      <c r="A731" s="9">
        <v>739</v>
      </c>
      <c r="B731" s="10">
        <v>40577</v>
      </c>
      <c r="C731" s="9">
        <v>3</v>
      </c>
      <c r="D731" s="9" t="b">
        <v>0</v>
      </c>
      <c r="E731" s="9" t="str">
        <f t="shared" si="11"/>
        <v>Weekday</v>
      </c>
      <c r="F731" s="9">
        <v>1</v>
      </c>
      <c r="G731" s="9">
        <v>0.18</v>
      </c>
      <c r="H731" s="9">
        <v>0.16669999999999999</v>
      </c>
      <c r="I731" s="9">
        <v>0.43</v>
      </c>
      <c r="J731" s="9">
        <v>0.25369999999999998</v>
      </c>
      <c r="K731" s="9">
        <v>0</v>
      </c>
      <c r="L731" s="9">
        <v>1</v>
      </c>
      <c r="M731" s="9">
        <v>1</v>
      </c>
    </row>
    <row r="732" spans="1:13">
      <c r="A732" s="9">
        <v>740</v>
      </c>
      <c r="B732" s="10">
        <v>40577</v>
      </c>
      <c r="C732" s="9">
        <v>5</v>
      </c>
      <c r="D732" s="9" t="b">
        <v>0</v>
      </c>
      <c r="E732" s="9" t="str">
        <f t="shared" si="11"/>
        <v>Weekday</v>
      </c>
      <c r="F732" s="9">
        <v>1</v>
      </c>
      <c r="G732" s="9">
        <v>0.16</v>
      </c>
      <c r="H732" s="9">
        <v>0.13639999999999999</v>
      </c>
      <c r="I732" s="9">
        <v>0.5</v>
      </c>
      <c r="J732" s="9">
        <v>0.29849999999999999</v>
      </c>
      <c r="K732" s="9">
        <v>0</v>
      </c>
      <c r="L732" s="9">
        <v>2</v>
      </c>
      <c r="M732" s="9">
        <v>2</v>
      </c>
    </row>
    <row r="733" spans="1:13">
      <c r="A733" s="9">
        <v>741</v>
      </c>
      <c r="B733" s="10">
        <v>40577</v>
      </c>
      <c r="C733" s="9">
        <v>6</v>
      </c>
      <c r="D733" s="9" t="b">
        <v>0</v>
      </c>
      <c r="E733" s="9" t="str">
        <f t="shared" si="11"/>
        <v>Weekday</v>
      </c>
      <c r="F733" s="9">
        <v>1</v>
      </c>
      <c r="G733" s="9">
        <v>0.16</v>
      </c>
      <c r="H733" s="9">
        <v>0.13639999999999999</v>
      </c>
      <c r="I733" s="9">
        <v>0.43</v>
      </c>
      <c r="J733" s="9">
        <v>0.35820000000000002</v>
      </c>
      <c r="K733" s="9">
        <v>0</v>
      </c>
      <c r="L733" s="9">
        <v>39</v>
      </c>
      <c r="M733" s="9">
        <v>39</v>
      </c>
    </row>
    <row r="734" spans="1:13">
      <c r="A734" s="9">
        <v>742</v>
      </c>
      <c r="B734" s="10">
        <v>40577</v>
      </c>
      <c r="C734" s="9">
        <v>7</v>
      </c>
      <c r="D734" s="9" t="b">
        <v>0</v>
      </c>
      <c r="E734" s="9" t="str">
        <f t="shared" si="11"/>
        <v>Weekday</v>
      </c>
      <c r="F734" s="9">
        <v>1</v>
      </c>
      <c r="G734" s="9">
        <v>0.14000000000000001</v>
      </c>
      <c r="H734" s="9">
        <v>0.1212</v>
      </c>
      <c r="I734" s="9">
        <v>0.5</v>
      </c>
      <c r="J734" s="9">
        <v>0.32840000000000003</v>
      </c>
      <c r="K734" s="9">
        <v>1</v>
      </c>
      <c r="L734" s="9">
        <v>86</v>
      </c>
      <c r="M734" s="9">
        <v>87</v>
      </c>
    </row>
    <row r="735" spans="1:13">
      <c r="A735" s="9">
        <v>743</v>
      </c>
      <c r="B735" s="10">
        <v>40577</v>
      </c>
      <c r="C735" s="9">
        <v>8</v>
      </c>
      <c r="D735" s="9" t="b">
        <v>0</v>
      </c>
      <c r="E735" s="9" t="str">
        <f t="shared" si="11"/>
        <v>Weekday</v>
      </c>
      <c r="F735" s="9">
        <v>1</v>
      </c>
      <c r="G735" s="9">
        <v>0.14000000000000001</v>
      </c>
      <c r="H735" s="9">
        <v>0.1212</v>
      </c>
      <c r="I735" s="9">
        <v>0.5</v>
      </c>
      <c r="J735" s="9">
        <v>0.35820000000000002</v>
      </c>
      <c r="K735" s="9">
        <v>4</v>
      </c>
      <c r="L735" s="9">
        <v>184</v>
      </c>
      <c r="M735" s="9">
        <v>188</v>
      </c>
    </row>
    <row r="736" spans="1:13">
      <c r="A736" s="9">
        <v>744</v>
      </c>
      <c r="B736" s="10">
        <v>40577</v>
      </c>
      <c r="C736" s="9">
        <v>9</v>
      </c>
      <c r="D736" s="9" t="b">
        <v>0</v>
      </c>
      <c r="E736" s="9" t="str">
        <f t="shared" si="11"/>
        <v>Weekday</v>
      </c>
      <c r="F736" s="9">
        <v>1</v>
      </c>
      <c r="G736" s="9">
        <v>0.16</v>
      </c>
      <c r="H736" s="9">
        <v>0.13639999999999999</v>
      </c>
      <c r="I736" s="9">
        <v>0.47</v>
      </c>
      <c r="J736" s="9">
        <v>0.29849999999999999</v>
      </c>
      <c r="K736" s="9">
        <v>6</v>
      </c>
      <c r="L736" s="9">
        <v>127</v>
      </c>
      <c r="M736" s="9">
        <v>133</v>
      </c>
    </row>
    <row r="737" spans="1:13">
      <c r="A737" s="9">
        <v>745</v>
      </c>
      <c r="B737" s="10">
        <v>40577</v>
      </c>
      <c r="C737" s="9">
        <v>10</v>
      </c>
      <c r="D737" s="9" t="b">
        <v>0</v>
      </c>
      <c r="E737" s="9" t="str">
        <f t="shared" si="11"/>
        <v>Weekday</v>
      </c>
      <c r="F737" s="9">
        <v>1</v>
      </c>
      <c r="G737" s="9">
        <v>0.18</v>
      </c>
      <c r="H737" s="9">
        <v>0.1515</v>
      </c>
      <c r="I737" s="9">
        <v>0.43</v>
      </c>
      <c r="J737" s="9">
        <v>0.32840000000000003</v>
      </c>
      <c r="K737" s="9">
        <v>2</v>
      </c>
      <c r="L737" s="9">
        <v>50</v>
      </c>
      <c r="M737" s="9">
        <v>52</v>
      </c>
    </row>
    <row r="738" spans="1:13">
      <c r="A738" s="9">
        <v>746</v>
      </c>
      <c r="B738" s="10">
        <v>40577</v>
      </c>
      <c r="C738" s="9">
        <v>11</v>
      </c>
      <c r="D738" s="9" t="b">
        <v>0</v>
      </c>
      <c r="E738" s="9" t="str">
        <f t="shared" si="11"/>
        <v>Weekday</v>
      </c>
      <c r="F738" s="9">
        <v>1</v>
      </c>
      <c r="G738" s="9">
        <v>0.18</v>
      </c>
      <c r="H738" s="9">
        <v>0.13639999999999999</v>
      </c>
      <c r="I738" s="9">
        <v>0.43</v>
      </c>
      <c r="J738" s="9">
        <v>0.44779999999999998</v>
      </c>
      <c r="K738" s="9">
        <v>9</v>
      </c>
      <c r="L738" s="9">
        <v>55</v>
      </c>
      <c r="M738" s="9">
        <v>64</v>
      </c>
    </row>
    <row r="739" spans="1:13">
      <c r="A739" s="9">
        <v>747</v>
      </c>
      <c r="B739" s="10">
        <v>40577</v>
      </c>
      <c r="C739" s="9">
        <v>12</v>
      </c>
      <c r="D739" s="9" t="b">
        <v>0</v>
      </c>
      <c r="E739" s="9" t="str">
        <f t="shared" si="11"/>
        <v>Weekday</v>
      </c>
      <c r="F739" s="9">
        <v>1</v>
      </c>
      <c r="G739" s="9">
        <v>0.2</v>
      </c>
      <c r="H739" s="9">
        <v>0.18179999999999999</v>
      </c>
      <c r="I739" s="9">
        <v>0.4</v>
      </c>
      <c r="J739" s="9">
        <v>0.35820000000000002</v>
      </c>
      <c r="K739" s="9">
        <v>2</v>
      </c>
      <c r="L739" s="9">
        <v>67</v>
      </c>
      <c r="M739" s="9">
        <v>69</v>
      </c>
    </row>
    <row r="740" spans="1:13">
      <c r="A740" s="9">
        <v>748</v>
      </c>
      <c r="B740" s="10">
        <v>40577</v>
      </c>
      <c r="C740" s="9">
        <v>13</v>
      </c>
      <c r="D740" s="9" t="b">
        <v>0</v>
      </c>
      <c r="E740" s="9" t="str">
        <f t="shared" si="11"/>
        <v>Weekday</v>
      </c>
      <c r="F740" s="9">
        <v>1</v>
      </c>
      <c r="G740" s="9">
        <v>0.2</v>
      </c>
      <c r="H740" s="9">
        <v>0.16669999999999999</v>
      </c>
      <c r="I740" s="9">
        <v>0.4</v>
      </c>
      <c r="J740" s="9">
        <v>0.41789999999999999</v>
      </c>
      <c r="K740" s="9">
        <v>4</v>
      </c>
      <c r="L740" s="9">
        <v>47</v>
      </c>
      <c r="M740" s="9">
        <v>51</v>
      </c>
    </row>
    <row r="741" spans="1:13">
      <c r="A741" s="9">
        <v>749</v>
      </c>
      <c r="B741" s="10">
        <v>40577</v>
      </c>
      <c r="C741" s="9">
        <v>14</v>
      </c>
      <c r="D741" s="9" t="b">
        <v>0</v>
      </c>
      <c r="E741" s="9" t="str">
        <f t="shared" si="11"/>
        <v>Weekday</v>
      </c>
      <c r="F741" s="9">
        <v>1</v>
      </c>
      <c r="G741" s="9">
        <v>0.22</v>
      </c>
      <c r="H741" s="9">
        <v>0.19700000000000001</v>
      </c>
      <c r="I741" s="9">
        <v>0.37</v>
      </c>
      <c r="J741" s="9">
        <v>0.3881</v>
      </c>
      <c r="K741" s="9">
        <v>4</v>
      </c>
      <c r="L741" s="9">
        <v>43</v>
      </c>
      <c r="M741" s="9">
        <v>47</v>
      </c>
    </row>
    <row r="742" spans="1:13">
      <c r="A742" s="9">
        <v>750</v>
      </c>
      <c r="B742" s="10">
        <v>40577</v>
      </c>
      <c r="C742" s="9">
        <v>15</v>
      </c>
      <c r="D742" s="9" t="b">
        <v>0</v>
      </c>
      <c r="E742" s="9" t="str">
        <f t="shared" si="11"/>
        <v>Weekday</v>
      </c>
      <c r="F742" s="9">
        <v>1</v>
      </c>
      <c r="G742" s="9">
        <v>0.22</v>
      </c>
      <c r="H742" s="9">
        <v>0.19700000000000001</v>
      </c>
      <c r="I742" s="9">
        <v>0.37</v>
      </c>
      <c r="J742" s="9">
        <v>0.32840000000000003</v>
      </c>
      <c r="K742" s="9">
        <v>4</v>
      </c>
      <c r="L742" s="9">
        <v>56</v>
      </c>
      <c r="M742" s="9">
        <v>60</v>
      </c>
    </row>
    <row r="743" spans="1:13">
      <c r="A743" s="9">
        <v>751</v>
      </c>
      <c r="B743" s="10">
        <v>40577</v>
      </c>
      <c r="C743" s="9">
        <v>16</v>
      </c>
      <c r="D743" s="9" t="b">
        <v>0</v>
      </c>
      <c r="E743" s="9" t="str">
        <f t="shared" si="11"/>
        <v>Weekday</v>
      </c>
      <c r="F743" s="9">
        <v>1</v>
      </c>
      <c r="G743" s="9">
        <v>0.22</v>
      </c>
      <c r="H743" s="9">
        <v>0.21210000000000001</v>
      </c>
      <c r="I743" s="9">
        <v>0.37</v>
      </c>
      <c r="J743" s="9">
        <v>0.25369999999999998</v>
      </c>
      <c r="K743" s="9">
        <v>5</v>
      </c>
      <c r="L743" s="9">
        <v>73</v>
      </c>
      <c r="M743" s="9">
        <v>78</v>
      </c>
    </row>
    <row r="744" spans="1:13">
      <c r="A744" s="9">
        <v>752</v>
      </c>
      <c r="B744" s="10">
        <v>40577</v>
      </c>
      <c r="C744" s="9">
        <v>17</v>
      </c>
      <c r="D744" s="9" t="b">
        <v>0</v>
      </c>
      <c r="E744" s="9" t="str">
        <f t="shared" si="11"/>
        <v>Weekday</v>
      </c>
      <c r="F744" s="9">
        <v>1</v>
      </c>
      <c r="G744" s="9">
        <v>0.2</v>
      </c>
      <c r="H744" s="9">
        <v>0.19700000000000001</v>
      </c>
      <c r="I744" s="9">
        <v>0.4</v>
      </c>
      <c r="J744" s="9">
        <v>0.19400000000000001</v>
      </c>
      <c r="K744" s="9">
        <v>5</v>
      </c>
      <c r="L744" s="9">
        <v>170</v>
      </c>
      <c r="M744" s="9">
        <v>175</v>
      </c>
    </row>
    <row r="745" spans="1:13">
      <c r="A745" s="9">
        <v>753</v>
      </c>
      <c r="B745" s="10">
        <v>40577</v>
      </c>
      <c r="C745" s="9">
        <v>18</v>
      </c>
      <c r="D745" s="9" t="b">
        <v>0</v>
      </c>
      <c r="E745" s="9" t="str">
        <f t="shared" si="11"/>
        <v>Weekday</v>
      </c>
      <c r="F745" s="9">
        <v>1</v>
      </c>
      <c r="G745" s="9">
        <v>0.2</v>
      </c>
      <c r="H745" s="9">
        <v>0.21210000000000001</v>
      </c>
      <c r="I745" s="9">
        <v>0.4</v>
      </c>
      <c r="J745" s="9">
        <v>0.16420000000000001</v>
      </c>
      <c r="K745" s="9">
        <v>2</v>
      </c>
      <c r="L745" s="9">
        <v>145</v>
      </c>
      <c r="M745" s="9">
        <v>147</v>
      </c>
    </row>
    <row r="746" spans="1:13">
      <c r="A746" s="9">
        <v>754</v>
      </c>
      <c r="B746" s="10">
        <v>40577</v>
      </c>
      <c r="C746" s="9">
        <v>19</v>
      </c>
      <c r="D746" s="9" t="b">
        <v>0</v>
      </c>
      <c r="E746" s="9" t="str">
        <f t="shared" si="11"/>
        <v>Weekday</v>
      </c>
      <c r="F746" s="9">
        <v>1</v>
      </c>
      <c r="G746" s="9">
        <v>0.2</v>
      </c>
      <c r="H746" s="9">
        <v>0.2576</v>
      </c>
      <c r="I746" s="9">
        <v>0.4</v>
      </c>
      <c r="J746" s="9">
        <v>0</v>
      </c>
      <c r="K746" s="9">
        <v>4</v>
      </c>
      <c r="L746" s="9">
        <v>92</v>
      </c>
      <c r="M746" s="9">
        <v>96</v>
      </c>
    </row>
    <row r="747" spans="1:13">
      <c r="A747" s="9">
        <v>755</v>
      </c>
      <c r="B747" s="10">
        <v>40577</v>
      </c>
      <c r="C747" s="9">
        <v>20</v>
      </c>
      <c r="D747" s="9" t="b">
        <v>0</v>
      </c>
      <c r="E747" s="9" t="str">
        <f t="shared" si="11"/>
        <v>Weekday</v>
      </c>
      <c r="F747" s="9">
        <v>1</v>
      </c>
      <c r="G747" s="9">
        <v>0.2</v>
      </c>
      <c r="H747" s="9">
        <v>0.2273</v>
      </c>
      <c r="I747" s="9">
        <v>0.47</v>
      </c>
      <c r="J747" s="9">
        <v>8.9599999999999999E-2</v>
      </c>
      <c r="K747" s="9">
        <v>1</v>
      </c>
      <c r="L747" s="9">
        <v>108</v>
      </c>
      <c r="M747" s="9">
        <v>109</v>
      </c>
    </row>
    <row r="748" spans="1:13">
      <c r="A748" s="9">
        <v>756</v>
      </c>
      <c r="B748" s="10">
        <v>40577</v>
      </c>
      <c r="C748" s="9">
        <v>21</v>
      </c>
      <c r="D748" s="9" t="b">
        <v>0</v>
      </c>
      <c r="E748" s="9" t="str">
        <f t="shared" si="11"/>
        <v>Weekday</v>
      </c>
      <c r="F748" s="9">
        <v>1</v>
      </c>
      <c r="G748" s="9">
        <v>0.18</v>
      </c>
      <c r="H748" s="9">
        <v>0.21210000000000001</v>
      </c>
      <c r="I748" s="9">
        <v>0.55000000000000004</v>
      </c>
      <c r="J748" s="9">
        <v>0.1045</v>
      </c>
      <c r="K748" s="9">
        <v>1</v>
      </c>
      <c r="L748" s="9">
        <v>53</v>
      </c>
      <c r="M748" s="9">
        <v>54</v>
      </c>
    </row>
    <row r="749" spans="1:13">
      <c r="A749" s="9">
        <v>757</v>
      </c>
      <c r="B749" s="10">
        <v>40577</v>
      </c>
      <c r="C749" s="9">
        <v>22</v>
      </c>
      <c r="D749" s="9" t="b">
        <v>0</v>
      </c>
      <c r="E749" s="9" t="str">
        <f t="shared" si="11"/>
        <v>Weekday</v>
      </c>
      <c r="F749" s="9">
        <v>1</v>
      </c>
      <c r="G749" s="9">
        <v>0.18</v>
      </c>
      <c r="H749" s="9">
        <v>0.21210000000000001</v>
      </c>
      <c r="I749" s="9">
        <v>0.51</v>
      </c>
      <c r="J749" s="9">
        <v>8.9599999999999999E-2</v>
      </c>
      <c r="K749" s="9">
        <v>2</v>
      </c>
      <c r="L749" s="9">
        <v>39</v>
      </c>
      <c r="M749" s="9">
        <v>41</v>
      </c>
    </row>
    <row r="750" spans="1:13">
      <c r="A750" s="9">
        <v>758</v>
      </c>
      <c r="B750" s="10">
        <v>40577</v>
      </c>
      <c r="C750" s="9">
        <v>23</v>
      </c>
      <c r="D750" s="9" t="b">
        <v>0</v>
      </c>
      <c r="E750" s="9" t="str">
        <f t="shared" si="11"/>
        <v>Weekday</v>
      </c>
      <c r="F750" s="9">
        <v>1</v>
      </c>
      <c r="G750" s="9">
        <v>0.2</v>
      </c>
      <c r="H750" s="9">
        <v>0.2273</v>
      </c>
      <c r="I750" s="9">
        <v>0.47</v>
      </c>
      <c r="J750" s="9">
        <v>0.1045</v>
      </c>
      <c r="K750" s="9">
        <v>4</v>
      </c>
      <c r="L750" s="9">
        <v>34</v>
      </c>
      <c r="M750" s="9">
        <v>38</v>
      </c>
    </row>
    <row r="751" spans="1:13">
      <c r="A751" s="9">
        <v>759</v>
      </c>
      <c r="B751" s="10">
        <v>40578</v>
      </c>
      <c r="C751" s="9">
        <v>0</v>
      </c>
      <c r="D751" s="9" t="b">
        <v>0</v>
      </c>
      <c r="E751" s="9" t="str">
        <f t="shared" si="11"/>
        <v>Weekday</v>
      </c>
      <c r="F751" s="9">
        <v>2</v>
      </c>
      <c r="G751" s="9">
        <v>0.2</v>
      </c>
      <c r="H751" s="9">
        <v>0.2576</v>
      </c>
      <c r="I751" s="9">
        <v>0.44</v>
      </c>
      <c r="J751" s="9">
        <v>0</v>
      </c>
      <c r="K751" s="9">
        <v>3</v>
      </c>
      <c r="L751" s="9">
        <v>10</v>
      </c>
      <c r="M751" s="9">
        <v>13</v>
      </c>
    </row>
    <row r="752" spans="1:13">
      <c r="A752" s="9">
        <v>760</v>
      </c>
      <c r="B752" s="10">
        <v>40578</v>
      </c>
      <c r="C752" s="9">
        <v>1</v>
      </c>
      <c r="D752" s="9" t="b">
        <v>0</v>
      </c>
      <c r="E752" s="9" t="str">
        <f t="shared" si="11"/>
        <v>Weekday</v>
      </c>
      <c r="F752" s="9">
        <v>2</v>
      </c>
      <c r="G752" s="9">
        <v>0.16</v>
      </c>
      <c r="H752" s="9">
        <v>0.2273</v>
      </c>
      <c r="I752" s="9">
        <v>0.59</v>
      </c>
      <c r="J752" s="9">
        <v>0</v>
      </c>
      <c r="K752" s="9">
        <v>0</v>
      </c>
      <c r="L752" s="9">
        <v>7</v>
      </c>
      <c r="M752" s="9">
        <v>7</v>
      </c>
    </row>
    <row r="753" spans="1:13">
      <c r="A753" s="9">
        <v>761</v>
      </c>
      <c r="B753" s="10">
        <v>40578</v>
      </c>
      <c r="C753" s="9">
        <v>2</v>
      </c>
      <c r="D753" s="9" t="b">
        <v>0</v>
      </c>
      <c r="E753" s="9" t="str">
        <f t="shared" si="11"/>
        <v>Weekday</v>
      </c>
      <c r="F753" s="9">
        <v>2</v>
      </c>
      <c r="G753" s="9">
        <v>0.14000000000000001</v>
      </c>
      <c r="H753" s="9">
        <v>0.16669999999999999</v>
      </c>
      <c r="I753" s="9">
        <v>0.63</v>
      </c>
      <c r="J753" s="9">
        <v>0.1045</v>
      </c>
      <c r="K753" s="9">
        <v>0</v>
      </c>
      <c r="L753" s="9">
        <v>1</v>
      </c>
      <c r="M753" s="9">
        <v>1</v>
      </c>
    </row>
    <row r="754" spans="1:13">
      <c r="A754" s="9">
        <v>762</v>
      </c>
      <c r="B754" s="10">
        <v>40578</v>
      </c>
      <c r="C754" s="9">
        <v>3</v>
      </c>
      <c r="D754" s="9" t="b">
        <v>0</v>
      </c>
      <c r="E754" s="9" t="str">
        <f t="shared" si="11"/>
        <v>Weekday</v>
      </c>
      <c r="F754" s="9">
        <v>2</v>
      </c>
      <c r="G754" s="9">
        <v>0.14000000000000001</v>
      </c>
      <c r="H754" s="9">
        <v>0.16669999999999999</v>
      </c>
      <c r="I754" s="9">
        <v>0.63</v>
      </c>
      <c r="J754" s="9">
        <v>0.1045</v>
      </c>
      <c r="K754" s="9">
        <v>0</v>
      </c>
      <c r="L754" s="9">
        <v>1</v>
      </c>
      <c r="M754" s="9">
        <v>1</v>
      </c>
    </row>
    <row r="755" spans="1:13">
      <c r="A755" s="9">
        <v>763</v>
      </c>
      <c r="B755" s="10">
        <v>40578</v>
      </c>
      <c r="C755" s="9">
        <v>5</v>
      </c>
      <c r="D755" s="9" t="b">
        <v>0</v>
      </c>
      <c r="E755" s="9" t="str">
        <f t="shared" si="11"/>
        <v>Weekday</v>
      </c>
      <c r="F755" s="9">
        <v>2</v>
      </c>
      <c r="G755" s="9">
        <v>0.14000000000000001</v>
      </c>
      <c r="H755" s="9">
        <v>0.1515</v>
      </c>
      <c r="I755" s="9">
        <v>0.63</v>
      </c>
      <c r="J755" s="9">
        <v>0.1343</v>
      </c>
      <c r="K755" s="9">
        <v>0</v>
      </c>
      <c r="L755" s="9">
        <v>7</v>
      </c>
      <c r="M755" s="9">
        <v>7</v>
      </c>
    </row>
    <row r="756" spans="1:13">
      <c r="A756" s="9">
        <v>764</v>
      </c>
      <c r="B756" s="10">
        <v>40578</v>
      </c>
      <c r="C756" s="9">
        <v>6</v>
      </c>
      <c r="D756" s="9" t="b">
        <v>0</v>
      </c>
      <c r="E756" s="9" t="str">
        <f t="shared" si="11"/>
        <v>Weekday</v>
      </c>
      <c r="F756" s="9">
        <v>2</v>
      </c>
      <c r="G756" s="9">
        <v>0.16</v>
      </c>
      <c r="H756" s="9">
        <v>0.2273</v>
      </c>
      <c r="I756" s="9">
        <v>0.55000000000000004</v>
      </c>
      <c r="J756" s="9">
        <v>0</v>
      </c>
      <c r="K756" s="9">
        <v>2</v>
      </c>
      <c r="L756" s="9">
        <v>26</v>
      </c>
      <c r="M756" s="9">
        <v>28</v>
      </c>
    </row>
    <row r="757" spans="1:13">
      <c r="A757" s="9">
        <v>765</v>
      </c>
      <c r="B757" s="10">
        <v>40578</v>
      </c>
      <c r="C757" s="9">
        <v>7</v>
      </c>
      <c r="D757" s="9" t="b">
        <v>0</v>
      </c>
      <c r="E757" s="9" t="str">
        <f t="shared" si="11"/>
        <v>Weekday</v>
      </c>
      <c r="F757" s="9">
        <v>1</v>
      </c>
      <c r="G757" s="9">
        <v>0.14000000000000001</v>
      </c>
      <c r="H757" s="9">
        <v>0.21210000000000001</v>
      </c>
      <c r="I757" s="9">
        <v>0.59</v>
      </c>
      <c r="J757" s="9">
        <v>0</v>
      </c>
      <c r="K757" s="9">
        <v>0</v>
      </c>
      <c r="L757" s="9">
        <v>87</v>
      </c>
      <c r="M757" s="9">
        <v>87</v>
      </c>
    </row>
    <row r="758" spans="1:13">
      <c r="A758" s="9">
        <v>766</v>
      </c>
      <c r="B758" s="10">
        <v>40578</v>
      </c>
      <c r="C758" s="9">
        <v>8</v>
      </c>
      <c r="D758" s="9" t="b">
        <v>0</v>
      </c>
      <c r="E758" s="9" t="str">
        <f t="shared" si="11"/>
        <v>Weekday</v>
      </c>
      <c r="F758" s="9">
        <v>1</v>
      </c>
      <c r="G758" s="9">
        <v>0.14000000000000001</v>
      </c>
      <c r="H758" s="9">
        <v>0.1515</v>
      </c>
      <c r="I758" s="9">
        <v>0.74</v>
      </c>
      <c r="J758" s="9">
        <v>0.1343</v>
      </c>
      <c r="K758" s="9">
        <v>3</v>
      </c>
      <c r="L758" s="9">
        <v>217</v>
      </c>
      <c r="M758" s="9">
        <v>220</v>
      </c>
    </row>
    <row r="759" spans="1:13">
      <c r="A759" s="9">
        <v>767</v>
      </c>
      <c r="B759" s="10">
        <v>40578</v>
      </c>
      <c r="C759" s="9">
        <v>9</v>
      </c>
      <c r="D759" s="9" t="b">
        <v>0</v>
      </c>
      <c r="E759" s="9" t="str">
        <f t="shared" si="11"/>
        <v>Weekday</v>
      </c>
      <c r="F759" s="9">
        <v>2</v>
      </c>
      <c r="G759" s="9">
        <v>0.16</v>
      </c>
      <c r="H759" s="9">
        <v>0.18179999999999999</v>
      </c>
      <c r="I759" s="9">
        <v>0.8</v>
      </c>
      <c r="J759" s="9">
        <v>0.1343</v>
      </c>
      <c r="K759" s="9">
        <v>3</v>
      </c>
      <c r="L759" s="9">
        <v>124</v>
      </c>
      <c r="M759" s="9">
        <v>127</v>
      </c>
    </row>
    <row r="760" spans="1:13">
      <c r="A760" s="9">
        <v>768</v>
      </c>
      <c r="B760" s="10">
        <v>40578</v>
      </c>
      <c r="C760" s="9">
        <v>10</v>
      </c>
      <c r="D760" s="9" t="b">
        <v>0</v>
      </c>
      <c r="E760" s="9" t="str">
        <f t="shared" si="11"/>
        <v>Weekday</v>
      </c>
      <c r="F760" s="9">
        <v>2</v>
      </c>
      <c r="G760" s="9">
        <v>0.2</v>
      </c>
      <c r="H760" s="9">
        <v>0.21210000000000001</v>
      </c>
      <c r="I760" s="9">
        <v>0.51</v>
      </c>
      <c r="J760" s="9">
        <v>0.1343</v>
      </c>
      <c r="K760" s="9">
        <v>5</v>
      </c>
      <c r="L760" s="9">
        <v>46</v>
      </c>
      <c r="M760" s="9">
        <v>51</v>
      </c>
    </row>
    <row r="761" spans="1:13">
      <c r="A761" s="9">
        <v>769</v>
      </c>
      <c r="B761" s="10">
        <v>40578</v>
      </c>
      <c r="C761" s="9">
        <v>11</v>
      </c>
      <c r="D761" s="9" t="b">
        <v>0</v>
      </c>
      <c r="E761" s="9" t="str">
        <f t="shared" si="11"/>
        <v>Weekday</v>
      </c>
      <c r="F761" s="9">
        <v>1</v>
      </c>
      <c r="G761" s="9">
        <v>0.22</v>
      </c>
      <c r="H761" s="9">
        <v>0.2273</v>
      </c>
      <c r="I761" s="9">
        <v>0.51</v>
      </c>
      <c r="J761" s="9">
        <v>0.16420000000000001</v>
      </c>
      <c r="K761" s="9">
        <v>3</v>
      </c>
      <c r="L761" s="9">
        <v>61</v>
      </c>
      <c r="M761" s="9">
        <v>64</v>
      </c>
    </row>
    <row r="762" spans="1:13">
      <c r="A762" s="9">
        <v>770</v>
      </c>
      <c r="B762" s="10">
        <v>40578</v>
      </c>
      <c r="C762" s="9">
        <v>12</v>
      </c>
      <c r="D762" s="9" t="b">
        <v>0</v>
      </c>
      <c r="E762" s="9" t="str">
        <f t="shared" si="11"/>
        <v>Weekday</v>
      </c>
      <c r="F762" s="9">
        <v>2</v>
      </c>
      <c r="G762" s="9">
        <v>0.24</v>
      </c>
      <c r="H762" s="9">
        <v>0.2424</v>
      </c>
      <c r="I762" s="9">
        <v>0.48</v>
      </c>
      <c r="J762" s="9">
        <v>0.16420000000000001</v>
      </c>
      <c r="K762" s="9">
        <v>8</v>
      </c>
      <c r="L762" s="9">
        <v>78</v>
      </c>
      <c r="M762" s="9">
        <v>86</v>
      </c>
    </row>
    <row r="763" spans="1:13">
      <c r="A763" s="9">
        <v>771</v>
      </c>
      <c r="B763" s="10">
        <v>40578</v>
      </c>
      <c r="C763" s="9">
        <v>13</v>
      </c>
      <c r="D763" s="9" t="b">
        <v>0</v>
      </c>
      <c r="E763" s="9" t="str">
        <f t="shared" si="11"/>
        <v>Weekday</v>
      </c>
      <c r="F763" s="9">
        <v>2</v>
      </c>
      <c r="G763" s="9">
        <v>0.26</v>
      </c>
      <c r="H763" s="9">
        <v>0.2576</v>
      </c>
      <c r="I763" s="9">
        <v>0.5</v>
      </c>
      <c r="J763" s="9">
        <v>0.22389999999999999</v>
      </c>
      <c r="K763" s="9">
        <v>9</v>
      </c>
      <c r="L763" s="9">
        <v>73</v>
      </c>
      <c r="M763" s="9">
        <v>82</v>
      </c>
    </row>
    <row r="764" spans="1:13">
      <c r="A764" s="9">
        <v>772</v>
      </c>
      <c r="B764" s="10">
        <v>40578</v>
      </c>
      <c r="C764" s="9">
        <v>14</v>
      </c>
      <c r="D764" s="9" t="b">
        <v>0</v>
      </c>
      <c r="E764" s="9" t="str">
        <f t="shared" si="11"/>
        <v>Weekday</v>
      </c>
      <c r="F764" s="9">
        <v>2</v>
      </c>
      <c r="G764" s="9">
        <v>0.28000000000000003</v>
      </c>
      <c r="H764" s="9">
        <v>0.2727</v>
      </c>
      <c r="I764" s="9">
        <v>0.45</v>
      </c>
      <c r="J764" s="9">
        <v>0.16420000000000001</v>
      </c>
      <c r="K764" s="9">
        <v>15</v>
      </c>
      <c r="L764" s="9">
        <v>76</v>
      </c>
      <c r="M764" s="9">
        <v>91</v>
      </c>
    </row>
    <row r="765" spans="1:13">
      <c r="A765" s="9">
        <v>773</v>
      </c>
      <c r="B765" s="10">
        <v>40578</v>
      </c>
      <c r="C765" s="9">
        <v>15</v>
      </c>
      <c r="D765" s="9" t="b">
        <v>0</v>
      </c>
      <c r="E765" s="9" t="str">
        <f t="shared" si="11"/>
        <v>Weekday</v>
      </c>
      <c r="F765" s="9">
        <v>2</v>
      </c>
      <c r="G765" s="9">
        <v>0.28000000000000003</v>
      </c>
      <c r="H765" s="9">
        <v>0.2727</v>
      </c>
      <c r="I765" s="9">
        <v>0.48</v>
      </c>
      <c r="J765" s="9">
        <v>0.25369999999999998</v>
      </c>
      <c r="K765" s="9">
        <v>9</v>
      </c>
      <c r="L765" s="9">
        <v>81</v>
      </c>
      <c r="M765" s="9">
        <v>90</v>
      </c>
    </row>
    <row r="766" spans="1:13">
      <c r="A766" s="9">
        <v>774</v>
      </c>
      <c r="B766" s="10">
        <v>40578</v>
      </c>
      <c r="C766" s="9">
        <v>16</v>
      </c>
      <c r="D766" s="9" t="b">
        <v>0</v>
      </c>
      <c r="E766" s="9" t="str">
        <f t="shared" si="11"/>
        <v>Weekday</v>
      </c>
      <c r="F766" s="9">
        <v>2</v>
      </c>
      <c r="G766" s="9">
        <v>0.3</v>
      </c>
      <c r="H766" s="9">
        <v>0.28789999999999999</v>
      </c>
      <c r="I766" s="9">
        <v>0.42</v>
      </c>
      <c r="J766" s="9">
        <v>0.22389999999999999</v>
      </c>
      <c r="K766" s="9">
        <v>8</v>
      </c>
      <c r="L766" s="9">
        <v>91</v>
      </c>
      <c r="M766" s="9">
        <v>99</v>
      </c>
    </row>
    <row r="767" spans="1:13">
      <c r="A767" s="9">
        <v>775</v>
      </c>
      <c r="B767" s="10">
        <v>40578</v>
      </c>
      <c r="C767" s="9">
        <v>17</v>
      </c>
      <c r="D767" s="9" t="b">
        <v>0</v>
      </c>
      <c r="E767" s="9" t="str">
        <f t="shared" si="11"/>
        <v>Weekday</v>
      </c>
      <c r="F767" s="9">
        <v>2</v>
      </c>
      <c r="G767" s="9">
        <v>0.26</v>
      </c>
      <c r="H767" s="9">
        <v>0.2727</v>
      </c>
      <c r="I767" s="9">
        <v>0.56000000000000005</v>
      </c>
      <c r="J767" s="9">
        <v>0.1343</v>
      </c>
      <c r="K767" s="9">
        <v>10</v>
      </c>
      <c r="L767" s="9">
        <v>195</v>
      </c>
      <c r="M767" s="9">
        <v>205</v>
      </c>
    </row>
    <row r="768" spans="1:13">
      <c r="A768" s="9">
        <v>776</v>
      </c>
      <c r="B768" s="10">
        <v>40578</v>
      </c>
      <c r="C768" s="9">
        <v>18</v>
      </c>
      <c r="D768" s="9" t="b">
        <v>0</v>
      </c>
      <c r="E768" s="9" t="str">
        <f t="shared" si="11"/>
        <v>Weekday</v>
      </c>
      <c r="F768" s="9">
        <v>2</v>
      </c>
      <c r="G768" s="9">
        <v>0.24</v>
      </c>
      <c r="H768" s="9">
        <v>0.2576</v>
      </c>
      <c r="I768" s="9">
        <v>0.6</v>
      </c>
      <c r="J768" s="9">
        <v>0.1045</v>
      </c>
      <c r="K768" s="9">
        <v>3</v>
      </c>
      <c r="L768" s="9">
        <v>152</v>
      </c>
      <c r="M768" s="9">
        <v>155</v>
      </c>
    </row>
    <row r="769" spans="1:13">
      <c r="A769" s="9">
        <v>777</v>
      </c>
      <c r="B769" s="10">
        <v>40578</v>
      </c>
      <c r="C769" s="9">
        <v>19</v>
      </c>
      <c r="D769" s="9" t="b">
        <v>0</v>
      </c>
      <c r="E769" s="9" t="str">
        <f t="shared" si="11"/>
        <v>Weekday</v>
      </c>
      <c r="F769" s="9">
        <v>2</v>
      </c>
      <c r="G769" s="9">
        <v>0.24</v>
      </c>
      <c r="H769" s="9">
        <v>0.2424</v>
      </c>
      <c r="I769" s="9">
        <v>0.65</v>
      </c>
      <c r="J769" s="9">
        <v>0.1343</v>
      </c>
      <c r="K769" s="9">
        <v>1</v>
      </c>
      <c r="L769" s="9">
        <v>102</v>
      </c>
      <c r="M769" s="9">
        <v>103</v>
      </c>
    </row>
    <row r="770" spans="1:13">
      <c r="A770" s="9">
        <v>778</v>
      </c>
      <c r="B770" s="10">
        <v>40578</v>
      </c>
      <c r="C770" s="9">
        <v>20</v>
      </c>
      <c r="D770" s="9" t="b">
        <v>0</v>
      </c>
      <c r="E770" s="9" t="str">
        <f t="shared" si="11"/>
        <v>Weekday</v>
      </c>
      <c r="F770" s="9">
        <v>2</v>
      </c>
      <c r="G770" s="9">
        <v>0.24</v>
      </c>
      <c r="H770" s="9">
        <v>0.2424</v>
      </c>
      <c r="I770" s="9">
        <v>0.65</v>
      </c>
      <c r="J770" s="9">
        <v>0.16420000000000001</v>
      </c>
      <c r="K770" s="9">
        <v>2</v>
      </c>
      <c r="L770" s="9">
        <v>69</v>
      </c>
      <c r="M770" s="9">
        <v>71</v>
      </c>
    </row>
    <row r="771" spans="1:13">
      <c r="A771" s="9">
        <v>779</v>
      </c>
      <c r="B771" s="10">
        <v>40578</v>
      </c>
      <c r="C771" s="9">
        <v>21</v>
      </c>
      <c r="D771" s="9" t="b">
        <v>0</v>
      </c>
      <c r="E771" s="9" t="str">
        <f t="shared" ref="E771:E834" si="12">IF(WEEKDAY(B771,2)&gt;=6,"Weekend","Weekday")</f>
        <v>Weekday</v>
      </c>
      <c r="F771" s="9">
        <v>2</v>
      </c>
      <c r="G771" s="9">
        <v>0.24</v>
      </c>
      <c r="H771" s="9">
        <v>0.2424</v>
      </c>
      <c r="I771" s="9">
        <v>0.7</v>
      </c>
      <c r="J771" s="9">
        <v>0.16420000000000001</v>
      </c>
      <c r="K771" s="9">
        <v>2</v>
      </c>
      <c r="L771" s="9">
        <v>41</v>
      </c>
      <c r="M771" s="9">
        <v>43</v>
      </c>
    </row>
    <row r="772" spans="1:13">
      <c r="A772" s="9">
        <v>780</v>
      </c>
      <c r="B772" s="10">
        <v>40578</v>
      </c>
      <c r="C772" s="9">
        <v>22</v>
      </c>
      <c r="D772" s="9" t="b">
        <v>0</v>
      </c>
      <c r="E772" s="9" t="str">
        <f t="shared" si="12"/>
        <v>Weekday</v>
      </c>
      <c r="F772" s="9">
        <v>2</v>
      </c>
      <c r="G772" s="9">
        <v>0.24</v>
      </c>
      <c r="H772" s="9">
        <v>0.2424</v>
      </c>
      <c r="I772" s="9">
        <v>0.65</v>
      </c>
      <c r="J772" s="9">
        <v>0.16420000000000001</v>
      </c>
      <c r="K772" s="9">
        <v>1</v>
      </c>
      <c r="L772" s="9">
        <v>45</v>
      </c>
      <c r="M772" s="9">
        <v>46</v>
      </c>
    </row>
    <row r="773" spans="1:13">
      <c r="A773" s="9">
        <v>781</v>
      </c>
      <c r="B773" s="10">
        <v>40578</v>
      </c>
      <c r="C773" s="9">
        <v>23</v>
      </c>
      <c r="D773" s="9" t="b">
        <v>0</v>
      </c>
      <c r="E773" s="9" t="str">
        <f t="shared" si="12"/>
        <v>Weekday</v>
      </c>
      <c r="F773" s="9">
        <v>2</v>
      </c>
      <c r="G773" s="9">
        <v>0.24</v>
      </c>
      <c r="H773" s="9">
        <v>0.2424</v>
      </c>
      <c r="I773" s="9">
        <v>0.7</v>
      </c>
      <c r="J773" s="9">
        <v>0.1343</v>
      </c>
      <c r="K773" s="9">
        <v>1</v>
      </c>
      <c r="L773" s="9">
        <v>30</v>
      </c>
      <c r="M773" s="9">
        <v>31</v>
      </c>
    </row>
    <row r="774" spans="1:13">
      <c r="A774" s="9">
        <v>782</v>
      </c>
      <c r="B774" s="10">
        <v>40579</v>
      </c>
      <c r="C774" s="9">
        <v>0</v>
      </c>
      <c r="D774" s="9" t="b">
        <v>0</v>
      </c>
      <c r="E774" s="9" t="str">
        <f t="shared" si="12"/>
        <v>Weekend</v>
      </c>
      <c r="F774" s="9">
        <v>2</v>
      </c>
      <c r="G774" s="9">
        <v>0.24</v>
      </c>
      <c r="H774" s="9">
        <v>0.2424</v>
      </c>
      <c r="I774" s="9">
        <v>0.7</v>
      </c>
      <c r="J774" s="9">
        <v>0.16420000000000001</v>
      </c>
      <c r="K774" s="9">
        <v>3</v>
      </c>
      <c r="L774" s="9">
        <v>36</v>
      </c>
      <c r="M774" s="9">
        <v>39</v>
      </c>
    </row>
    <row r="775" spans="1:13">
      <c r="A775" s="9">
        <v>783</v>
      </c>
      <c r="B775" s="10">
        <v>40579</v>
      </c>
      <c r="C775" s="9">
        <v>1</v>
      </c>
      <c r="D775" s="9" t="b">
        <v>0</v>
      </c>
      <c r="E775" s="9" t="str">
        <f t="shared" si="12"/>
        <v>Weekend</v>
      </c>
      <c r="F775" s="9">
        <v>2</v>
      </c>
      <c r="G775" s="9">
        <v>0.24</v>
      </c>
      <c r="H775" s="9">
        <v>0.2424</v>
      </c>
      <c r="I775" s="9">
        <v>0.65</v>
      </c>
      <c r="J775" s="9">
        <v>0.16420000000000001</v>
      </c>
      <c r="K775" s="9">
        <v>1</v>
      </c>
      <c r="L775" s="9">
        <v>17</v>
      </c>
      <c r="M775" s="9">
        <v>18</v>
      </c>
    </row>
    <row r="776" spans="1:13">
      <c r="A776" s="9">
        <v>784</v>
      </c>
      <c r="B776" s="10">
        <v>40579</v>
      </c>
      <c r="C776" s="9">
        <v>2</v>
      </c>
      <c r="D776" s="9" t="b">
        <v>0</v>
      </c>
      <c r="E776" s="9" t="str">
        <f t="shared" si="12"/>
        <v>Weekend</v>
      </c>
      <c r="F776" s="9">
        <v>2</v>
      </c>
      <c r="G776" s="9">
        <v>0.24</v>
      </c>
      <c r="H776" s="9">
        <v>0.2424</v>
      </c>
      <c r="I776" s="9">
        <v>0.75</v>
      </c>
      <c r="J776" s="9">
        <v>0.16420000000000001</v>
      </c>
      <c r="K776" s="9">
        <v>5</v>
      </c>
      <c r="L776" s="9">
        <v>12</v>
      </c>
      <c r="M776" s="9">
        <v>17</v>
      </c>
    </row>
    <row r="777" spans="1:13">
      <c r="A777" s="9">
        <v>785</v>
      </c>
      <c r="B777" s="10">
        <v>40579</v>
      </c>
      <c r="C777" s="9">
        <v>3</v>
      </c>
      <c r="D777" s="9" t="b">
        <v>0</v>
      </c>
      <c r="E777" s="9" t="str">
        <f t="shared" si="12"/>
        <v>Weekend</v>
      </c>
      <c r="F777" s="9">
        <v>2</v>
      </c>
      <c r="G777" s="9">
        <v>0.24</v>
      </c>
      <c r="H777" s="9">
        <v>0.2424</v>
      </c>
      <c r="I777" s="9">
        <v>0.75</v>
      </c>
      <c r="J777" s="9">
        <v>0.16420000000000001</v>
      </c>
      <c r="K777" s="9">
        <v>1</v>
      </c>
      <c r="L777" s="9">
        <v>10</v>
      </c>
      <c r="M777" s="9">
        <v>11</v>
      </c>
    </row>
    <row r="778" spans="1:13">
      <c r="A778" s="9">
        <v>786</v>
      </c>
      <c r="B778" s="10">
        <v>40579</v>
      </c>
      <c r="C778" s="9">
        <v>4</v>
      </c>
      <c r="D778" s="9" t="b">
        <v>0</v>
      </c>
      <c r="E778" s="9" t="str">
        <f t="shared" si="12"/>
        <v>Weekend</v>
      </c>
      <c r="F778" s="9">
        <v>3</v>
      </c>
      <c r="G778" s="9">
        <v>0.22</v>
      </c>
      <c r="H778" s="9">
        <v>0.2273</v>
      </c>
      <c r="I778" s="9">
        <v>0.93</v>
      </c>
      <c r="J778" s="9">
        <v>0.1343</v>
      </c>
      <c r="K778" s="9">
        <v>0</v>
      </c>
      <c r="L778" s="9">
        <v>8</v>
      </c>
      <c r="M778" s="9">
        <v>8</v>
      </c>
    </row>
    <row r="779" spans="1:13">
      <c r="A779" s="9">
        <v>787</v>
      </c>
      <c r="B779" s="10">
        <v>40579</v>
      </c>
      <c r="C779" s="9">
        <v>5</v>
      </c>
      <c r="D779" s="9" t="b">
        <v>0</v>
      </c>
      <c r="E779" s="9" t="str">
        <f t="shared" si="12"/>
        <v>Weekend</v>
      </c>
      <c r="F779" s="9">
        <v>3</v>
      </c>
      <c r="G779" s="9">
        <v>0.2</v>
      </c>
      <c r="H779" s="9">
        <v>0.2273</v>
      </c>
      <c r="I779" s="9">
        <v>1</v>
      </c>
      <c r="J779" s="9">
        <v>8.9599999999999999E-2</v>
      </c>
      <c r="K779" s="9">
        <v>0</v>
      </c>
      <c r="L779" s="9">
        <v>9</v>
      </c>
      <c r="M779" s="9">
        <v>9</v>
      </c>
    </row>
    <row r="780" spans="1:13">
      <c r="A780" s="9">
        <v>788</v>
      </c>
      <c r="B780" s="10">
        <v>40579</v>
      </c>
      <c r="C780" s="9">
        <v>6</v>
      </c>
      <c r="D780" s="9" t="b">
        <v>0</v>
      </c>
      <c r="E780" s="9" t="str">
        <f t="shared" si="12"/>
        <v>Weekend</v>
      </c>
      <c r="F780" s="9">
        <v>3</v>
      </c>
      <c r="G780" s="9">
        <v>0.2</v>
      </c>
      <c r="H780" s="9">
        <v>0.2576</v>
      </c>
      <c r="I780" s="9">
        <v>1</v>
      </c>
      <c r="J780" s="9">
        <v>0</v>
      </c>
      <c r="K780" s="9">
        <v>0</v>
      </c>
      <c r="L780" s="9">
        <v>4</v>
      </c>
      <c r="M780" s="9">
        <v>4</v>
      </c>
    </row>
    <row r="781" spans="1:13">
      <c r="A781" s="9">
        <v>789</v>
      </c>
      <c r="B781" s="10">
        <v>40579</v>
      </c>
      <c r="C781" s="9">
        <v>7</v>
      </c>
      <c r="D781" s="9" t="b">
        <v>0</v>
      </c>
      <c r="E781" s="9" t="str">
        <f t="shared" si="12"/>
        <v>Weekend</v>
      </c>
      <c r="F781" s="9">
        <v>3</v>
      </c>
      <c r="G781" s="9">
        <v>0.22</v>
      </c>
      <c r="H781" s="9">
        <v>0.2576</v>
      </c>
      <c r="I781" s="9">
        <v>0.93</v>
      </c>
      <c r="J781" s="9">
        <v>8.9599999999999999E-2</v>
      </c>
      <c r="K781" s="9">
        <v>0</v>
      </c>
      <c r="L781" s="9">
        <v>4</v>
      </c>
      <c r="M781" s="9">
        <v>4</v>
      </c>
    </row>
    <row r="782" spans="1:13">
      <c r="A782" s="9">
        <v>790</v>
      </c>
      <c r="B782" s="10">
        <v>40579</v>
      </c>
      <c r="C782" s="9">
        <v>8</v>
      </c>
      <c r="D782" s="9" t="b">
        <v>0</v>
      </c>
      <c r="E782" s="9" t="str">
        <f t="shared" si="12"/>
        <v>Weekend</v>
      </c>
      <c r="F782" s="9">
        <v>3</v>
      </c>
      <c r="G782" s="9">
        <v>0.2</v>
      </c>
      <c r="H782" s="9">
        <v>0.2273</v>
      </c>
      <c r="I782" s="9">
        <v>1</v>
      </c>
      <c r="J782" s="9">
        <v>8.9599999999999999E-2</v>
      </c>
      <c r="K782" s="9">
        <v>0</v>
      </c>
      <c r="L782" s="9">
        <v>10</v>
      </c>
      <c r="M782" s="9">
        <v>10</v>
      </c>
    </row>
    <row r="783" spans="1:13">
      <c r="A783" s="9">
        <v>791</v>
      </c>
      <c r="B783" s="10">
        <v>40579</v>
      </c>
      <c r="C783" s="9">
        <v>9</v>
      </c>
      <c r="D783" s="9" t="b">
        <v>0</v>
      </c>
      <c r="E783" s="9" t="str">
        <f t="shared" si="12"/>
        <v>Weekend</v>
      </c>
      <c r="F783" s="9">
        <v>3</v>
      </c>
      <c r="G783" s="9">
        <v>0.2</v>
      </c>
      <c r="H783" s="9">
        <v>0.2273</v>
      </c>
      <c r="I783" s="9">
        <v>1</v>
      </c>
      <c r="J783" s="9">
        <v>8.9599999999999999E-2</v>
      </c>
      <c r="K783" s="9">
        <v>3</v>
      </c>
      <c r="L783" s="9">
        <v>17</v>
      </c>
      <c r="M783" s="9">
        <v>20</v>
      </c>
    </row>
    <row r="784" spans="1:13">
      <c r="A784" s="9">
        <v>792</v>
      </c>
      <c r="B784" s="10">
        <v>40579</v>
      </c>
      <c r="C784" s="9">
        <v>10</v>
      </c>
      <c r="D784" s="9" t="b">
        <v>0</v>
      </c>
      <c r="E784" s="9" t="str">
        <f t="shared" si="12"/>
        <v>Weekend</v>
      </c>
      <c r="F784" s="9">
        <v>3</v>
      </c>
      <c r="G784" s="9">
        <v>0.2</v>
      </c>
      <c r="H784" s="9">
        <v>0.21210000000000001</v>
      </c>
      <c r="I784" s="9">
        <v>1</v>
      </c>
      <c r="J784" s="9">
        <v>0.1343</v>
      </c>
      <c r="K784" s="9">
        <v>3</v>
      </c>
      <c r="L784" s="9">
        <v>31</v>
      </c>
      <c r="M784" s="9">
        <v>34</v>
      </c>
    </row>
    <row r="785" spans="1:13">
      <c r="A785" s="9">
        <v>793</v>
      </c>
      <c r="B785" s="10">
        <v>40579</v>
      </c>
      <c r="C785" s="9">
        <v>11</v>
      </c>
      <c r="D785" s="9" t="b">
        <v>0</v>
      </c>
      <c r="E785" s="9" t="str">
        <f t="shared" si="12"/>
        <v>Weekend</v>
      </c>
      <c r="F785" s="9">
        <v>3</v>
      </c>
      <c r="G785" s="9">
        <v>0.22</v>
      </c>
      <c r="H785" s="9">
        <v>0.2273</v>
      </c>
      <c r="I785" s="9">
        <v>1</v>
      </c>
      <c r="J785" s="9">
        <v>0.1343</v>
      </c>
      <c r="K785" s="9">
        <v>1</v>
      </c>
      <c r="L785" s="9">
        <v>46</v>
      </c>
      <c r="M785" s="9">
        <v>47</v>
      </c>
    </row>
    <row r="786" spans="1:13">
      <c r="A786" s="9">
        <v>794</v>
      </c>
      <c r="B786" s="10">
        <v>40579</v>
      </c>
      <c r="C786" s="9">
        <v>12</v>
      </c>
      <c r="D786" s="9" t="b">
        <v>0</v>
      </c>
      <c r="E786" s="9" t="str">
        <f t="shared" si="12"/>
        <v>Weekend</v>
      </c>
      <c r="F786" s="9">
        <v>3</v>
      </c>
      <c r="G786" s="9">
        <v>0.22</v>
      </c>
      <c r="H786" s="9">
        <v>0.2273</v>
      </c>
      <c r="I786" s="9">
        <v>1</v>
      </c>
      <c r="J786" s="9">
        <v>0.16420000000000001</v>
      </c>
      <c r="K786" s="9">
        <v>10</v>
      </c>
      <c r="L786" s="9">
        <v>42</v>
      </c>
      <c r="M786" s="9">
        <v>52</v>
      </c>
    </row>
    <row r="787" spans="1:13">
      <c r="A787" s="9">
        <v>795</v>
      </c>
      <c r="B787" s="10">
        <v>40579</v>
      </c>
      <c r="C787" s="9">
        <v>13</v>
      </c>
      <c r="D787" s="9" t="b">
        <v>0</v>
      </c>
      <c r="E787" s="9" t="str">
        <f t="shared" si="12"/>
        <v>Weekend</v>
      </c>
      <c r="F787" s="9">
        <v>3</v>
      </c>
      <c r="G787" s="9">
        <v>0.22</v>
      </c>
      <c r="H787" s="9">
        <v>0.2273</v>
      </c>
      <c r="I787" s="9">
        <v>1</v>
      </c>
      <c r="J787" s="9">
        <v>0.16420000000000001</v>
      </c>
      <c r="K787" s="9">
        <v>10</v>
      </c>
      <c r="L787" s="9">
        <v>62</v>
      </c>
      <c r="M787" s="9">
        <v>72</v>
      </c>
    </row>
    <row r="788" spans="1:13">
      <c r="A788" s="9">
        <v>796</v>
      </c>
      <c r="B788" s="10">
        <v>40579</v>
      </c>
      <c r="C788" s="9">
        <v>14</v>
      </c>
      <c r="D788" s="9" t="b">
        <v>0</v>
      </c>
      <c r="E788" s="9" t="str">
        <f t="shared" si="12"/>
        <v>Weekend</v>
      </c>
      <c r="F788" s="9">
        <v>3</v>
      </c>
      <c r="G788" s="9">
        <v>0.22</v>
      </c>
      <c r="H788" s="9">
        <v>0.2727</v>
      </c>
      <c r="I788" s="9">
        <v>1</v>
      </c>
      <c r="J788" s="9">
        <v>0</v>
      </c>
      <c r="K788" s="9">
        <v>5</v>
      </c>
      <c r="L788" s="9">
        <v>50</v>
      </c>
      <c r="M788" s="9">
        <v>55</v>
      </c>
    </row>
    <row r="789" spans="1:13">
      <c r="A789" s="9">
        <v>797</v>
      </c>
      <c r="B789" s="10">
        <v>40579</v>
      </c>
      <c r="C789" s="9">
        <v>15</v>
      </c>
      <c r="D789" s="9" t="b">
        <v>0</v>
      </c>
      <c r="E789" s="9" t="str">
        <f t="shared" si="12"/>
        <v>Weekend</v>
      </c>
      <c r="F789" s="9">
        <v>3</v>
      </c>
      <c r="G789" s="9">
        <v>0.22</v>
      </c>
      <c r="H789" s="9">
        <v>0.2727</v>
      </c>
      <c r="I789" s="9">
        <v>1</v>
      </c>
      <c r="J789" s="9">
        <v>0</v>
      </c>
      <c r="K789" s="9">
        <v>11</v>
      </c>
      <c r="L789" s="9">
        <v>49</v>
      </c>
      <c r="M789" s="9">
        <v>60</v>
      </c>
    </row>
    <row r="790" spans="1:13">
      <c r="A790" s="9">
        <v>798</v>
      </c>
      <c r="B790" s="10">
        <v>40579</v>
      </c>
      <c r="C790" s="9">
        <v>16</v>
      </c>
      <c r="D790" s="9" t="b">
        <v>0</v>
      </c>
      <c r="E790" s="9" t="str">
        <f t="shared" si="12"/>
        <v>Weekend</v>
      </c>
      <c r="F790" s="9">
        <v>3</v>
      </c>
      <c r="G790" s="9">
        <v>0.22</v>
      </c>
      <c r="H790" s="9">
        <v>0.2273</v>
      </c>
      <c r="I790" s="9">
        <v>1</v>
      </c>
      <c r="J790" s="9">
        <v>0.1343</v>
      </c>
      <c r="K790" s="9">
        <v>8</v>
      </c>
      <c r="L790" s="9">
        <v>63</v>
      </c>
      <c r="M790" s="9">
        <v>71</v>
      </c>
    </row>
    <row r="791" spans="1:13">
      <c r="A791" s="9">
        <v>799</v>
      </c>
      <c r="B791" s="10">
        <v>40579</v>
      </c>
      <c r="C791" s="9">
        <v>17</v>
      </c>
      <c r="D791" s="9" t="b">
        <v>0</v>
      </c>
      <c r="E791" s="9" t="str">
        <f t="shared" si="12"/>
        <v>Weekend</v>
      </c>
      <c r="F791" s="9">
        <v>2</v>
      </c>
      <c r="G791" s="9">
        <v>0.24</v>
      </c>
      <c r="H791" s="9">
        <v>0.21210000000000001</v>
      </c>
      <c r="I791" s="9">
        <v>1</v>
      </c>
      <c r="J791" s="9">
        <v>0.28360000000000002</v>
      </c>
      <c r="K791" s="9">
        <v>14</v>
      </c>
      <c r="L791" s="9">
        <v>64</v>
      </c>
      <c r="M791" s="9">
        <v>78</v>
      </c>
    </row>
    <row r="792" spans="1:13">
      <c r="A792" s="9">
        <v>800</v>
      </c>
      <c r="B792" s="10">
        <v>40579</v>
      </c>
      <c r="C792" s="9">
        <v>18</v>
      </c>
      <c r="D792" s="9" t="b">
        <v>0</v>
      </c>
      <c r="E792" s="9" t="str">
        <f t="shared" si="12"/>
        <v>Weekend</v>
      </c>
      <c r="F792" s="9">
        <v>2</v>
      </c>
      <c r="G792" s="9">
        <v>0.28000000000000003</v>
      </c>
      <c r="H792" s="9">
        <v>0.2424</v>
      </c>
      <c r="I792" s="9">
        <v>0.93</v>
      </c>
      <c r="J792" s="9">
        <v>0.44779999999999998</v>
      </c>
      <c r="K792" s="9">
        <v>2</v>
      </c>
      <c r="L792" s="9">
        <v>81</v>
      </c>
      <c r="M792" s="9">
        <v>83</v>
      </c>
    </row>
    <row r="793" spans="1:13">
      <c r="A793" s="9">
        <v>801</v>
      </c>
      <c r="B793" s="10">
        <v>40579</v>
      </c>
      <c r="C793" s="9">
        <v>19</v>
      </c>
      <c r="D793" s="9" t="b">
        <v>0</v>
      </c>
      <c r="E793" s="9" t="str">
        <f t="shared" si="12"/>
        <v>Weekend</v>
      </c>
      <c r="F793" s="9">
        <v>2</v>
      </c>
      <c r="G793" s="9">
        <v>0.28000000000000003</v>
      </c>
      <c r="H793" s="9">
        <v>0.2424</v>
      </c>
      <c r="I793" s="9">
        <v>0.93</v>
      </c>
      <c r="J793" s="9">
        <v>0.44779999999999998</v>
      </c>
      <c r="K793" s="9">
        <v>6</v>
      </c>
      <c r="L793" s="9">
        <v>78</v>
      </c>
      <c r="M793" s="9">
        <v>84</v>
      </c>
    </row>
    <row r="794" spans="1:13">
      <c r="A794" s="9">
        <v>802</v>
      </c>
      <c r="B794" s="10">
        <v>40579</v>
      </c>
      <c r="C794" s="9">
        <v>20</v>
      </c>
      <c r="D794" s="9" t="b">
        <v>0</v>
      </c>
      <c r="E794" s="9" t="str">
        <f t="shared" si="12"/>
        <v>Weekend</v>
      </c>
      <c r="F794" s="9">
        <v>1</v>
      </c>
      <c r="G794" s="9">
        <v>0.3</v>
      </c>
      <c r="H794" s="9">
        <v>0.28789999999999999</v>
      </c>
      <c r="I794" s="9">
        <v>0.87</v>
      </c>
      <c r="J794" s="9">
        <v>0.25369999999999998</v>
      </c>
      <c r="K794" s="9">
        <v>5</v>
      </c>
      <c r="L794" s="9">
        <v>64</v>
      </c>
      <c r="M794" s="9">
        <v>69</v>
      </c>
    </row>
    <row r="795" spans="1:13">
      <c r="A795" s="9">
        <v>803</v>
      </c>
      <c r="B795" s="10">
        <v>40579</v>
      </c>
      <c r="C795" s="9">
        <v>21</v>
      </c>
      <c r="D795" s="9" t="b">
        <v>0</v>
      </c>
      <c r="E795" s="9" t="str">
        <f t="shared" si="12"/>
        <v>Weekend</v>
      </c>
      <c r="F795" s="9">
        <v>1</v>
      </c>
      <c r="G795" s="9">
        <v>0.26</v>
      </c>
      <c r="H795" s="9">
        <v>0.2576</v>
      </c>
      <c r="I795" s="9">
        <v>1</v>
      </c>
      <c r="J795" s="9">
        <v>0.19400000000000001</v>
      </c>
      <c r="K795" s="9">
        <v>3</v>
      </c>
      <c r="L795" s="9">
        <v>53</v>
      </c>
      <c r="M795" s="9">
        <v>56</v>
      </c>
    </row>
    <row r="796" spans="1:13">
      <c r="A796" s="9">
        <v>804</v>
      </c>
      <c r="B796" s="10">
        <v>40579</v>
      </c>
      <c r="C796" s="9">
        <v>22</v>
      </c>
      <c r="D796" s="9" t="b">
        <v>0</v>
      </c>
      <c r="E796" s="9" t="str">
        <f t="shared" si="12"/>
        <v>Weekend</v>
      </c>
      <c r="F796" s="9">
        <v>1</v>
      </c>
      <c r="G796" s="9">
        <v>0.26</v>
      </c>
      <c r="H796" s="9">
        <v>0.2727</v>
      </c>
      <c r="I796" s="9">
        <v>0.93</v>
      </c>
      <c r="J796" s="9">
        <v>0.1343</v>
      </c>
      <c r="K796" s="9">
        <v>2</v>
      </c>
      <c r="L796" s="9">
        <v>43</v>
      </c>
      <c r="M796" s="9">
        <v>45</v>
      </c>
    </row>
    <row r="797" spans="1:13">
      <c r="A797" s="9">
        <v>805</v>
      </c>
      <c r="B797" s="10">
        <v>40579</v>
      </c>
      <c r="C797" s="9">
        <v>23</v>
      </c>
      <c r="D797" s="9" t="b">
        <v>0</v>
      </c>
      <c r="E797" s="9" t="str">
        <f t="shared" si="12"/>
        <v>Weekend</v>
      </c>
      <c r="F797" s="9">
        <v>1</v>
      </c>
      <c r="G797" s="9">
        <v>0.26</v>
      </c>
      <c r="H797" s="9">
        <v>0.2576</v>
      </c>
      <c r="I797" s="9">
        <v>0.93</v>
      </c>
      <c r="J797" s="9">
        <v>0.22389999999999999</v>
      </c>
      <c r="K797" s="9">
        <v>7</v>
      </c>
      <c r="L797" s="9">
        <v>52</v>
      </c>
      <c r="M797" s="9">
        <v>59</v>
      </c>
    </row>
    <row r="798" spans="1:13">
      <c r="A798" s="9">
        <v>806</v>
      </c>
      <c r="B798" s="10">
        <v>40580</v>
      </c>
      <c r="C798" s="9">
        <v>0</v>
      </c>
      <c r="D798" s="9" t="b">
        <v>0</v>
      </c>
      <c r="E798" s="9" t="str">
        <f t="shared" si="12"/>
        <v>Weekend</v>
      </c>
      <c r="F798" s="9">
        <v>1</v>
      </c>
      <c r="G798" s="9">
        <v>0.26</v>
      </c>
      <c r="H798" s="9">
        <v>0.2576</v>
      </c>
      <c r="I798" s="9">
        <v>0.7</v>
      </c>
      <c r="J798" s="9">
        <v>0.19400000000000001</v>
      </c>
      <c r="K798" s="9">
        <v>2</v>
      </c>
      <c r="L798" s="9">
        <v>37</v>
      </c>
      <c r="M798" s="9">
        <v>39</v>
      </c>
    </row>
    <row r="799" spans="1:13">
      <c r="A799" s="9">
        <v>807</v>
      </c>
      <c r="B799" s="10">
        <v>40580</v>
      </c>
      <c r="C799" s="9">
        <v>1</v>
      </c>
      <c r="D799" s="9" t="b">
        <v>0</v>
      </c>
      <c r="E799" s="9" t="str">
        <f t="shared" si="12"/>
        <v>Weekend</v>
      </c>
      <c r="F799" s="9">
        <v>1</v>
      </c>
      <c r="G799" s="9">
        <v>0.26</v>
      </c>
      <c r="H799" s="9">
        <v>0.2273</v>
      </c>
      <c r="I799" s="9">
        <v>0.65</v>
      </c>
      <c r="J799" s="9">
        <v>0.41789999999999999</v>
      </c>
      <c r="K799" s="9">
        <v>4</v>
      </c>
      <c r="L799" s="9">
        <v>40</v>
      </c>
      <c r="M799" s="9">
        <v>44</v>
      </c>
    </row>
    <row r="800" spans="1:13">
      <c r="A800" s="9">
        <v>808</v>
      </c>
      <c r="B800" s="10">
        <v>40580</v>
      </c>
      <c r="C800" s="9">
        <v>2</v>
      </c>
      <c r="D800" s="9" t="b">
        <v>0</v>
      </c>
      <c r="E800" s="9" t="str">
        <f t="shared" si="12"/>
        <v>Weekend</v>
      </c>
      <c r="F800" s="9">
        <v>1</v>
      </c>
      <c r="G800" s="9">
        <v>0.26</v>
      </c>
      <c r="H800" s="9">
        <v>0.2273</v>
      </c>
      <c r="I800" s="9">
        <v>0.6</v>
      </c>
      <c r="J800" s="9">
        <v>0.32840000000000003</v>
      </c>
      <c r="K800" s="9">
        <v>0</v>
      </c>
      <c r="L800" s="9">
        <v>20</v>
      </c>
      <c r="M800" s="9">
        <v>20</v>
      </c>
    </row>
    <row r="801" spans="1:13">
      <c r="A801" s="9">
        <v>809</v>
      </c>
      <c r="B801" s="10">
        <v>40580</v>
      </c>
      <c r="C801" s="9">
        <v>3</v>
      </c>
      <c r="D801" s="9" t="b">
        <v>0</v>
      </c>
      <c r="E801" s="9" t="str">
        <f t="shared" si="12"/>
        <v>Weekend</v>
      </c>
      <c r="F801" s="9">
        <v>1</v>
      </c>
      <c r="G801" s="9">
        <v>0.26</v>
      </c>
      <c r="H801" s="9">
        <v>0.28789999999999999</v>
      </c>
      <c r="I801" s="9">
        <v>0.6</v>
      </c>
      <c r="J801" s="9">
        <v>8.9599999999999999E-2</v>
      </c>
      <c r="K801" s="9">
        <v>3</v>
      </c>
      <c r="L801" s="9">
        <v>10</v>
      </c>
      <c r="M801" s="9">
        <v>13</v>
      </c>
    </row>
    <row r="802" spans="1:13">
      <c r="A802" s="9">
        <v>810</v>
      </c>
      <c r="B802" s="10">
        <v>40580</v>
      </c>
      <c r="C802" s="9">
        <v>4</v>
      </c>
      <c r="D802" s="9" t="b">
        <v>0</v>
      </c>
      <c r="E802" s="9" t="str">
        <f t="shared" si="12"/>
        <v>Weekend</v>
      </c>
      <c r="F802" s="9">
        <v>1</v>
      </c>
      <c r="G802" s="9">
        <v>0.26</v>
      </c>
      <c r="H802" s="9">
        <v>0.2273</v>
      </c>
      <c r="I802" s="9">
        <v>0.6</v>
      </c>
      <c r="J802" s="9">
        <v>0.35820000000000002</v>
      </c>
      <c r="K802" s="9">
        <v>0</v>
      </c>
      <c r="L802" s="9">
        <v>2</v>
      </c>
      <c r="M802" s="9">
        <v>2</v>
      </c>
    </row>
    <row r="803" spans="1:13">
      <c r="A803" s="9">
        <v>811</v>
      </c>
      <c r="B803" s="10">
        <v>40580</v>
      </c>
      <c r="C803" s="9">
        <v>5</v>
      </c>
      <c r="D803" s="9" t="b">
        <v>0</v>
      </c>
      <c r="E803" s="9" t="str">
        <f t="shared" si="12"/>
        <v>Weekend</v>
      </c>
      <c r="F803" s="9">
        <v>1</v>
      </c>
      <c r="G803" s="9">
        <v>0.26</v>
      </c>
      <c r="H803" s="9">
        <v>0.2576</v>
      </c>
      <c r="I803" s="9">
        <v>0.6</v>
      </c>
      <c r="J803" s="9">
        <v>0.22389999999999999</v>
      </c>
      <c r="K803" s="9">
        <v>0</v>
      </c>
      <c r="L803" s="9">
        <v>1</v>
      </c>
      <c r="M803" s="9">
        <v>1</v>
      </c>
    </row>
    <row r="804" spans="1:13">
      <c r="A804" s="9">
        <v>812</v>
      </c>
      <c r="B804" s="10">
        <v>40580</v>
      </c>
      <c r="C804" s="9">
        <v>6</v>
      </c>
      <c r="D804" s="9" t="b">
        <v>0</v>
      </c>
      <c r="E804" s="9" t="str">
        <f t="shared" si="12"/>
        <v>Weekend</v>
      </c>
      <c r="F804" s="9">
        <v>1</v>
      </c>
      <c r="G804" s="9">
        <v>0.26</v>
      </c>
      <c r="H804" s="9">
        <v>0.2576</v>
      </c>
      <c r="I804" s="9">
        <v>0.6</v>
      </c>
      <c r="J804" s="9">
        <v>0.22389999999999999</v>
      </c>
      <c r="K804" s="9">
        <v>0</v>
      </c>
      <c r="L804" s="9">
        <v>1</v>
      </c>
      <c r="M804" s="9">
        <v>1</v>
      </c>
    </row>
    <row r="805" spans="1:13">
      <c r="A805" s="9">
        <v>813</v>
      </c>
      <c r="B805" s="10">
        <v>40580</v>
      </c>
      <c r="C805" s="9">
        <v>7</v>
      </c>
      <c r="D805" s="9" t="b">
        <v>0</v>
      </c>
      <c r="E805" s="9" t="str">
        <f t="shared" si="12"/>
        <v>Weekend</v>
      </c>
      <c r="F805" s="9">
        <v>1</v>
      </c>
      <c r="G805" s="9">
        <v>0.24</v>
      </c>
      <c r="H805" s="9">
        <v>0.2424</v>
      </c>
      <c r="I805" s="9">
        <v>0.65</v>
      </c>
      <c r="J805" s="9">
        <v>0.16420000000000001</v>
      </c>
      <c r="K805" s="9">
        <v>0</v>
      </c>
      <c r="L805" s="9">
        <v>8</v>
      </c>
      <c r="M805" s="9">
        <v>8</v>
      </c>
    </row>
    <row r="806" spans="1:13">
      <c r="A806" s="9">
        <v>814</v>
      </c>
      <c r="B806" s="10">
        <v>40580</v>
      </c>
      <c r="C806" s="9">
        <v>8</v>
      </c>
      <c r="D806" s="9" t="b">
        <v>0</v>
      </c>
      <c r="E806" s="9" t="str">
        <f t="shared" si="12"/>
        <v>Weekend</v>
      </c>
      <c r="F806" s="9">
        <v>1</v>
      </c>
      <c r="G806" s="9">
        <v>0.24</v>
      </c>
      <c r="H806" s="9">
        <v>0.2576</v>
      </c>
      <c r="I806" s="9">
        <v>0.65</v>
      </c>
      <c r="J806" s="9">
        <v>0.1045</v>
      </c>
      <c r="K806" s="9">
        <v>2</v>
      </c>
      <c r="L806" s="9">
        <v>21</v>
      </c>
      <c r="M806" s="9">
        <v>23</v>
      </c>
    </row>
    <row r="807" spans="1:13">
      <c r="A807" s="9">
        <v>815</v>
      </c>
      <c r="B807" s="10">
        <v>40580</v>
      </c>
      <c r="C807" s="9">
        <v>9</v>
      </c>
      <c r="D807" s="9" t="b">
        <v>0</v>
      </c>
      <c r="E807" s="9" t="str">
        <f t="shared" si="12"/>
        <v>Weekend</v>
      </c>
      <c r="F807" s="9">
        <v>1</v>
      </c>
      <c r="G807" s="9">
        <v>0.28000000000000003</v>
      </c>
      <c r="H807" s="9">
        <v>0.28789999999999999</v>
      </c>
      <c r="I807" s="9">
        <v>0.56000000000000005</v>
      </c>
      <c r="J807" s="9">
        <v>0.1045</v>
      </c>
      <c r="K807" s="9">
        <v>7</v>
      </c>
      <c r="L807" s="9">
        <v>38</v>
      </c>
      <c r="M807" s="9">
        <v>45</v>
      </c>
    </row>
    <row r="808" spans="1:13">
      <c r="A808" s="9">
        <v>816</v>
      </c>
      <c r="B808" s="10">
        <v>40580</v>
      </c>
      <c r="C808" s="9">
        <v>10</v>
      </c>
      <c r="D808" s="9" t="b">
        <v>0</v>
      </c>
      <c r="E808" s="9" t="str">
        <f t="shared" si="12"/>
        <v>Weekend</v>
      </c>
      <c r="F808" s="9">
        <v>1</v>
      </c>
      <c r="G808" s="9">
        <v>0.3</v>
      </c>
      <c r="H808" s="9">
        <v>0.28789999999999999</v>
      </c>
      <c r="I808" s="9">
        <v>0.52</v>
      </c>
      <c r="J808" s="9">
        <v>0.25369999999999998</v>
      </c>
      <c r="K808" s="9">
        <v>15</v>
      </c>
      <c r="L808" s="9">
        <v>74</v>
      </c>
      <c r="M808" s="9">
        <v>89</v>
      </c>
    </row>
    <row r="809" spans="1:13">
      <c r="A809" s="9">
        <v>817</v>
      </c>
      <c r="B809" s="10">
        <v>40580</v>
      </c>
      <c r="C809" s="9">
        <v>11</v>
      </c>
      <c r="D809" s="9" t="b">
        <v>0</v>
      </c>
      <c r="E809" s="9" t="str">
        <f t="shared" si="12"/>
        <v>Weekend</v>
      </c>
      <c r="F809" s="9">
        <v>1</v>
      </c>
      <c r="G809" s="9">
        <v>0.32</v>
      </c>
      <c r="H809" s="9">
        <v>0.30299999999999999</v>
      </c>
      <c r="I809" s="9">
        <v>0.49</v>
      </c>
      <c r="J809" s="9">
        <v>0.25369999999999998</v>
      </c>
      <c r="K809" s="9">
        <v>28</v>
      </c>
      <c r="L809" s="9">
        <v>89</v>
      </c>
      <c r="M809" s="9">
        <v>117</v>
      </c>
    </row>
    <row r="810" spans="1:13">
      <c r="A810" s="9">
        <v>818</v>
      </c>
      <c r="B810" s="10">
        <v>40580</v>
      </c>
      <c r="C810" s="9">
        <v>12</v>
      </c>
      <c r="D810" s="9" t="b">
        <v>0</v>
      </c>
      <c r="E810" s="9" t="str">
        <f t="shared" si="12"/>
        <v>Weekend</v>
      </c>
      <c r="F810" s="9">
        <v>1</v>
      </c>
      <c r="G810" s="9">
        <v>0.34</v>
      </c>
      <c r="H810" s="9">
        <v>0.33329999999999999</v>
      </c>
      <c r="I810" s="9">
        <v>0.46</v>
      </c>
      <c r="J810" s="9">
        <v>0</v>
      </c>
      <c r="K810" s="9">
        <v>48</v>
      </c>
      <c r="L810" s="9">
        <v>126</v>
      </c>
      <c r="M810" s="9">
        <v>174</v>
      </c>
    </row>
    <row r="811" spans="1:13">
      <c r="A811" s="9">
        <v>819</v>
      </c>
      <c r="B811" s="10">
        <v>40580</v>
      </c>
      <c r="C811" s="9">
        <v>13</v>
      </c>
      <c r="D811" s="9" t="b">
        <v>0</v>
      </c>
      <c r="E811" s="9" t="str">
        <f t="shared" si="12"/>
        <v>Weekend</v>
      </c>
      <c r="F811" s="9">
        <v>1</v>
      </c>
      <c r="G811" s="9">
        <v>0.34</v>
      </c>
      <c r="H811" s="9">
        <v>0.36359999999999998</v>
      </c>
      <c r="I811" s="9">
        <v>0.46</v>
      </c>
      <c r="J811" s="9">
        <v>0</v>
      </c>
      <c r="K811" s="9">
        <v>47</v>
      </c>
      <c r="L811" s="9">
        <v>135</v>
      </c>
      <c r="M811" s="9">
        <v>182</v>
      </c>
    </row>
    <row r="812" spans="1:13">
      <c r="A812" s="9">
        <v>820</v>
      </c>
      <c r="B812" s="10">
        <v>40580</v>
      </c>
      <c r="C812" s="9">
        <v>14</v>
      </c>
      <c r="D812" s="9" t="b">
        <v>0</v>
      </c>
      <c r="E812" s="9" t="str">
        <f t="shared" si="12"/>
        <v>Weekend</v>
      </c>
      <c r="F812" s="9">
        <v>1</v>
      </c>
      <c r="G812" s="9">
        <v>0.34</v>
      </c>
      <c r="H812" s="9">
        <v>0.34849999999999998</v>
      </c>
      <c r="I812" s="9">
        <v>0.46</v>
      </c>
      <c r="J812" s="9">
        <v>8.9599999999999999E-2</v>
      </c>
      <c r="K812" s="9">
        <v>47</v>
      </c>
      <c r="L812" s="9">
        <v>114</v>
      </c>
      <c r="M812" s="9">
        <v>161</v>
      </c>
    </row>
    <row r="813" spans="1:13">
      <c r="A813" s="9">
        <v>821</v>
      </c>
      <c r="B813" s="10">
        <v>40580</v>
      </c>
      <c r="C813" s="9">
        <v>15</v>
      </c>
      <c r="D813" s="9" t="b">
        <v>0</v>
      </c>
      <c r="E813" s="9" t="str">
        <f t="shared" si="12"/>
        <v>Weekend</v>
      </c>
      <c r="F813" s="9">
        <v>1</v>
      </c>
      <c r="G813" s="9">
        <v>0.34</v>
      </c>
      <c r="H813" s="9">
        <v>0.34849999999999998</v>
      </c>
      <c r="I813" s="9">
        <v>0.46</v>
      </c>
      <c r="J813" s="9">
        <v>8.9599999999999999E-2</v>
      </c>
      <c r="K813" s="9">
        <v>52</v>
      </c>
      <c r="L813" s="9">
        <v>130</v>
      </c>
      <c r="M813" s="9">
        <v>182</v>
      </c>
    </row>
    <row r="814" spans="1:13">
      <c r="A814" s="9">
        <v>822</v>
      </c>
      <c r="B814" s="10">
        <v>40580</v>
      </c>
      <c r="C814" s="9">
        <v>16</v>
      </c>
      <c r="D814" s="9" t="b">
        <v>0</v>
      </c>
      <c r="E814" s="9" t="str">
        <f t="shared" si="12"/>
        <v>Weekend</v>
      </c>
      <c r="F814" s="9">
        <v>1</v>
      </c>
      <c r="G814" s="9">
        <v>0.34</v>
      </c>
      <c r="H814" s="9">
        <v>0.34849999999999998</v>
      </c>
      <c r="I814" s="9">
        <v>0.49</v>
      </c>
      <c r="J814" s="9">
        <v>0.1045</v>
      </c>
      <c r="K814" s="9">
        <v>42</v>
      </c>
      <c r="L814" s="9">
        <v>115</v>
      </c>
      <c r="M814" s="9">
        <v>157</v>
      </c>
    </row>
    <row r="815" spans="1:13">
      <c r="A815" s="9">
        <v>823</v>
      </c>
      <c r="B815" s="10">
        <v>40580</v>
      </c>
      <c r="C815" s="9">
        <v>17</v>
      </c>
      <c r="D815" s="9" t="b">
        <v>0</v>
      </c>
      <c r="E815" s="9" t="str">
        <f t="shared" si="12"/>
        <v>Weekend</v>
      </c>
      <c r="F815" s="9">
        <v>1</v>
      </c>
      <c r="G815" s="9">
        <v>0.34</v>
      </c>
      <c r="H815" s="9">
        <v>0.36359999999999998</v>
      </c>
      <c r="I815" s="9">
        <v>0.46</v>
      </c>
      <c r="J815" s="9">
        <v>0</v>
      </c>
      <c r="K815" s="9">
        <v>24</v>
      </c>
      <c r="L815" s="9">
        <v>97</v>
      </c>
      <c r="M815" s="9">
        <v>121</v>
      </c>
    </row>
    <row r="816" spans="1:13">
      <c r="A816" s="9">
        <v>824</v>
      </c>
      <c r="B816" s="10">
        <v>40580</v>
      </c>
      <c r="C816" s="9">
        <v>18</v>
      </c>
      <c r="D816" s="9" t="b">
        <v>0</v>
      </c>
      <c r="E816" s="9" t="str">
        <f t="shared" si="12"/>
        <v>Weekend</v>
      </c>
      <c r="F816" s="9">
        <v>1</v>
      </c>
      <c r="G816" s="9">
        <v>0.3</v>
      </c>
      <c r="H816" s="9">
        <v>0.30299999999999999</v>
      </c>
      <c r="I816" s="9">
        <v>0.56000000000000005</v>
      </c>
      <c r="J816" s="9">
        <v>0.16420000000000001</v>
      </c>
      <c r="K816" s="9">
        <v>13</v>
      </c>
      <c r="L816" s="9">
        <v>65</v>
      </c>
      <c r="M816" s="9">
        <v>78</v>
      </c>
    </row>
    <row r="817" spans="1:13">
      <c r="A817" s="9">
        <v>825</v>
      </c>
      <c r="B817" s="10">
        <v>40580</v>
      </c>
      <c r="C817" s="9">
        <v>19</v>
      </c>
      <c r="D817" s="9" t="b">
        <v>0</v>
      </c>
      <c r="E817" s="9" t="str">
        <f t="shared" si="12"/>
        <v>Weekend</v>
      </c>
      <c r="F817" s="9">
        <v>1</v>
      </c>
      <c r="G817" s="9">
        <v>0.28000000000000003</v>
      </c>
      <c r="H817" s="9">
        <v>0.28789999999999999</v>
      </c>
      <c r="I817" s="9">
        <v>0.61</v>
      </c>
      <c r="J817" s="9">
        <v>0.1343</v>
      </c>
      <c r="K817" s="9">
        <v>1</v>
      </c>
      <c r="L817" s="9">
        <v>20</v>
      </c>
      <c r="M817" s="9">
        <v>21</v>
      </c>
    </row>
    <row r="818" spans="1:13">
      <c r="A818" s="9">
        <v>826</v>
      </c>
      <c r="B818" s="10">
        <v>40580</v>
      </c>
      <c r="C818" s="9">
        <v>20</v>
      </c>
      <c r="D818" s="9" t="b">
        <v>0</v>
      </c>
      <c r="E818" s="9" t="str">
        <f t="shared" si="12"/>
        <v>Weekend</v>
      </c>
      <c r="F818" s="9">
        <v>1</v>
      </c>
      <c r="G818" s="9">
        <v>0.28000000000000003</v>
      </c>
      <c r="H818" s="9">
        <v>0.28789999999999999</v>
      </c>
      <c r="I818" s="9">
        <v>0.61</v>
      </c>
      <c r="J818" s="9">
        <v>0.1045</v>
      </c>
      <c r="K818" s="9">
        <v>5</v>
      </c>
      <c r="L818" s="9">
        <v>21</v>
      </c>
      <c r="M818" s="9">
        <v>26</v>
      </c>
    </row>
    <row r="819" spans="1:13">
      <c r="A819" s="9">
        <v>827</v>
      </c>
      <c r="B819" s="10">
        <v>40580</v>
      </c>
      <c r="C819" s="9">
        <v>21</v>
      </c>
      <c r="D819" s="9" t="b">
        <v>0</v>
      </c>
      <c r="E819" s="9" t="str">
        <f t="shared" si="12"/>
        <v>Weekend</v>
      </c>
      <c r="F819" s="9">
        <v>1</v>
      </c>
      <c r="G819" s="9">
        <v>0.26</v>
      </c>
      <c r="H819" s="9">
        <v>0.30299999999999999</v>
      </c>
      <c r="I819" s="9">
        <v>0.6</v>
      </c>
      <c r="J819" s="9">
        <v>0</v>
      </c>
      <c r="K819" s="9">
        <v>5</v>
      </c>
      <c r="L819" s="9">
        <v>22</v>
      </c>
      <c r="M819" s="9">
        <v>27</v>
      </c>
    </row>
    <row r="820" spans="1:13">
      <c r="A820" s="9">
        <v>828</v>
      </c>
      <c r="B820" s="10">
        <v>40580</v>
      </c>
      <c r="C820" s="9">
        <v>22</v>
      </c>
      <c r="D820" s="9" t="b">
        <v>0</v>
      </c>
      <c r="E820" s="9" t="str">
        <f t="shared" si="12"/>
        <v>Weekend</v>
      </c>
      <c r="F820" s="9">
        <v>1</v>
      </c>
      <c r="G820" s="9">
        <v>0.26</v>
      </c>
      <c r="H820" s="9">
        <v>0.30299999999999999</v>
      </c>
      <c r="I820" s="9">
        <v>0.6</v>
      </c>
      <c r="J820" s="9">
        <v>0</v>
      </c>
      <c r="K820" s="9">
        <v>5</v>
      </c>
      <c r="L820" s="9">
        <v>57</v>
      </c>
      <c r="M820" s="9">
        <v>62</v>
      </c>
    </row>
    <row r="821" spans="1:13">
      <c r="A821" s="9">
        <v>829</v>
      </c>
      <c r="B821" s="10">
        <v>40580</v>
      </c>
      <c r="C821" s="9">
        <v>23</v>
      </c>
      <c r="D821" s="9" t="b">
        <v>0</v>
      </c>
      <c r="E821" s="9" t="str">
        <f t="shared" si="12"/>
        <v>Weekend</v>
      </c>
      <c r="F821" s="9">
        <v>1</v>
      </c>
      <c r="G821" s="9">
        <v>0.24</v>
      </c>
      <c r="H821" s="9">
        <v>0.28789999999999999</v>
      </c>
      <c r="I821" s="9">
        <v>0.65</v>
      </c>
      <c r="J821" s="9">
        <v>0</v>
      </c>
      <c r="K821" s="9">
        <v>4</v>
      </c>
      <c r="L821" s="9">
        <v>26</v>
      </c>
      <c r="M821" s="9">
        <v>30</v>
      </c>
    </row>
    <row r="822" spans="1:13">
      <c r="A822" s="9">
        <v>830</v>
      </c>
      <c r="B822" s="10">
        <v>40581</v>
      </c>
      <c r="C822" s="9">
        <v>0</v>
      </c>
      <c r="D822" s="9" t="b">
        <v>0</v>
      </c>
      <c r="E822" s="9" t="str">
        <f t="shared" si="12"/>
        <v>Weekday</v>
      </c>
      <c r="F822" s="9">
        <v>1</v>
      </c>
      <c r="G822" s="9">
        <v>0.24</v>
      </c>
      <c r="H822" s="9">
        <v>0.28789999999999999</v>
      </c>
      <c r="I822" s="9">
        <v>0.65</v>
      </c>
      <c r="J822" s="9">
        <v>0</v>
      </c>
      <c r="K822" s="9">
        <v>1</v>
      </c>
      <c r="L822" s="9">
        <v>14</v>
      </c>
      <c r="M822" s="9">
        <v>15</v>
      </c>
    </row>
    <row r="823" spans="1:13">
      <c r="A823" s="9">
        <v>831</v>
      </c>
      <c r="B823" s="10">
        <v>40581</v>
      </c>
      <c r="C823" s="9">
        <v>1</v>
      </c>
      <c r="D823" s="9" t="b">
        <v>0</v>
      </c>
      <c r="E823" s="9" t="str">
        <f t="shared" si="12"/>
        <v>Weekday</v>
      </c>
      <c r="F823" s="9">
        <v>1</v>
      </c>
      <c r="G823" s="9">
        <v>0.22</v>
      </c>
      <c r="H823" s="9">
        <v>0.2727</v>
      </c>
      <c r="I823" s="9">
        <v>0.75</v>
      </c>
      <c r="J823" s="9">
        <v>0</v>
      </c>
      <c r="K823" s="9">
        <v>1</v>
      </c>
      <c r="L823" s="9">
        <v>4</v>
      </c>
      <c r="M823" s="9">
        <v>5</v>
      </c>
    </row>
    <row r="824" spans="1:13">
      <c r="A824" s="9">
        <v>832</v>
      </c>
      <c r="B824" s="10">
        <v>40581</v>
      </c>
      <c r="C824" s="9">
        <v>2</v>
      </c>
      <c r="D824" s="9" t="b">
        <v>0</v>
      </c>
      <c r="E824" s="9" t="str">
        <f t="shared" si="12"/>
        <v>Weekday</v>
      </c>
      <c r="F824" s="9">
        <v>1</v>
      </c>
      <c r="G824" s="9">
        <v>0.2</v>
      </c>
      <c r="H824" s="9">
        <v>0.2576</v>
      </c>
      <c r="I824" s="9">
        <v>0.8</v>
      </c>
      <c r="J824" s="9">
        <v>0</v>
      </c>
      <c r="K824" s="9">
        <v>0</v>
      </c>
      <c r="L824" s="9">
        <v>3</v>
      </c>
      <c r="M824" s="9">
        <v>3</v>
      </c>
    </row>
    <row r="825" spans="1:13">
      <c r="A825" s="9">
        <v>833</v>
      </c>
      <c r="B825" s="10">
        <v>40581</v>
      </c>
      <c r="C825" s="9">
        <v>3</v>
      </c>
      <c r="D825" s="9" t="b">
        <v>0</v>
      </c>
      <c r="E825" s="9" t="str">
        <f t="shared" si="12"/>
        <v>Weekday</v>
      </c>
      <c r="F825" s="9">
        <v>1</v>
      </c>
      <c r="G825" s="9">
        <v>0.2</v>
      </c>
      <c r="H825" s="9">
        <v>0.2576</v>
      </c>
      <c r="I825" s="9">
        <v>0.86</v>
      </c>
      <c r="J825" s="9">
        <v>0</v>
      </c>
      <c r="K825" s="9">
        <v>0</v>
      </c>
      <c r="L825" s="9">
        <v>1</v>
      </c>
      <c r="M825" s="9">
        <v>1</v>
      </c>
    </row>
    <row r="826" spans="1:13">
      <c r="A826" s="9">
        <v>834</v>
      </c>
      <c r="B826" s="10">
        <v>40581</v>
      </c>
      <c r="C826" s="9">
        <v>4</v>
      </c>
      <c r="D826" s="9" t="b">
        <v>0</v>
      </c>
      <c r="E826" s="9" t="str">
        <f t="shared" si="12"/>
        <v>Weekday</v>
      </c>
      <c r="F826" s="9">
        <v>1</v>
      </c>
      <c r="G826" s="9">
        <v>0.2</v>
      </c>
      <c r="H826" s="9">
        <v>0.2576</v>
      </c>
      <c r="I826" s="9">
        <v>0.86</v>
      </c>
      <c r="J826" s="9">
        <v>0</v>
      </c>
      <c r="K826" s="9">
        <v>1</v>
      </c>
      <c r="L826" s="9">
        <v>1</v>
      </c>
      <c r="M826" s="9">
        <v>2</v>
      </c>
    </row>
    <row r="827" spans="1:13">
      <c r="A827" s="9">
        <v>835</v>
      </c>
      <c r="B827" s="10">
        <v>40581</v>
      </c>
      <c r="C827" s="9">
        <v>5</v>
      </c>
      <c r="D827" s="9" t="b">
        <v>0</v>
      </c>
      <c r="E827" s="9" t="str">
        <f t="shared" si="12"/>
        <v>Weekday</v>
      </c>
      <c r="F827" s="9">
        <v>1</v>
      </c>
      <c r="G827" s="9">
        <v>0.2</v>
      </c>
      <c r="H827" s="9">
        <v>0.2576</v>
      </c>
      <c r="I827" s="9">
        <v>0.86</v>
      </c>
      <c r="J827" s="9">
        <v>0</v>
      </c>
      <c r="K827" s="9">
        <v>1</v>
      </c>
      <c r="L827" s="9">
        <v>9</v>
      </c>
      <c r="M827" s="9">
        <v>10</v>
      </c>
    </row>
    <row r="828" spans="1:13">
      <c r="A828" s="9">
        <v>836</v>
      </c>
      <c r="B828" s="10">
        <v>40581</v>
      </c>
      <c r="C828" s="9">
        <v>6</v>
      </c>
      <c r="D828" s="9" t="b">
        <v>0</v>
      </c>
      <c r="E828" s="9" t="str">
        <f t="shared" si="12"/>
        <v>Weekday</v>
      </c>
      <c r="F828" s="9">
        <v>1</v>
      </c>
      <c r="G828" s="9">
        <v>0.18</v>
      </c>
      <c r="H828" s="9">
        <v>0.2424</v>
      </c>
      <c r="I828" s="9">
        <v>0.93</v>
      </c>
      <c r="J828" s="9">
        <v>0</v>
      </c>
      <c r="K828" s="9">
        <v>1</v>
      </c>
      <c r="L828" s="9">
        <v>29</v>
      </c>
      <c r="M828" s="9">
        <v>30</v>
      </c>
    </row>
    <row r="829" spans="1:13">
      <c r="A829" s="9">
        <v>837</v>
      </c>
      <c r="B829" s="10">
        <v>40581</v>
      </c>
      <c r="C829" s="9">
        <v>7</v>
      </c>
      <c r="D829" s="9" t="b">
        <v>0</v>
      </c>
      <c r="E829" s="9" t="str">
        <f t="shared" si="12"/>
        <v>Weekday</v>
      </c>
      <c r="F829" s="9">
        <v>1</v>
      </c>
      <c r="G829" s="9">
        <v>0.18</v>
      </c>
      <c r="H829" s="9">
        <v>0.2424</v>
      </c>
      <c r="I829" s="9">
        <v>0.86</v>
      </c>
      <c r="J829" s="9">
        <v>0</v>
      </c>
      <c r="K829" s="9">
        <v>6</v>
      </c>
      <c r="L829" s="9">
        <v>89</v>
      </c>
      <c r="M829" s="9">
        <v>95</v>
      </c>
    </row>
    <row r="830" spans="1:13">
      <c r="A830" s="9">
        <v>838</v>
      </c>
      <c r="B830" s="10">
        <v>40581</v>
      </c>
      <c r="C830" s="9">
        <v>8</v>
      </c>
      <c r="D830" s="9" t="b">
        <v>0</v>
      </c>
      <c r="E830" s="9" t="str">
        <f t="shared" si="12"/>
        <v>Weekday</v>
      </c>
      <c r="F830" s="9">
        <v>2</v>
      </c>
      <c r="G830" s="9">
        <v>0.16</v>
      </c>
      <c r="H830" s="9">
        <v>0.2273</v>
      </c>
      <c r="I830" s="9">
        <v>1</v>
      </c>
      <c r="J830" s="9">
        <v>0</v>
      </c>
      <c r="K830" s="9">
        <v>7</v>
      </c>
      <c r="L830" s="9">
        <v>223</v>
      </c>
      <c r="M830" s="9">
        <v>230</v>
      </c>
    </row>
    <row r="831" spans="1:13">
      <c r="A831" s="9">
        <v>839</v>
      </c>
      <c r="B831" s="10">
        <v>40581</v>
      </c>
      <c r="C831" s="9">
        <v>9</v>
      </c>
      <c r="D831" s="9" t="b">
        <v>0</v>
      </c>
      <c r="E831" s="9" t="str">
        <f t="shared" si="12"/>
        <v>Weekday</v>
      </c>
      <c r="F831" s="9">
        <v>1</v>
      </c>
      <c r="G831" s="9">
        <v>0.22</v>
      </c>
      <c r="H831" s="9">
        <v>0.2727</v>
      </c>
      <c r="I831" s="9">
        <v>0.8</v>
      </c>
      <c r="J831" s="9">
        <v>0</v>
      </c>
      <c r="K831" s="9">
        <v>3</v>
      </c>
      <c r="L831" s="9">
        <v>115</v>
      </c>
      <c r="M831" s="9">
        <v>118</v>
      </c>
    </row>
    <row r="832" spans="1:13">
      <c r="A832" s="9">
        <v>840</v>
      </c>
      <c r="B832" s="10">
        <v>40581</v>
      </c>
      <c r="C832" s="9">
        <v>10</v>
      </c>
      <c r="D832" s="9" t="b">
        <v>0</v>
      </c>
      <c r="E832" s="9" t="str">
        <f t="shared" si="12"/>
        <v>Weekday</v>
      </c>
      <c r="F832" s="9">
        <v>1</v>
      </c>
      <c r="G832" s="9">
        <v>0.24</v>
      </c>
      <c r="H832" s="9">
        <v>0.2576</v>
      </c>
      <c r="I832" s="9">
        <v>0.75</v>
      </c>
      <c r="J832" s="9">
        <v>0.1045</v>
      </c>
      <c r="K832" s="9">
        <v>6</v>
      </c>
      <c r="L832" s="9">
        <v>49</v>
      </c>
      <c r="M832" s="9">
        <v>55</v>
      </c>
    </row>
    <row r="833" spans="1:13">
      <c r="A833" s="9">
        <v>841</v>
      </c>
      <c r="B833" s="10">
        <v>40581</v>
      </c>
      <c r="C833" s="9">
        <v>11</v>
      </c>
      <c r="D833" s="9" t="b">
        <v>0</v>
      </c>
      <c r="E833" s="9" t="str">
        <f t="shared" si="12"/>
        <v>Weekday</v>
      </c>
      <c r="F833" s="9">
        <v>1</v>
      </c>
      <c r="G833" s="9">
        <v>0.3</v>
      </c>
      <c r="H833" s="9">
        <v>0.31819999999999998</v>
      </c>
      <c r="I833" s="9">
        <v>0.65</v>
      </c>
      <c r="J833" s="9">
        <v>8.9599999999999999E-2</v>
      </c>
      <c r="K833" s="9">
        <v>11</v>
      </c>
      <c r="L833" s="9">
        <v>36</v>
      </c>
      <c r="M833" s="9">
        <v>47</v>
      </c>
    </row>
    <row r="834" spans="1:13">
      <c r="A834" s="9">
        <v>842</v>
      </c>
      <c r="B834" s="10">
        <v>40581</v>
      </c>
      <c r="C834" s="9">
        <v>12</v>
      </c>
      <c r="D834" s="9" t="b">
        <v>0</v>
      </c>
      <c r="E834" s="9" t="str">
        <f t="shared" si="12"/>
        <v>Weekday</v>
      </c>
      <c r="F834" s="9">
        <v>2</v>
      </c>
      <c r="G834" s="9">
        <v>0.32</v>
      </c>
      <c r="H834" s="9">
        <v>0.34849999999999998</v>
      </c>
      <c r="I834" s="9">
        <v>0.62</v>
      </c>
      <c r="J834" s="9">
        <v>0</v>
      </c>
      <c r="K834" s="9">
        <v>7</v>
      </c>
      <c r="L834" s="9">
        <v>59</v>
      </c>
      <c r="M834" s="9">
        <v>66</v>
      </c>
    </row>
    <row r="835" spans="1:13">
      <c r="A835" s="9">
        <v>843</v>
      </c>
      <c r="B835" s="10">
        <v>40581</v>
      </c>
      <c r="C835" s="9">
        <v>13</v>
      </c>
      <c r="D835" s="9" t="b">
        <v>0</v>
      </c>
      <c r="E835" s="9" t="str">
        <f t="shared" ref="E835:E898" si="13">IF(WEEKDAY(B835,2)&gt;=6,"Weekend","Weekday")</f>
        <v>Weekday</v>
      </c>
      <c r="F835" s="9">
        <v>2</v>
      </c>
      <c r="G835" s="9">
        <v>0.36</v>
      </c>
      <c r="H835" s="9">
        <v>0.36359999999999998</v>
      </c>
      <c r="I835" s="9">
        <v>0.56999999999999995</v>
      </c>
      <c r="J835" s="9">
        <v>8.9599999999999999E-2</v>
      </c>
      <c r="K835" s="9">
        <v>10</v>
      </c>
      <c r="L835" s="9">
        <v>54</v>
      </c>
      <c r="M835" s="9">
        <v>64</v>
      </c>
    </row>
    <row r="836" spans="1:13">
      <c r="A836" s="9">
        <v>844</v>
      </c>
      <c r="B836" s="10">
        <v>40581</v>
      </c>
      <c r="C836" s="9">
        <v>14</v>
      </c>
      <c r="D836" s="9" t="b">
        <v>0</v>
      </c>
      <c r="E836" s="9" t="str">
        <f t="shared" si="13"/>
        <v>Weekday</v>
      </c>
      <c r="F836" s="9">
        <v>2</v>
      </c>
      <c r="G836" s="9">
        <v>0.36</v>
      </c>
      <c r="H836" s="9">
        <v>0.36359999999999998</v>
      </c>
      <c r="I836" s="9">
        <v>0.56999999999999995</v>
      </c>
      <c r="J836" s="9">
        <v>8.9599999999999999E-2</v>
      </c>
      <c r="K836" s="9">
        <v>8</v>
      </c>
      <c r="L836" s="9">
        <v>52</v>
      </c>
      <c r="M836" s="9">
        <v>60</v>
      </c>
    </row>
    <row r="837" spans="1:13">
      <c r="A837" s="9">
        <v>845</v>
      </c>
      <c r="B837" s="10">
        <v>40581</v>
      </c>
      <c r="C837" s="9">
        <v>15</v>
      </c>
      <c r="D837" s="9" t="b">
        <v>0</v>
      </c>
      <c r="E837" s="9" t="str">
        <f t="shared" si="13"/>
        <v>Weekday</v>
      </c>
      <c r="F837" s="9">
        <v>2</v>
      </c>
      <c r="G837" s="9">
        <v>0.38</v>
      </c>
      <c r="H837" s="9">
        <v>0.39389999999999997</v>
      </c>
      <c r="I837" s="9">
        <v>0.54</v>
      </c>
      <c r="J837" s="9">
        <v>8.9599999999999999E-2</v>
      </c>
      <c r="K837" s="9">
        <v>4</v>
      </c>
      <c r="L837" s="9">
        <v>46</v>
      </c>
      <c r="M837" s="9">
        <v>50</v>
      </c>
    </row>
    <row r="838" spans="1:13">
      <c r="A838" s="9">
        <v>846</v>
      </c>
      <c r="B838" s="10">
        <v>40581</v>
      </c>
      <c r="C838" s="9">
        <v>16</v>
      </c>
      <c r="D838" s="9" t="b">
        <v>0</v>
      </c>
      <c r="E838" s="9" t="str">
        <f t="shared" si="13"/>
        <v>Weekday</v>
      </c>
      <c r="F838" s="9">
        <v>2</v>
      </c>
      <c r="G838" s="9">
        <v>0.36</v>
      </c>
      <c r="H838" s="9">
        <v>0.34849999999999998</v>
      </c>
      <c r="I838" s="9">
        <v>0.56999999999999995</v>
      </c>
      <c r="J838" s="9">
        <v>0.1343</v>
      </c>
      <c r="K838" s="9">
        <v>16</v>
      </c>
      <c r="L838" s="9">
        <v>98</v>
      </c>
      <c r="M838" s="9">
        <v>114</v>
      </c>
    </row>
    <row r="839" spans="1:13">
      <c r="A839" s="9">
        <v>847</v>
      </c>
      <c r="B839" s="10">
        <v>40581</v>
      </c>
      <c r="C839" s="9">
        <v>17</v>
      </c>
      <c r="D839" s="9" t="b">
        <v>0</v>
      </c>
      <c r="E839" s="9" t="str">
        <f t="shared" si="13"/>
        <v>Weekday</v>
      </c>
      <c r="F839" s="9">
        <v>2</v>
      </c>
      <c r="G839" s="9">
        <v>0.32</v>
      </c>
      <c r="H839" s="9">
        <v>0.31819999999999998</v>
      </c>
      <c r="I839" s="9">
        <v>0.7</v>
      </c>
      <c r="J839" s="9">
        <v>0.16420000000000001</v>
      </c>
      <c r="K839" s="9">
        <v>9</v>
      </c>
      <c r="L839" s="9">
        <v>207</v>
      </c>
      <c r="M839" s="9">
        <v>216</v>
      </c>
    </row>
    <row r="840" spans="1:13">
      <c r="A840" s="9">
        <v>848</v>
      </c>
      <c r="B840" s="10">
        <v>40581</v>
      </c>
      <c r="C840" s="9">
        <v>18</v>
      </c>
      <c r="D840" s="9" t="b">
        <v>0</v>
      </c>
      <c r="E840" s="9" t="str">
        <f t="shared" si="13"/>
        <v>Weekday</v>
      </c>
      <c r="F840" s="9">
        <v>2</v>
      </c>
      <c r="G840" s="9">
        <v>0.34</v>
      </c>
      <c r="H840" s="9">
        <v>0.33329999999999999</v>
      </c>
      <c r="I840" s="9">
        <v>0.66</v>
      </c>
      <c r="J840" s="9">
        <v>0.1343</v>
      </c>
      <c r="K840" s="9">
        <v>5</v>
      </c>
      <c r="L840" s="9">
        <v>170</v>
      </c>
      <c r="M840" s="9">
        <v>175</v>
      </c>
    </row>
    <row r="841" spans="1:13">
      <c r="A841" s="9">
        <v>849</v>
      </c>
      <c r="B841" s="10">
        <v>40581</v>
      </c>
      <c r="C841" s="9">
        <v>19</v>
      </c>
      <c r="D841" s="9" t="b">
        <v>0</v>
      </c>
      <c r="E841" s="9" t="str">
        <f t="shared" si="13"/>
        <v>Weekday</v>
      </c>
      <c r="F841" s="9">
        <v>2</v>
      </c>
      <c r="G841" s="9">
        <v>0.32</v>
      </c>
      <c r="H841" s="9">
        <v>0.34849999999999998</v>
      </c>
      <c r="I841" s="9">
        <v>0.7</v>
      </c>
      <c r="J841" s="9">
        <v>0</v>
      </c>
      <c r="K841" s="9">
        <v>5</v>
      </c>
      <c r="L841" s="9">
        <v>123</v>
      </c>
      <c r="M841" s="9">
        <v>128</v>
      </c>
    </row>
    <row r="842" spans="1:13">
      <c r="A842" s="9">
        <v>850</v>
      </c>
      <c r="B842" s="10">
        <v>40581</v>
      </c>
      <c r="C842" s="9">
        <v>20</v>
      </c>
      <c r="D842" s="9" t="b">
        <v>0</v>
      </c>
      <c r="E842" s="9" t="str">
        <f t="shared" si="13"/>
        <v>Weekday</v>
      </c>
      <c r="F842" s="9">
        <v>2</v>
      </c>
      <c r="G842" s="9">
        <v>0.32</v>
      </c>
      <c r="H842" s="9">
        <v>0.33329999999999999</v>
      </c>
      <c r="I842" s="9">
        <v>0.7</v>
      </c>
      <c r="J842" s="9">
        <v>0.1045</v>
      </c>
      <c r="K842" s="9">
        <v>6</v>
      </c>
      <c r="L842" s="9">
        <v>82</v>
      </c>
      <c r="M842" s="9">
        <v>88</v>
      </c>
    </row>
    <row r="843" spans="1:13">
      <c r="A843" s="9">
        <v>851</v>
      </c>
      <c r="B843" s="10">
        <v>40581</v>
      </c>
      <c r="C843" s="9">
        <v>21</v>
      </c>
      <c r="D843" s="9" t="b">
        <v>0</v>
      </c>
      <c r="E843" s="9" t="str">
        <f t="shared" si="13"/>
        <v>Weekday</v>
      </c>
      <c r="F843" s="9">
        <v>1</v>
      </c>
      <c r="G843" s="9">
        <v>0.32</v>
      </c>
      <c r="H843" s="9">
        <v>0.34849999999999998</v>
      </c>
      <c r="I843" s="9">
        <v>0.7</v>
      </c>
      <c r="J843" s="9">
        <v>0</v>
      </c>
      <c r="K843" s="9">
        <v>3</v>
      </c>
      <c r="L843" s="9">
        <v>75</v>
      </c>
      <c r="M843" s="9">
        <v>78</v>
      </c>
    </row>
    <row r="844" spans="1:13">
      <c r="A844" s="9">
        <v>852</v>
      </c>
      <c r="B844" s="10">
        <v>40581</v>
      </c>
      <c r="C844" s="9">
        <v>22</v>
      </c>
      <c r="D844" s="9" t="b">
        <v>0</v>
      </c>
      <c r="E844" s="9" t="str">
        <f t="shared" si="13"/>
        <v>Weekday</v>
      </c>
      <c r="F844" s="9">
        <v>1</v>
      </c>
      <c r="G844" s="9">
        <v>0.28000000000000003</v>
      </c>
      <c r="H844" s="9">
        <v>0.30299999999999999</v>
      </c>
      <c r="I844" s="9">
        <v>0.81</v>
      </c>
      <c r="J844" s="9">
        <v>8.9599999999999999E-2</v>
      </c>
      <c r="K844" s="9">
        <v>3</v>
      </c>
      <c r="L844" s="9">
        <v>34</v>
      </c>
      <c r="M844" s="9">
        <v>37</v>
      </c>
    </row>
    <row r="845" spans="1:13">
      <c r="A845" s="9">
        <v>853</v>
      </c>
      <c r="B845" s="10">
        <v>40581</v>
      </c>
      <c r="C845" s="9">
        <v>23</v>
      </c>
      <c r="D845" s="9" t="b">
        <v>0</v>
      </c>
      <c r="E845" s="9" t="str">
        <f t="shared" si="13"/>
        <v>Weekday</v>
      </c>
      <c r="F845" s="9">
        <v>2</v>
      </c>
      <c r="G845" s="9">
        <v>0.3</v>
      </c>
      <c r="H845" s="9">
        <v>0.33329999999999999</v>
      </c>
      <c r="I845" s="9">
        <v>0.81</v>
      </c>
      <c r="J845" s="9">
        <v>0</v>
      </c>
      <c r="K845" s="9">
        <v>6</v>
      </c>
      <c r="L845" s="9">
        <v>19</v>
      </c>
      <c r="M845" s="9">
        <v>25</v>
      </c>
    </row>
    <row r="846" spans="1:13">
      <c r="A846" s="9">
        <v>854</v>
      </c>
      <c r="B846" s="10">
        <v>40582</v>
      </c>
      <c r="C846" s="9">
        <v>0</v>
      </c>
      <c r="D846" s="9" t="b">
        <v>0</v>
      </c>
      <c r="E846" s="9" t="str">
        <f t="shared" si="13"/>
        <v>Weekday</v>
      </c>
      <c r="F846" s="9">
        <v>2</v>
      </c>
      <c r="G846" s="9">
        <v>0.28000000000000003</v>
      </c>
      <c r="H846" s="9">
        <v>0.31819999999999998</v>
      </c>
      <c r="I846" s="9">
        <v>0.87</v>
      </c>
      <c r="J846" s="9">
        <v>0</v>
      </c>
      <c r="K846" s="9">
        <v>4</v>
      </c>
      <c r="L846" s="9">
        <v>6</v>
      </c>
      <c r="M846" s="9">
        <v>10</v>
      </c>
    </row>
    <row r="847" spans="1:13">
      <c r="A847" s="9">
        <v>855</v>
      </c>
      <c r="B847" s="10">
        <v>40582</v>
      </c>
      <c r="C847" s="9">
        <v>1</v>
      </c>
      <c r="D847" s="9" t="b">
        <v>0</v>
      </c>
      <c r="E847" s="9" t="str">
        <f t="shared" si="13"/>
        <v>Weekday</v>
      </c>
      <c r="F847" s="9">
        <v>2</v>
      </c>
      <c r="G847" s="9">
        <v>0.28000000000000003</v>
      </c>
      <c r="H847" s="9">
        <v>0.31819999999999998</v>
      </c>
      <c r="I847" s="9">
        <v>0.87</v>
      </c>
      <c r="J847" s="9">
        <v>0</v>
      </c>
      <c r="K847" s="9">
        <v>0</v>
      </c>
      <c r="L847" s="9">
        <v>4</v>
      </c>
      <c r="M847" s="9">
        <v>4</v>
      </c>
    </row>
    <row r="848" spans="1:13">
      <c r="A848" s="9">
        <v>856</v>
      </c>
      <c r="B848" s="10">
        <v>40582</v>
      </c>
      <c r="C848" s="9">
        <v>2</v>
      </c>
      <c r="D848" s="9" t="b">
        <v>0</v>
      </c>
      <c r="E848" s="9" t="str">
        <f t="shared" si="13"/>
        <v>Weekday</v>
      </c>
      <c r="F848" s="9">
        <v>2</v>
      </c>
      <c r="G848" s="9">
        <v>0.26</v>
      </c>
      <c r="H848" s="9">
        <v>0.2727</v>
      </c>
      <c r="I848" s="9">
        <v>0.93</v>
      </c>
      <c r="J848" s="9">
        <v>0.1045</v>
      </c>
      <c r="K848" s="9">
        <v>1</v>
      </c>
      <c r="L848" s="9">
        <v>1</v>
      </c>
      <c r="M848" s="9">
        <v>2</v>
      </c>
    </row>
    <row r="849" spans="1:13">
      <c r="A849" s="9">
        <v>857</v>
      </c>
      <c r="B849" s="10">
        <v>40582</v>
      </c>
      <c r="C849" s="9">
        <v>3</v>
      </c>
      <c r="D849" s="9" t="b">
        <v>0</v>
      </c>
      <c r="E849" s="9" t="str">
        <f t="shared" si="13"/>
        <v>Weekday</v>
      </c>
      <c r="F849" s="9">
        <v>3</v>
      </c>
      <c r="G849" s="9">
        <v>0.28000000000000003</v>
      </c>
      <c r="H849" s="9">
        <v>0.2727</v>
      </c>
      <c r="I849" s="9">
        <v>0.93</v>
      </c>
      <c r="J849" s="9">
        <v>0.16420000000000001</v>
      </c>
      <c r="K849" s="9">
        <v>0</v>
      </c>
      <c r="L849" s="9">
        <v>1</v>
      </c>
      <c r="M849" s="9">
        <v>1</v>
      </c>
    </row>
    <row r="850" spans="1:13">
      <c r="A850" s="9">
        <v>858</v>
      </c>
      <c r="B850" s="10">
        <v>40582</v>
      </c>
      <c r="C850" s="9">
        <v>4</v>
      </c>
      <c r="D850" s="9" t="b">
        <v>0</v>
      </c>
      <c r="E850" s="9" t="str">
        <f t="shared" si="13"/>
        <v>Weekday</v>
      </c>
      <c r="F850" s="9">
        <v>1</v>
      </c>
      <c r="G850" s="9">
        <v>0.26</v>
      </c>
      <c r="H850" s="9">
        <v>0.2576</v>
      </c>
      <c r="I850" s="9">
        <v>0.93</v>
      </c>
      <c r="J850" s="9">
        <v>0.16420000000000001</v>
      </c>
      <c r="K850" s="9">
        <v>0</v>
      </c>
      <c r="L850" s="9">
        <v>3</v>
      </c>
      <c r="M850" s="9">
        <v>3</v>
      </c>
    </row>
    <row r="851" spans="1:13">
      <c r="A851" s="9">
        <v>859</v>
      </c>
      <c r="B851" s="10">
        <v>40582</v>
      </c>
      <c r="C851" s="9">
        <v>5</v>
      </c>
      <c r="D851" s="9" t="b">
        <v>0</v>
      </c>
      <c r="E851" s="9" t="str">
        <f t="shared" si="13"/>
        <v>Weekday</v>
      </c>
      <c r="F851" s="9">
        <v>1</v>
      </c>
      <c r="G851" s="9">
        <v>0.26</v>
      </c>
      <c r="H851" s="9">
        <v>0.2273</v>
      </c>
      <c r="I851" s="9">
        <v>0.81</v>
      </c>
      <c r="J851" s="9">
        <v>0.32840000000000003</v>
      </c>
      <c r="K851" s="9">
        <v>0</v>
      </c>
      <c r="L851" s="9">
        <v>2</v>
      </c>
      <c r="M851" s="9">
        <v>2</v>
      </c>
    </row>
    <row r="852" spans="1:13">
      <c r="A852" s="9">
        <v>860</v>
      </c>
      <c r="B852" s="10">
        <v>40582</v>
      </c>
      <c r="C852" s="9">
        <v>6</v>
      </c>
      <c r="D852" s="9" t="b">
        <v>0</v>
      </c>
      <c r="E852" s="9" t="str">
        <f t="shared" si="13"/>
        <v>Weekday</v>
      </c>
      <c r="F852" s="9">
        <v>1</v>
      </c>
      <c r="G852" s="9">
        <v>0.26</v>
      </c>
      <c r="H852" s="9">
        <v>0.2273</v>
      </c>
      <c r="I852" s="9">
        <v>0.7</v>
      </c>
      <c r="J852" s="9">
        <v>0.32840000000000003</v>
      </c>
      <c r="K852" s="9">
        <v>0</v>
      </c>
      <c r="L852" s="9">
        <v>39</v>
      </c>
      <c r="M852" s="9">
        <v>39</v>
      </c>
    </row>
    <row r="853" spans="1:13">
      <c r="A853" s="9">
        <v>861</v>
      </c>
      <c r="B853" s="10">
        <v>40582</v>
      </c>
      <c r="C853" s="9">
        <v>7</v>
      </c>
      <c r="D853" s="9" t="b">
        <v>0</v>
      </c>
      <c r="E853" s="9" t="str">
        <f t="shared" si="13"/>
        <v>Weekday</v>
      </c>
      <c r="F853" s="9">
        <v>1</v>
      </c>
      <c r="G853" s="9">
        <v>0.24</v>
      </c>
      <c r="H853" s="9">
        <v>0.19700000000000001</v>
      </c>
      <c r="I853" s="9">
        <v>0.65</v>
      </c>
      <c r="J853" s="9">
        <v>0.41789999999999999</v>
      </c>
      <c r="K853" s="9">
        <v>3</v>
      </c>
      <c r="L853" s="9">
        <v>97</v>
      </c>
      <c r="M853" s="9">
        <v>100</v>
      </c>
    </row>
    <row r="854" spans="1:13">
      <c r="A854" s="9">
        <v>862</v>
      </c>
      <c r="B854" s="10">
        <v>40582</v>
      </c>
      <c r="C854" s="9">
        <v>8</v>
      </c>
      <c r="D854" s="9" t="b">
        <v>0</v>
      </c>
      <c r="E854" s="9" t="str">
        <f t="shared" si="13"/>
        <v>Weekday</v>
      </c>
      <c r="F854" s="9">
        <v>1</v>
      </c>
      <c r="G854" s="9">
        <v>0.24</v>
      </c>
      <c r="H854" s="9">
        <v>0.19700000000000001</v>
      </c>
      <c r="I854" s="9">
        <v>0.56000000000000005</v>
      </c>
      <c r="J854" s="9">
        <v>0.49249999999999999</v>
      </c>
      <c r="K854" s="9">
        <v>7</v>
      </c>
      <c r="L854" s="9">
        <v>236</v>
      </c>
      <c r="M854" s="9">
        <v>243</v>
      </c>
    </row>
    <row r="855" spans="1:13">
      <c r="A855" s="9">
        <v>863</v>
      </c>
      <c r="B855" s="10">
        <v>40582</v>
      </c>
      <c r="C855" s="9">
        <v>9</v>
      </c>
      <c r="D855" s="9" t="b">
        <v>0</v>
      </c>
      <c r="E855" s="9" t="str">
        <f t="shared" si="13"/>
        <v>Weekday</v>
      </c>
      <c r="F855" s="9">
        <v>1</v>
      </c>
      <c r="G855" s="9">
        <v>0.24</v>
      </c>
      <c r="H855" s="9">
        <v>0.19700000000000001</v>
      </c>
      <c r="I855" s="9">
        <v>0.52</v>
      </c>
      <c r="J855" s="9">
        <v>0.49249999999999999</v>
      </c>
      <c r="K855" s="9">
        <v>7</v>
      </c>
      <c r="L855" s="9">
        <v>128</v>
      </c>
      <c r="M855" s="9">
        <v>135</v>
      </c>
    </row>
    <row r="856" spans="1:13">
      <c r="A856" s="9">
        <v>864</v>
      </c>
      <c r="B856" s="10">
        <v>40582</v>
      </c>
      <c r="C856" s="9">
        <v>10</v>
      </c>
      <c r="D856" s="9" t="b">
        <v>0</v>
      </c>
      <c r="E856" s="9" t="str">
        <f t="shared" si="13"/>
        <v>Weekday</v>
      </c>
      <c r="F856" s="9">
        <v>1</v>
      </c>
      <c r="G856" s="9">
        <v>0.22</v>
      </c>
      <c r="H856" s="9">
        <v>0.18179999999999999</v>
      </c>
      <c r="I856" s="9">
        <v>0.47</v>
      </c>
      <c r="J856" s="9">
        <v>0.55220000000000002</v>
      </c>
      <c r="K856" s="9">
        <v>4</v>
      </c>
      <c r="L856" s="9">
        <v>44</v>
      </c>
      <c r="M856" s="9">
        <v>48</v>
      </c>
    </row>
    <row r="857" spans="1:13">
      <c r="A857" s="9">
        <v>865</v>
      </c>
      <c r="B857" s="10">
        <v>40582</v>
      </c>
      <c r="C857" s="9">
        <v>11</v>
      </c>
      <c r="D857" s="9" t="b">
        <v>0</v>
      </c>
      <c r="E857" s="9" t="str">
        <f t="shared" si="13"/>
        <v>Weekday</v>
      </c>
      <c r="F857" s="9">
        <v>1</v>
      </c>
      <c r="G857" s="9">
        <v>0.22</v>
      </c>
      <c r="H857" s="9">
        <v>0.18179999999999999</v>
      </c>
      <c r="I857" s="9">
        <v>0.47</v>
      </c>
      <c r="J857" s="9">
        <v>0.4627</v>
      </c>
      <c r="K857" s="9">
        <v>1</v>
      </c>
      <c r="L857" s="9">
        <v>49</v>
      </c>
      <c r="M857" s="9">
        <v>50</v>
      </c>
    </row>
    <row r="858" spans="1:13">
      <c r="A858" s="9">
        <v>866</v>
      </c>
      <c r="B858" s="10">
        <v>40582</v>
      </c>
      <c r="C858" s="9">
        <v>12</v>
      </c>
      <c r="D858" s="9" t="b">
        <v>0</v>
      </c>
      <c r="E858" s="9" t="str">
        <f t="shared" si="13"/>
        <v>Weekday</v>
      </c>
      <c r="F858" s="9">
        <v>1</v>
      </c>
      <c r="G858" s="9">
        <v>0.24</v>
      </c>
      <c r="H858" s="9">
        <v>0.19700000000000001</v>
      </c>
      <c r="I858" s="9">
        <v>0.38</v>
      </c>
      <c r="J858" s="9">
        <v>0.49249999999999999</v>
      </c>
      <c r="K858" s="9">
        <v>2</v>
      </c>
      <c r="L858" s="9">
        <v>63</v>
      </c>
      <c r="M858" s="9">
        <v>65</v>
      </c>
    </row>
    <row r="859" spans="1:13">
      <c r="A859" s="9">
        <v>867</v>
      </c>
      <c r="B859" s="10">
        <v>40582</v>
      </c>
      <c r="C859" s="9">
        <v>13</v>
      </c>
      <c r="D859" s="9" t="b">
        <v>0</v>
      </c>
      <c r="E859" s="9" t="str">
        <f t="shared" si="13"/>
        <v>Weekday</v>
      </c>
      <c r="F859" s="9">
        <v>2</v>
      </c>
      <c r="G859" s="9">
        <v>0.24</v>
      </c>
      <c r="H859" s="9">
        <v>0.19700000000000001</v>
      </c>
      <c r="I859" s="9">
        <v>0.32</v>
      </c>
      <c r="J859" s="9">
        <v>0.44779999999999998</v>
      </c>
      <c r="K859" s="9">
        <v>2</v>
      </c>
      <c r="L859" s="9">
        <v>48</v>
      </c>
      <c r="M859" s="9">
        <v>50</v>
      </c>
    </row>
    <row r="860" spans="1:13">
      <c r="A860" s="9">
        <v>868</v>
      </c>
      <c r="B860" s="10">
        <v>40582</v>
      </c>
      <c r="C860" s="9">
        <v>14</v>
      </c>
      <c r="D860" s="9" t="b">
        <v>0</v>
      </c>
      <c r="E860" s="9" t="str">
        <f t="shared" si="13"/>
        <v>Weekday</v>
      </c>
      <c r="F860" s="9">
        <v>1</v>
      </c>
      <c r="G860" s="9">
        <v>0.22</v>
      </c>
      <c r="H860" s="9">
        <v>0.19700000000000001</v>
      </c>
      <c r="I860" s="9">
        <v>0.37</v>
      </c>
      <c r="J860" s="9">
        <v>0.41789999999999999</v>
      </c>
      <c r="K860" s="9">
        <v>3</v>
      </c>
      <c r="L860" s="9">
        <v>61</v>
      </c>
      <c r="M860" s="9">
        <v>64</v>
      </c>
    </row>
    <row r="861" spans="1:13">
      <c r="A861" s="9">
        <v>869</v>
      </c>
      <c r="B861" s="10">
        <v>40582</v>
      </c>
      <c r="C861" s="9">
        <v>15</v>
      </c>
      <c r="D861" s="9" t="b">
        <v>0</v>
      </c>
      <c r="E861" s="9" t="str">
        <f t="shared" si="13"/>
        <v>Weekday</v>
      </c>
      <c r="F861" s="9">
        <v>1</v>
      </c>
      <c r="G861" s="9">
        <v>0.22</v>
      </c>
      <c r="H861" s="9">
        <v>0.19700000000000001</v>
      </c>
      <c r="I861" s="9">
        <v>0.35</v>
      </c>
      <c r="J861" s="9">
        <v>0.3881</v>
      </c>
      <c r="K861" s="9">
        <v>6</v>
      </c>
      <c r="L861" s="9">
        <v>45</v>
      </c>
      <c r="M861" s="9">
        <v>51</v>
      </c>
    </row>
    <row r="862" spans="1:13">
      <c r="A862" s="9">
        <v>870</v>
      </c>
      <c r="B862" s="10">
        <v>40582</v>
      </c>
      <c r="C862" s="9">
        <v>16</v>
      </c>
      <c r="D862" s="9" t="b">
        <v>0</v>
      </c>
      <c r="E862" s="9" t="str">
        <f t="shared" si="13"/>
        <v>Weekday</v>
      </c>
      <c r="F862" s="9">
        <v>1</v>
      </c>
      <c r="G862" s="9">
        <v>0.22</v>
      </c>
      <c r="H862" s="9">
        <v>0.18179999999999999</v>
      </c>
      <c r="I862" s="9">
        <v>0.35</v>
      </c>
      <c r="J862" s="9">
        <v>0.52239999999999998</v>
      </c>
      <c r="K862" s="9">
        <v>4</v>
      </c>
      <c r="L862" s="9">
        <v>79</v>
      </c>
      <c r="M862" s="9">
        <v>83</v>
      </c>
    </row>
    <row r="863" spans="1:13">
      <c r="A863" s="9">
        <v>871</v>
      </c>
      <c r="B863" s="10">
        <v>40582</v>
      </c>
      <c r="C863" s="9">
        <v>17</v>
      </c>
      <c r="D863" s="9" t="b">
        <v>0</v>
      </c>
      <c r="E863" s="9" t="str">
        <f t="shared" si="13"/>
        <v>Weekday</v>
      </c>
      <c r="F863" s="9">
        <v>1</v>
      </c>
      <c r="G863" s="9">
        <v>0.22</v>
      </c>
      <c r="H863" s="9">
        <v>0.18179999999999999</v>
      </c>
      <c r="I863" s="9">
        <v>0.32</v>
      </c>
      <c r="J863" s="9">
        <v>0.58209999999999995</v>
      </c>
      <c r="K863" s="9">
        <v>4</v>
      </c>
      <c r="L863" s="9">
        <v>172</v>
      </c>
      <c r="M863" s="9">
        <v>176</v>
      </c>
    </row>
    <row r="864" spans="1:13">
      <c r="A864" s="9">
        <v>872</v>
      </c>
      <c r="B864" s="10">
        <v>40582</v>
      </c>
      <c r="C864" s="9">
        <v>18</v>
      </c>
      <c r="D864" s="9" t="b">
        <v>0</v>
      </c>
      <c r="E864" s="9" t="str">
        <f t="shared" si="13"/>
        <v>Weekday</v>
      </c>
      <c r="F864" s="9">
        <v>1</v>
      </c>
      <c r="G864" s="9">
        <v>0.2</v>
      </c>
      <c r="H864" s="9">
        <v>0.18179999999999999</v>
      </c>
      <c r="I864" s="9">
        <v>0.32</v>
      </c>
      <c r="J864" s="9">
        <v>0.3881</v>
      </c>
      <c r="K864" s="9">
        <v>1</v>
      </c>
      <c r="L864" s="9">
        <v>151</v>
      </c>
      <c r="M864" s="9">
        <v>152</v>
      </c>
    </row>
    <row r="865" spans="1:13">
      <c r="A865" s="9">
        <v>873</v>
      </c>
      <c r="B865" s="10">
        <v>40582</v>
      </c>
      <c r="C865" s="9">
        <v>19</v>
      </c>
      <c r="D865" s="9" t="b">
        <v>0</v>
      </c>
      <c r="E865" s="9" t="str">
        <f t="shared" si="13"/>
        <v>Weekday</v>
      </c>
      <c r="F865" s="9">
        <v>1</v>
      </c>
      <c r="G865" s="9">
        <v>0.16</v>
      </c>
      <c r="H865" s="9">
        <v>0.1212</v>
      </c>
      <c r="I865" s="9">
        <v>0.4</v>
      </c>
      <c r="J865" s="9">
        <v>0.4627</v>
      </c>
      <c r="K865" s="9">
        <v>1</v>
      </c>
      <c r="L865" s="9">
        <v>100</v>
      </c>
      <c r="M865" s="9">
        <v>101</v>
      </c>
    </row>
    <row r="866" spans="1:13">
      <c r="A866" s="9">
        <v>874</v>
      </c>
      <c r="B866" s="10">
        <v>40582</v>
      </c>
      <c r="C866" s="9">
        <v>20</v>
      </c>
      <c r="D866" s="9" t="b">
        <v>0</v>
      </c>
      <c r="E866" s="9" t="str">
        <f t="shared" si="13"/>
        <v>Weekday</v>
      </c>
      <c r="F866" s="9">
        <v>1</v>
      </c>
      <c r="G866" s="9">
        <v>0.16</v>
      </c>
      <c r="H866" s="9">
        <v>0.13639999999999999</v>
      </c>
      <c r="I866" s="9">
        <v>0.4</v>
      </c>
      <c r="J866" s="9">
        <v>0.32840000000000003</v>
      </c>
      <c r="K866" s="9">
        <v>3</v>
      </c>
      <c r="L866" s="9">
        <v>53</v>
      </c>
      <c r="M866" s="9">
        <v>56</v>
      </c>
    </row>
    <row r="867" spans="1:13">
      <c r="A867" s="9">
        <v>875</v>
      </c>
      <c r="B867" s="10">
        <v>40582</v>
      </c>
      <c r="C867" s="9">
        <v>21</v>
      </c>
      <c r="D867" s="9" t="b">
        <v>0</v>
      </c>
      <c r="E867" s="9" t="str">
        <f t="shared" si="13"/>
        <v>Weekday</v>
      </c>
      <c r="F867" s="9">
        <v>1</v>
      </c>
      <c r="G867" s="9">
        <v>0.14000000000000001</v>
      </c>
      <c r="H867" s="9">
        <v>0.1061</v>
      </c>
      <c r="I867" s="9">
        <v>0.33</v>
      </c>
      <c r="J867" s="9">
        <v>0.4627</v>
      </c>
      <c r="K867" s="9">
        <v>8</v>
      </c>
      <c r="L867" s="9">
        <v>46</v>
      </c>
      <c r="M867" s="9">
        <v>54</v>
      </c>
    </row>
    <row r="868" spans="1:13">
      <c r="A868" s="9">
        <v>876</v>
      </c>
      <c r="B868" s="10">
        <v>40582</v>
      </c>
      <c r="C868" s="9">
        <v>22</v>
      </c>
      <c r="D868" s="9" t="b">
        <v>0</v>
      </c>
      <c r="E868" s="9" t="str">
        <f t="shared" si="13"/>
        <v>Weekday</v>
      </c>
      <c r="F868" s="9">
        <v>1</v>
      </c>
      <c r="G868" s="9">
        <v>0.12</v>
      </c>
      <c r="H868" s="9">
        <v>0.1061</v>
      </c>
      <c r="I868" s="9">
        <v>0.33</v>
      </c>
      <c r="J868" s="9">
        <v>0.35820000000000002</v>
      </c>
      <c r="K868" s="9">
        <v>0</v>
      </c>
      <c r="L868" s="9">
        <v>29</v>
      </c>
      <c r="M868" s="9">
        <v>29</v>
      </c>
    </row>
    <row r="869" spans="1:13">
      <c r="A869" s="9">
        <v>877</v>
      </c>
      <c r="B869" s="10">
        <v>40582</v>
      </c>
      <c r="C869" s="9">
        <v>23</v>
      </c>
      <c r="D869" s="9" t="b">
        <v>0</v>
      </c>
      <c r="E869" s="9" t="str">
        <f t="shared" si="13"/>
        <v>Weekday</v>
      </c>
      <c r="F869" s="9">
        <v>1</v>
      </c>
      <c r="G869" s="9">
        <v>0.12</v>
      </c>
      <c r="H869" s="9">
        <v>0.1061</v>
      </c>
      <c r="I869" s="9">
        <v>0.33</v>
      </c>
      <c r="J869" s="9">
        <v>0.32840000000000003</v>
      </c>
      <c r="K869" s="9">
        <v>3</v>
      </c>
      <c r="L869" s="9">
        <v>9</v>
      </c>
      <c r="M869" s="9">
        <v>12</v>
      </c>
    </row>
    <row r="870" spans="1:13">
      <c r="A870" s="9">
        <v>878</v>
      </c>
      <c r="B870" s="10">
        <v>40583</v>
      </c>
      <c r="C870" s="9">
        <v>0</v>
      </c>
      <c r="D870" s="9" t="b">
        <v>0</v>
      </c>
      <c r="E870" s="9" t="str">
        <f t="shared" si="13"/>
        <v>Weekday</v>
      </c>
      <c r="F870" s="9">
        <v>1</v>
      </c>
      <c r="G870" s="9">
        <v>0.1</v>
      </c>
      <c r="H870" s="9">
        <v>7.5800000000000006E-2</v>
      </c>
      <c r="I870" s="9">
        <v>0.36</v>
      </c>
      <c r="J870" s="9">
        <v>0.35820000000000002</v>
      </c>
      <c r="K870" s="9">
        <v>0</v>
      </c>
      <c r="L870" s="9">
        <v>17</v>
      </c>
      <c r="M870" s="9">
        <v>17</v>
      </c>
    </row>
    <row r="871" spans="1:13">
      <c r="A871" s="9">
        <v>879</v>
      </c>
      <c r="B871" s="10">
        <v>40583</v>
      </c>
      <c r="C871" s="9">
        <v>1</v>
      </c>
      <c r="D871" s="9" t="b">
        <v>0</v>
      </c>
      <c r="E871" s="9" t="str">
        <f t="shared" si="13"/>
        <v>Weekday</v>
      </c>
      <c r="F871" s="9">
        <v>1</v>
      </c>
      <c r="G871" s="9">
        <v>0.1</v>
      </c>
      <c r="H871" s="9">
        <v>0.1061</v>
      </c>
      <c r="I871" s="9">
        <v>0.36</v>
      </c>
      <c r="J871" s="9">
        <v>0.22389999999999999</v>
      </c>
      <c r="K871" s="9">
        <v>0</v>
      </c>
      <c r="L871" s="9">
        <v>7</v>
      </c>
      <c r="M871" s="9">
        <v>7</v>
      </c>
    </row>
    <row r="872" spans="1:13">
      <c r="A872" s="9">
        <v>880</v>
      </c>
      <c r="B872" s="10">
        <v>40583</v>
      </c>
      <c r="C872" s="9">
        <v>2</v>
      </c>
      <c r="D872" s="9" t="b">
        <v>0</v>
      </c>
      <c r="E872" s="9" t="str">
        <f t="shared" si="13"/>
        <v>Weekday</v>
      </c>
      <c r="F872" s="9">
        <v>1</v>
      </c>
      <c r="G872" s="9">
        <v>0.08</v>
      </c>
      <c r="H872" s="9">
        <v>7.5800000000000006E-2</v>
      </c>
      <c r="I872" s="9">
        <v>0.38</v>
      </c>
      <c r="J872" s="9">
        <v>0.28360000000000002</v>
      </c>
      <c r="K872" s="9">
        <v>1</v>
      </c>
      <c r="L872" s="9">
        <v>2</v>
      </c>
      <c r="M872" s="9">
        <v>3</v>
      </c>
    </row>
    <row r="873" spans="1:13">
      <c r="A873" s="9">
        <v>881</v>
      </c>
      <c r="B873" s="10">
        <v>40583</v>
      </c>
      <c r="C873" s="9">
        <v>3</v>
      </c>
      <c r="D873" s="9" t="b">
        <v>0</v>
      </c>
      <c r="E873" s="9" t="str">
        <f t="shared" si="13"/>
        <v>Weekday</v>
      </c>
      <c r="F873" s="9">
        <v>1</v>
      </c>
      <c r="G873" s="9">
        <v>0.06</v>
      </c>
      <c r="H873" s="9">
        <v>7.5800000000000006E-2</v>
      </c>
      <c r="I873" s="9">
        <v>0.45</v>
      </c>
      <c r="J873" s="9">
        <v>0.1343</v>
      </c>
      <c r="K873" s="9">
        <v>0</v>
      </c>
      <c r="L873" s="9">
        <v>2</v>
      </c>
      <c r="M873" s="9">
        <v>2</v>
      </c>
    </row>
    <row r="874" spans="1:13">
      <c r="A874" s="9">
        <v>882</v>
      </c>
      <c r="B874" s="10">
        <v>40583</v>
      </c>
      <c r="C874" s="9">
        <v>5</v>
      </c>
      <c r="D874" s="9" t="b">
        <v>0</v>
      </c>
      <c r="E874" s="9" t="str">
        <f t="shared" si="13"/>
        <v>Weekday</v>
      </c>
      <c r="F874" s="9">
        <v>1</v>
      </c>
      <c r="G874" s="9">
        <v>0.06</v>
      </c>
      <c r="H874" s="9">
        <v>0.1061</v>
      </c>
      <c r="I874" s="9">
        <v>0.45</v>
      </c>
      <c r="J874" s="9">
        <v>0.1045</v>
      </c>
      <c r="K874" s="9">
        <v>0</v>
      </c>
      <c r="L874" s="9">
        <v>7</v>
      </c>
      <c r="M874" s="9">
        <v>7</v>
      </c>
    </row>
    <row r="875" spans="1:13">
      <c r="A875" s="9">
        <v>883</v>
      </c>
      <c r="B875" s="10">
        <v>40583</v>
      </c>
      <c r="C875" s="9">
        <v>6</v>
      </c>
      <c r="D875" s="9" t="b">
        <v>0</v>
      </c>
      <c r="E875" s="9" t="str">
        <f t="shared" si="13"/>
        <v>Weekday</v>
      </c>
      <c r="F875" s="9">
        <v>1</v>
      </c>
      <c r="G875" s="9">
        <v>0.06</v>
      </c>
      <c r="H875" s="9">
        <v>0.1515</v>
      </c>
      <c r="I875" s="9">
        <v>0.45</v>
      </c>
      <c r="J875" s="9">
        <v>0</v>
      </c>
      <c r="K875" s="9">
        <v>0</v>
      </c>
      <c r="L875" s="9">
        <v>43</v>
      </c>
      <c r="M875" s="9">
        <v>43</v>
      </c>
    </row>
    <row r="876" spans="1:13">
      <c r="A876" s="9">
        <v>884</v>
      </c>
      <c r="B876" s="10">
        <v>40583</v>
      </c>
      <c r="C876" s="9">
        <v>7</v>
      </c>
      <c r="D876" s="9" t="b">
        <v>0</v>
      </c>
      <c r="E876" s="9" t="str">
        <f t="shared" si="13"/>
        <v>Weekday</v>
      </c>
      <c r="F876" s="9">
        <v>1</v>
      </c>
      <c r="G876" s="9">
        <v>0.06</v>
      </c>
      <c r="H876" s="9">
        <v>0.1061</v>
      </c>
      <c r="I876" s="9">
        <v>0.49</v>
      </c>
      <c r="J876" s="9">
        <v>0.1045</v>
      </c>
      <c r="K876" s="9">
        <v>4</v>
      </c>
      <c r="L876" s="9">
        <v>95</v>
      </c>
      <c r="M876" s="9">
        <v>99</v>
      </c>
    </row>
    <row r="877" spans="1:13">
      <c r="A877" s="9">
        <v>885</v>
      </c>
      <c r="B877" s="10">
        <v>40583</v>
      </c>
      <c r="C877" s="9">
        <v>8</v>
      </c>
      <c r="D877" s="9" t="b">
        <v>0</v>
      </c>
      <c r="E877" s="9" t="str">
        <f t="shared" si="13"/>
        <v>Weekday</v>
      </c>
      <c r="F877" s="9">
        <v>1</v>
      </c>
      <c r="G877" s="9">
        <v>0.1</v>
      </c>
      <c r="H877" s="9">
        <v>0.13639999999999999</v>
      </c>
      <c r="I877" s="9">
        <v>0.42</v>
      </c>
      <c r="J877" s="9">
        <v>0</v>
      </c>
      <c r="K877" s="9">
        <v>1</v>
      </c>
      <c r="L877" s="9">
        <v>198</v>
      </c>
      <c r="M877" s="9">
        <v>199</v>
      </c>
    </row>
    <row r="878" spans="1:13">
      <c r="A878" s="9">
        <v>886</v>
      </c>
      <c r="B878" s="10">
        <v>40583</v>
      </c>
      <c r="C878" s="9">
        <v>9</v>
      </c>
      <c r="D878" s="9" t="b">
        <v>0</v>
      </c>
      <c r="E878" s="9" t="str">
        <f t="shared" si="13"/>
        <v>Weekday</v>
      </c>
      <c r="F878" s="9">
        <v>1</v>
      </c>
      <c r="G878" s="9">
        <v>0.12</v>
      </c>
      <c r="H878" s="9">
        <v>0.13639999999999999</v>
      </c>
      <c r="I878" s="9">
        <v>0.39</v>
      </c>
      <c r="J878" s="9">
        <v>0.16420000000000001</v>
      </c>
      <c r="K878" s="9">
        <v>4</v>
      </c>
      <c r="L878" s="9">
        <v>119</v>
      </c>
      <c r="M878" s="9">
        <v>123</v>
      </c>
    </row>
    <row r="879" spans="1:13">
      <c r="A879" s="9">
        <v>887</v>
      </c>
      <c r="B879" s="10">
        <v>40583</v>
      </c>
      <c r="C879" s="9">
        <v>10</v>
      </c>
      <c r="D879" s="9" t="b">
        <v>0</v>
      </c>
      <c r="E879" s="9" t="str">
        <f t="shared" si="13"/>
        <v>Weekday</v>
      </c>
      <c r="F879" s="9">
        <v>1</v>
      </c>
      <c r="G879" s="9">
        <v>0.14000000000000001</v>
      </c>
      <c r="H879" s="9">
        <v>0.18179999999999999</v>
      </c>
      <c r="I879" s="9">
        <v>0.36</v>
      </c>
      <c r="J879" s="9">
        <v>0</v>
      </c>
      <c r="K879" s="9">
        <v>8</v>
      </c>
      <c r="L879" s="9">
        <v>51</v>
      </c>
      <c r="M879" s="9">
        <v>59</v>
      </c>
    </row>
    <row r="880" spans="1:13">
      <c r="A880" s="9">
        <v>888</v>
      </c>
      <c r="B880" s="10">
        <v>40583</v>
      </c>
      <c r="C880" s="9">
        <v>11</v>
      </c>
      <c r="D880" s="9" t="b">
        <v>0</v>
      </c>
      <c r="E880" s="9" t="str">
        <f t="shared" si="13"/>
        <v>Weekday</v>
      </c>
      <c r="F880" s="9">
        <v>2</v>
      </c>
      <c r="G880" s="9">
        <v>0.14000000000000001</v>
      </c>
      <c r="H880" s="9">
        <v>0.1515</v>
      </c>
      <c r="I880" s="9">
        <v>0.43</v>
      </c>
      <c r="J880" s="9">
        <v>0.16420000000000001</v>
      </c>
      <c r="K880" s="9">
        <v>1</v>
      </c>
      <c r="L880" s="9">
        <v>40</v>
      </c>
      <c r="M880" s="9">
        <v>41</v>
      </c>
    </row>
    <row r="881" spans="1:13">
      <c r="A881" s="9">
        <v>889</v>
      </c>
      <c r="B881" s="10">
        <v>40583</v>
      </c>
      <c r="C881" s="9">
        <v>12</v>
      </c>
      <c r="D881" s="9" t="b">
        <v>0</v>
      </c>
      <c r="E881" s="9" t="str">
        <f t="shared" si="13"/>
        <v>Weekday</v>
      </c>
      <c r="F881" s="9">
        <v>2</v>
      </c>
      <c r="G881" s="9">
        <v>0.18</v>
      </c>
      <c r="H881" s="9">
        <v>0.18179999999999999</v>
      </c>
      <c r="I881" s="9">
        <v>0.4</v>
      </c>
      <c r="J881" s="9">
        <v>0.22389999999999999</v>
      </c>
      <c r="K881" s="9">
        <v>4</v>
      </c>
      <c r="L881" s="9">
        <v>57</v>
      </c>
      <c r="M881" s="9">
        <v>61</v>
      </c>
    </row>
    <row r="882" spans="1:13">
      <c r="A882" s="9">
        <v>890</v>
      </c>
      <c r="B882" s="10">
        <v>40583</v>
      </c>
      <c r="C882" s="9">
        <v>13</v>
      </c>
      <c r="D882" s="9" t="b">
        <v>0</v>
      </c>
      <c r="E882" s="9" t="str">
        <f t="shared" si="13"/>
        <v>Weekday</v>
      </c>
      <c r="F882" s="9">
        <v>1</v>
      </c>
      <c r="G882" s="9">
        <v>0.18</v>
      </c>
      <c r="H882" s="9">
        <v>0.16669999999999999</v>
      </c>
      <c r="I882" s="9">
        <v>0.4</v>
      </c>
      <c r="J882" s="9">
        <v>0.25369999999999998</v>
      </c>
      <c r="K882" s="9">
        <v>2</v>
      </c>
      <c r="L882" s="9">
        <v>67</v>
      </c>
      <c r="M882" s="9">
        <v>69</v>
      </c>
    </row>
    <row r="883" spans="1:13">
      <c r="A883" s="9">
        <v>891</v>
      </c>
      <c r="B883" s="10">
        <v>40583</v>
      </c>
      <c r="C883" s="9">
        <v>14</v>
      </c>
      <c r="D883" s="9" t="b">
        <v>0</v>
      </c>
      <c r="E883" s="9" t="str">
        <f t="shared" si="13"/>
        <v>Weekday</v>
      </c>
      <c r="F883" s="9">
        <v>1</v>
      </c>
      <c r="G883" s="9">
        <v>0.2</v>
      </c>
      <c r="H883" s="9">
        <v>0.18179999999999999</v>
      </c>
      <c r="I883" s="9">
        <v>0.34</v>
      </c>
      <c r="J883" s="9">
        <v>0.29849999999999999</v>
      </c>
      <c r="K883" s="9">
        <v>2</v>
      </c>
      <c r="L883" s="9">
        <v>56</v>
      </c>
      <c r="M883" s="9">
        <v>58</v>
      </c>
    </row>
    <row r="884" spans="1:13">
      <c r="A884" s="9">
        <v>892</v>
      </c>
      <c r="B884" s="10">
        <v>40583</v>
      </c>
      <c r="C884" s="9">
        <v>15</v>
      </c>
      <c r="D884" s="9" t="b">
        <v>0</v>
      </c>
      <c r="E884" s="9" t="str">
        <f t="shared" si="13"/>
        <v>Weekday</v>
      </c>
      <c r="F884" s="9">
        <v>2</v>
      </c>
      <c r="G884" s="9">
        <v>0.2</v>
      </c>
      <c r="H884" s="9">
        <v>0.18179999999999999</v>
      </c>
      <c r="I884" s="9">
        <v>0.34</v>
      </c>
      <c r="J884" s="9">
        <v>0.28360000000000002</v>
      </c>
      <c r="K884" s="9">
        <v>3</v>
      </c>
      <c r="L884" s="9">
        <v>61</v>
      </c>
      <c r="M884" s="9">
        <v>64</v>
      </c>
    </row>
    <row r="885" spans="1:13">
      <c r="A885" s="9">
        <v>893</v>
      </c>
      <c r="B885" s="10">
        <v>40583</v>
      </c>
      <c r="C885" s="9">
        <v>16</v>
      </c>
      <c r="D885" s="9" t="b">
        <v>0</v>
      </c>
      <c r="E885" s="9" t="str">
        <f t="shared" si="13"/>
        <v>Weekday</v>
      </c>
      <c r="F885" s="9">
        <v>2</v>
      </c>
      <c r="G885" s="9">
        <v>0.2</v>
      </c>
      <c r="H885" s="9">
        <v>0.19700000000000001</v>
      </c>
      <c r="I885" s="9">
        <v>0.37</v>
      </c>
      <c r="J885" s="9">
        <v>0.25369999999999998</v>
      </c>
      <c r="K885" s="9">
        <v>7</v>
      </c>
      <c r="L885" s="9">
        <v>72</v>
      </c>
      <c r="M885" s="9">
        <v>79</v>
      </c>
    </row>
    <row r="886" spans="1:13">
      <c r="A886" s="9">
        <v>894</v>
      </c>
      <c r="B886" s="10">
        <v>40583</v>
      </c>
      <c r="C886" s="9">
        <v>17</v>
      </c>
      <c r="D886" s="9" t="b">
        <v>0</v>
      </c>
      <c r="E886" s="9" t="str">
        <f t="shared" si="13"/>
        <v>Weekday</v>
      </c>
      <c r="F886" s="9">
        <v>2</v>
      </c>
      <c r="G886" s="9">
        <v>0.2</v>
      </c>
      <c r="H886" s="9">
        <v>0.19700000000000001</v>
      </c>
      <c r="I886" s="9">
        <v>0.34</v>
      </c>
      <c r="J886" s="9">
        <v>0.25369999999999998</v>
      </c>
      <c r="K886" s="9">
        <v>9</v>
      </c>
      <c r="L886" s="9">
        <v>157</v>
      </c>
      <c r="M886" s="9">
        <v>166</v>
      </c>
    </row>
    <row r="887" spans="1:13">
      <c r="A887" s="9">
        <v>895</v>
      </c>
      <c r="B887" s="10">
        <v>40583</v>
      </c>
      <c r="C887" s="9">
        <v>18</v>
      </c>
      <c r="D887" s="9" t="b">
        <v>0</v>
      </c>
      <c r="E887" s="9" t="str">
        <f t="shared" si="13"/>
        <v>Weekday</v>
      </c>
      <c r="F887" s="9">
        <v>2</v>
      </c>
      <c r="G887" s="9">
        <v>0.18</v>
      </c>
      <c r="H887" s="9">
        <v>0.16669999999999999</v>
      </c>
      <c r="I887" s="9">
        <v>0.47</v>
      </c>
      <c r="J887" s="9">
        <v>0.29849999999999999</v>
      </c>
      <c r="K887" s="9">
        <v>2</v>
      </c>
      <c r="L887" s="9">
        <v>168</v>
      </c>
      <c r="M887" s="9">
        <v>170</v>
      </c>
    </row>
    <row r="888" spans="1:13">
      <c r="A888" s="9">
        <v>896</v>
      </c>
      <c r="B888" s="10">
        <v>40583</v>
      </c>
      <c r="C888" s="9">
        <v>19</v>
      </c>
      <c r="D888" s="9" t="b">
        <v>0</v>
      </c>
      <c r="E888" s="9" t="str">
        <f t="shared" si="13"/>
        <v>Weekday</v>
      </c>
      <c r="F888" s="9">
        <v>3</v>
      </c>
      <c r="G888" s="9">
        <v>0.14000000000000001</v>
      </c>
      <c r="H888" s="9">
        <v>0.1212</v>
      </c>
      <c r="I888" s="9">
        <v>0.86</v>
      </c>
      <c r="J888" s="9">
        <v>0.25369999999999998</v>
      </c>
      <c r="K888" s="9">
        <v>1</v>
      </c>
      <c r="L888" s="9">
        <v>87</v>
      </c>
      <c r="M888" s="9">
        <v>88</v>
      </c>
    </row>
    <row r="889" spans="1:13">
      <c r="A889" s="9">
        <v>897</v>
      </c>
      <c r="B889" s="10">
        <v>40583</v>
      </c>
      <c r="C889" s="9">
        <v>20</v>
      </c>
      <c r="D889" s="9" t="b">
        <v>0</v>
      </c>
      <c r="E889" s="9" t="str">
        <f t="shared" si="13"/>
        <v>Weekday</v>
      </c>
      <c r="F889" s="9">
        <v>3</v>
      </c>
      <c r="G889" s="9">
        <v>0.14000000000000001</v>
      </c>
      <c r="H889" s="9">
        <v>0.1515</v>
      </c>
      <c r="I889" s="9">
        <v>0.86</v>
      </c>
      <c r="J889" s="9">
        <v>0.16420000000000001</v>
      </c>
      <c r="K889" s="9">
        <v>0</v>
      </c>
      <c r="L889" s="9">
        <v>84</v>
      </c>
      <c r="M889" s="9">
        <v>84</v>
      </c>
    </row>
    <row r="890" spans="1:13">
      <c r="A890" s="9">
        <v>898</v>
      </c>
      <c r="B890" s="10">
        <v>40583</v>
      </c>
      <c r="C890" s="9">
        <v>21</v>
      </c>
      <c r="D890" s="9" t="b">
        <v>0</v>
      </c>
      <c r="E890" s="9" t="str">
        <f t="shared" si="13"/>
        <v>Weekday</v>
      </c>
      <c r="F890" s="9">
        <v>2</v>
      </c>
      <c r="G890" s="9">
        <v>0.14000000000000001</v>
      </c>
      <c r="H890" s="9">
        <v>0.1515</v>
      </c>
      <c r="I890" s="9">
        <v>0.86</v>
      </c>
      <c r="J890" s="9">
        <v>0.16420000000000001</v>
      </c>
      <c r="K890" s="9">
        <v>0</v>
      </c>
      <c r="L890" s="9">
        <v>83</v>
      </c>
      <c r="M890" s="9">
        <v>83</v>
      </c>
    </row>
    <row r="891" spans="1:13">
      <c r="A891" s="9">
        <v>899</v>
      </c>
      <c r="B891" s="10">
        <v>40583</v>
      </c>
      <c r="C891" s="9">
        <v>22</v>
      </c>
      <c r="D891" s="9" t="b">
        <v>0</v>
      </c>
      <c r="E891" s="9" t="str">
        <f t="shared" si="13"/>
        <v>Weekday</v>
      </c>
      <c r="F891" s="9">
        <v>3</v>
      </c>
      <c r="G891" s="9">
        <v>0.16</v>
      </c>
      <c r="H891" s="9">
        <v>0.16669999999999999</v>
      </c>
      <c r="I891" s="9">
        <v>0.8</v>
      </c>
      <c r="J891" s="9">
        <v>0.16420000000000001</v>
      </c>
      <c r="K891" s="9">
        <v>4</v>
      </c>
      <c r="L891" s="9">
        <v>42</v>
      </c>
      <c r="M891" s="9">
        <v>46</v>
      </c>
    </row>
    <row r="892" spans="1:13">
      <c r="A892" s="9">
        <v>900</v>
      </c>
      <c r="B892" s="10">
        <v>40583</v>
      </c>
      <c r="C892" s="9">
        <v>23</v>
      </c>
      <c r="D892" s="9" t="b">
        <v>0</v>
      </c>
      <c r="E892" s="9" t="str">
        <f t="shared" si="13"/>
        <v>Weekday</v>
      </c>
      <c r="F892" s="9">
        <v>3</v>
      </c>
      <c r="G892" s="9">
        <v>0.16</v>
      </c>
      <c r="H892" s="9">
        <v>0.1515</v>
      </c>
      <c r="I892" s="9">
        <v>0.8</v>
      </c>
      <c r="J892" s="9">
        <v>0.19400000000000001</v>
      </c>
      <c r="K892" s="9">
        <v>0</v>
      </c>
      <c r="L892" s="9">
        <v>37</v>
      </c>
      <c r="M892" s="9">
        <v>37</v>
      </c>
    </row>
    <row r="893" spans="1:13">
      <c r="A893" s="9">
        <v>901</v>
      </c>
      <c r="B893" s="10">
        <v>40584</v>
      </c>
      <c r="C893" s="9">
        <v>0</v>
      </c>
      <c r="D893" s="9" t="b">
        <v>0</v>
      </c>
      <c r="E893" s="9" t="str">
        <f t="shared" si="13"/>
        <v>Weekday</v>
      </c>
      <c r="F893" s="9">
        <v>3</v>
      </c>
      <c r="G893" s="9">
        <v>0.14000000000000001</v>
      </c>
      <c r="H893" s="9">
        <v>0.13639999999999999</v>
      </c>
      <c r="I893" s="9">
        <v>0.86</v>
      </c>
      <c r="J893" s="9">
        <v>0.19400000000000001</v>
      </c>
      <c r="K893" s="9">
        <v>0</v>
      </c>
      <c r="L893" s="9">
        <v>16</v>
      </c>
      <c r="M893" s="9">
        <v>16</v>
      </c>
    </row>
    <row r="894" spans="1:13">
      <c r="A894" s="9">
        <v>902</v>
      </c>
      <c r="B894" s="10">
        <v>40584</v>
      </c>
      <c r="C894" s="9">
        <v>1</v>
      </c>
      <c r="D894" s="9" t="b">
        <v>0</v>
      </c>
      <c r="E894" s="9" t="str">
        <f t="shared" si="13"/>
        <v>Weekday</v>
      </c>
      <c r="F894" s="9">
        <v>3</v>
      </c>
      <c r="G894" s="9">
        <v>0.14000000000000001</v>
      </c>
      <c r="H894" s="9">
        <v>0.1515</v>
      </c>
      <c r="I894" s="9">
        <v>0.8</v>
      </c>
      <c r="J894" s="9">
        <v>0.1343</v>
      </c>
      <c r="K894" s="9">
        <v>0</v>
      </c>
      <c r="L894" s="9">
        <v>7</v>
      </c>
      <c r="M894" s="9">
        <v>7</v>
      </c>
    </row>
    <row r="895" spans="1:13">
      <c r="A895" s="9">
        <v>903</v>
      </c>
      <c r="B895" s="10">
        <v>40584</v>
      </c>
      <c r="C895" s="9">
        <v>2</v>
      </c>
      <c r="D895" s="9" t="b">
        <v>0</v>
      </c>
      <c r="E895" s="9" t="str">
        <f t="shared" si="13"/>
        <v>Weekday</v>
      </c>
      <c r="F895" s="9">
        <v>3</v>
      </c>
      <c r="G895" s="9">
        <v>0.14000000000000001</v>
      </c>
      <c r="H895" s="9">
        <v>0.1515</v>
      </c>
      <c r="I895" s="9">
        <v>0.8</v>
      </c>
      <c r="J895" s="9">
        <v>0.1343</v>
      </c>
      <c r="K895" s="9">
        <v>0</v>
      </c>
      <c r="L895" s="9">
        <v>3</v>
      </c>
      <c r="M895" s="9">
        <v>3</v>
      </c>
    </row>
    <row r="896" spans="1:13">
      <c r="A896" s="9">
        <v>904</v>
      </c>
      <c r="B896" s="10">
        <v>40584</v>
      </c>
      <c r="C896" s="9">
        <v>4</v>
      </c>
      <c r="D896" s="9" t="b">
        <v>0</v>
      </c>
      <c r="E896" s="9" t="str">
        <f t="shared" si="13"/>
        <v>Weekday</v>
      </c>
      <c r="F896" s="9">
        <v>2</v>
      </c>
      <c r="G896" s="9">
        <v>0.14000000000000001</v>
      </c>
      <c r="H896" s="9">
        <v>0.13639999999999999</v>
      </c>
      <c r="I896" s="9">
        <v>0.59</v>
      </c>
      <c r="J896" s="9">
        <v>0.22389999999999999</v>
      </c>
      <c r="K896" s="9">
        <v>0</v>
      </c>
      <c r="L896" s="9">
        <v>1</v>
      </c>
      <c r="M896" s="9">
        <v>1</v>
      </c>
    </row>
    <row r="897" spans="1:13">
      <c r="A897" s="9">
        <v>905</v>
      </c>
      <c r="B897" s="10">
        <v>40584</v>
      </c>
      <c r="C897" s="9">
        <v>5</v>
      </c>
      <c r="D897" s="9" t="b">
        <v>0</v>
      </c>
      <c r="E897" s="9" t="str">
        <f t="shared" si="13"/>
        <v>Weekday</v>
      </c>
      <c r="F897" s="9">
        <v>2</v>
      </c>
      <c r="G897" s="9">
        <v>0.12</v>
      </c>
      <c r="H897" s="9">
        <v>0.1212</v>
      </c>
      <c r="I897" s="9">
        <v>0.5</v>
      </c>
      <c r="J897" s="9">
        <v>0.22389999999999999</v>
      </c>
      <c r="K897" s="9">
        <v>0</v>
      </c>
      <c r="L897" s="9">
        <v>6</v>
      </c>
      <c r="M897" s="9">
        <v>6</v>
      </c>
    </row>
    <row r="898" spans="1:13">
      <c r="A898" s="9">
        <v>906</v>
      </c>
      <c r="B898" s="10">
        <v>40584</v>
      </c>
      <c r="C898" s="9">
        <v>6</v>
      </c>
      <c r="D898" s="9" t="b">
        <v>0</v>
      </c>
      <c r="E898" s="9" t="str">
        <f t="shared" si="13"/>
        <v>Weekday</v>
      </c>
      <c r="F898" s="9">
        <v>2</v>
      </c>
      <c r="G898" s="9">
        <v>0.12</v>
      </c>
      <c r="H898" s="9">
        <v>0.1212</v>
      </c>
      <c r="I898" s="9">
        <v>0.54</v>
      </c>
      <c r="J898" s="9">
        <v>0.28360000000000002</v>
      </c>
      <c r="K898" s="9">
        <v>0</v>
      </c>
      <c r="L898" s="9">
        <v>26</v>
      </c>
      <c r="M898" s="9">
        <v>26</v>
      </c>
    </row>
    <row r="899" spans="1:13">
      <c r="A899" s="9">
        <v>907</v>
      </c>
      <c r="B899" s="10">
        <v>40584</v>
      </c>
      <c r="C899" s="9">
        <v>7</v>
      </c>
      <c r="D899" s="9" t="b">
        <v>0</v>
      </c>
      <c r="E899" s="9" t="str">
        <f t="shared" ref="E899:E962" si="14">IF(WEEKDAY(B899,2)&gt;=6,"Weekend","Weekday")</f>
        <v>Weekday</v>
      </c>
      <c r="F899" s="9">
        <v>1</v>
      </c>
      <c r="G899" s="9">
        <v>0.1</v>
      </c>
      <c r="H899" s="9">
        <v>7.5800000000000006E-2</v>
      </c>
      <c r="I899" s="9">
        <v>0.5</v>
      </c>
      <c r="J899" s="9">
        <v>0.41789999999999999</v>
      </c>
      <c r="K899" s="9">
        <v>0</v>
      </c>
      <c r="L899" s="9">
        <v>99</v>
      </c>
      <c r="M899" s="9">
        <v>99</v>
      </c>
    </row>
    <row r="900" spans="1:13">
      <c r="A900" s="9">
        <v>908</v>
      </c>
      <c r="B900" s="10">
        <v>40584</v>
      </c>
      <c r="C900" s="9">
        <v>8</v>
      </c>
      <c r="D900" s="9" t="b">
        <v>0</v>
      </c>
      <c r="E900" s="9" t="str">
        <f t="shared" si="14"/>
        <v>Weekday</v>
      </c>
      <c r="F900" s="9">
        <v>1</v>
      </c>
      <c r="G900" s="9">
        <v>0.1</v>
      </c>
      <c r="H900" s="9">
        <v>7.5800000000000006E-2</v>
      </c>
      <c r="I900" s="9">
        <v>0.49</v>
      </c>
      <c r="J900" s="9">
        <v>0.32840000000000003</v>
      </c>
      <c r="K900" s="9">
        <v>5</v>
      </c>
      <c r="L900" s="9">
        <v>173</v>
      </c>
      <c r="M900" s="9">
        <v>178</v>
      </c>
    </row>
    <row r="901" spans="1:13">
      <c r="A901" s="9">
        <v>909</v>
      </c>
      <c r="B901" s="10">
        <v>40584</v>
      </c>
      <c r="C901" s="9">
        <v>9</v>
      </c>
      <c r="D901" s="9" t="b">
        <v>0</v>
      </c>
      <c r="E901" s="9" t="str">
        <f t="shared" si="14"/>
        <v>Weekday</v>
      </c>
      <c r="F901" s="9">
        <v>1</v>
      </c>
      <c r="G901" s="9">
        <v>0.12</v>
      </c>
      <c r="H901" s="9">
        <v>0.1061</v>
      </c>
      <c r="I901" s="9">
        <v>0.42</v>
      </c>
      <c r="J901" s="9">
        <v>0.35820000000000002</v>
      </c>
      <c r="K901" s="9">
        <v>1</v>
      </c>
      <c r="L901" s="9">
        <v>121</v>
      </c>
      <c r="M901" s="9">
        <v>122</v>
      </c>
    </row>
    <row r="902" spans="1:13">
      <c r="A902" s="9">
        <v>910</v>
      </c>
      <c r="B902" s="10">
        <v>40584</v>
      </c>
      <c r="C902" s="9">
        <v>10</v>
      </c>
      <c r="D902" s="9" t="b">
        <v>0</v>
      </c>
      <c r="E902" s="9" t="str">
        <f t="shared" si="14"/>
        <v>Weekday</v>
      </c>
      <c r="F902" s="9">
        <v>1</v>
      </c>
      <c r="G902" s="9">
        <v>0.12</v>
      </c>
      <c r="H902" s="9">
        <v>0.1061</v>
      </c>
      <c r="I902" s="9">
        <v>0.42</v>
      </c>
      <c r="J902" s="9">
        <v>0.29849999999999999</v>
      </c>
      <c r="K902" s="9">
        <v>1</v>
      </c>
      <c r="L902" s="9">
        <v>34</v>
      </c>
      <c r="M902" s="9">
        <v>35</v>
      </c>
    </row>
    <row r="903" spans="1:13">
      <c r="A903" s="9">
        <v>911</v>
      </c>
      <c r="B903" s="10">
        <v>40584</v>
      </c>
      <c r="C903" s="9">
        <v>11</v>
      </c>
      <c r="D903" s="9" t="b">
        <v>0</v>
      </c>
      <c r="E903" s="9" t="str">
        <f t="shared" si="14"/>
        <v>Weekday</v>
      </c>
      <c r="F903" s="9">
        <v>1</v>
      </c>
      <c r="G903" s="9">
        <v>0.14000000000000001</v>
      </c>
      <c r="H903" s="9">
        <v>0.1212</v>
      </c>
      <c r="I903" s="9">
        <v>0.39</v>
      </c>
      <c r="J903" s="9">
        <v>0.35820000000000002</v>
      </c>
      <c r="K903" s="9">
        <v>1</v>
      </c>
      <c r="L903" s="9">
        <v>44</v>
      </c>
      <c r="M903" s="9">
        <v>45</v>
      </c>
    </row>
    <row r="904" spans="1:13">
      <c r="A904" s="9">
        <v>912</v>
      </c>
      <c r="B904" s="10">
        <v>40584</v>
      </c>
      <c r="C904" s="9">
        <v>12</v>
      </c>
      <c r="D904" s="9" t="b">
        <v>0</v>
      </c>
      <c r="E904" s="9" t="str">
        <f t="shared" si="14"/>
        <v>Weekday</v>
      </c>
      <c r="F904" s="9">
        <v>1</v>
      </c>
      <c r="G904" s="9">
        <v>0.16</v>
      </c>
      <c r="H904" s="9">
        <v>0.13639999999999999</v>
      </c>
      <c r="I904" s="9">
        <v>0.34</v>
      </c>
      <c r="J904" s="9">
        <v>0.3881</v>
      </c>
      <c r="K904" s="9">
        <v>4</v>
      </c>
      <c r="L904" s="9">
        <v>65</v>
      </c>
      <c r="M904" s="9">
        <v>69</v>
      </c>
    </row>
    <row r="905" spans="1:13">
      <c r="A905" s="9">
        <v>913</v>
      </c>
      <c r="B905" s="10">
        <v>40584</v>
      </c>
      <c r="C905" s="9">
        <v>13</v>
      </c>
      <c r="D905" s="9" t="b">
        <v>0</v>
      </c>
      <c r="E905" s="9" t="str">
        <f t="shared" si="14"/>
        <v>Weekday</v>
      </c>
      <c r="F905" s="9">
        <v>1</v>
      </c>
      <c r="G905" s="9">
        <v>0.18</v>
      </c>
      <c r="H905" s="9">
        <v>0.16669999999999999</v>
      </c>
      <c r="I905" s="9">
        <v>0.28999999999999998</v>
      </c>
      <c r="J905" s="9">
        <v>0.29849999999999999</v>
      </c>
      <c r="K905" s="9">
        <v>3</v>
      </c>
      <c r="L905" s="9">
        <v>59</v>
      </c>
      <c r="M905" s="9">
        <v>62</v>
      </c>
    </row>
    <row r="906" spans="1:13">
      <c r="A906" s="9">
        <v>914</v>
      </c>
      <c r="B906" s="10">
        <v>40584</v>
      </c>
      <c r="C906" s="9">
        <v>14</v>
      </c>
      <c r="D906" s="9" t="b">
        <v>0</v>
      </c>
      <c r="E906" s="9" t="str">
        <f t="shared" si="14"/>
        <v>Weekday</v>
      </c>
      <c r="F906" s="9">
        <v>1</v>
      </c>
      <c r="G906" s="9">
        <v>0.2</v>
      </c>
      <c r="H906" s="9">
        <v>0.18179999999999999</v>
      </c>
      <c r="I906" s="9">
        <v>0.27</v>
      </c>
      <c r="J906" s="9">
        <v>0.28360000000000002</v>
      </c>
      <c r="K906" s="9">
        <v>6</v>
      </c>
      <c r="L906" s="9">
        <v>42</v>
      </c>
      <c r="M906" s="9">
        <v>48</v>
      </c>
    </row>
    <row r="907" spans="1:13">
      <c r="A907" s="9">
        <v>915</v>
      </c>
      <c r="B907" s="10">
        <v>40584</v>
      </c>
      <c r="C907" s="9">
        <v>15</v>
      </c>
      <c r="D907" s="9" t="b">
        <v>0</v>
      </c>
      <c r="E907" s="9" t="str">
        <f t="shared" si="14"/>
        <v>Weekday</v>
      </c>
      <c r="F907" s="9">
        <v>1</v>
      </c>
      <c r="G907" s="9">
        <v>0.2</v>
      </c>
      <c r="H907" s="9">
        <v>0.19700000000000001</v>
      </c>
      <c r="I907" s="9">
        <v>0.25</v>
      </c>
      <c r="J907" s="9">
        <v>0.25369999999999998</v>
      </c>
      <c r="K907" s="9">
        <v>0</v>
      </c>
      <c r="L907" s="9">
        <v>50</v>
      </c>
      <c r="M907" s="9">
        <v>50</v>
      </c>
    </row>
    <row r="908" spans="1:13">
      <c r="A908" s="9">
        <v>916</v>
      </c>
      <c r="B908" s="10">
        <v>40584</v>
      </c>
      <c r="C908" s="9">
        <v>16</v>
      </c>
      <c r="D908" s="9" t="b">
        <v>0</v>
      </c>
      <c r="E908" s="9" t="str">
        <f t="shared" si="14"/>
        <v>Weekday</v>
      </c>
      <c r="F908" s="9">
        <v>1</v>
      </c>
      <c r="G908" s="9">
        <v>0.2</v>
      </c>
      <c r="H908" s="9">
        <v>0.18179999999999999</v>
      </c>
      <c r="I908" s="9">
        <v>0.27</v>
      </c>
      <c r="J908" s="9">
        <v>0.29849999999999999</v>
      </c>
      <c r="K908" s="9">
        <v>4</v>
      </c>
      <c r="L908" s="9">
        <v>76</v>
      </c>
      <c r="M908" s="9">
        <v>80</v>
      </c>
    </row>
    <row r="909" spans="1:13">
      <c r="A909" s="9">
        <v>917</v>
      </c>
      <c r="B909" s="10">
        <v>40584</v>
      </c>
      <c r="C909" s="9">
        <v>17</v>
      </c>
      <c r="D909" s="9" t="b">
        <v>0</v>
      </c>
      <c r="E909" s="9" t="str">
        <f t="shared" si="14"/>
        <v>Weekday</v>
      </c>
      <c r="F909" s="9">
        <v>1</v>
      </c>
      <c r="G909" s="9">
        <v>0.18</v>
      </c>
      <c r="H909" s="9">
        <v>0.18179999999999999</v>
      </c>
      <c r="I909" s="9">
        <v>0.26</v>
      </c>
      <c r="J909" s="9">
        <v>0.19400000000000001</v>
      </c>
      <c r="K909" s="9">
        <v>6</v>
      </c>
      <c r="L909" s="9">
        <v>159</v>
      </c>
      <c r="M909" s="9">
        <v>165</v>
      </c>
    </row>
    <row r="910" spans="1:13">
      <c r="A910" s="9">
        <v>918</v>
      </c>
      <c r="B910" s="10">
        <v>40584</v>
      </c>
      <c r="C910" s="9">
        <v>18</v>
      </c>
      <c r="D910" s="9" t="b">
        <v>0</v>
      </c>
      <c r="E910" s="9" t="str">
        <f t="shared" si="14"/>
        <v>Weekday</v>
      </c>
      <c r="F910" s="9">
        <v>1</v>
      </c>
      <c r="G910" s="9">
        <v>0.16</v>
      </c>
      <c r="H910" s="9">
        <v>0.18179999999999999</v>
      </c>
      <c r="I910" s="9">
        <v>0.28000000000000003</v>
      </c>
      <c r="J910" s="9">
        <v>0.1343</v>
      </c>
      <c r="K910" s="9">
        <v>3</v>
      </c>
      <c r="L910" s="9">
        <v>157</v>
      </c>
      <c r="M910" s="9">
        <v>160</v>
      </c>
    </row>
    <row r="911" spans="1:13">
      <c r="A911" s="9">
        <v>919</v>
      </c>
      <c r="B911" s="10">
        <v>40584</v>
      </c>
      <c r="C911" s="9">
        <v>19</v>
      </c>
      <c r="D911" s="9" t="b">
        <v>0</v>
      </c>
      <c r="E911" s="9" t="str">
        <f t="shared" si="14"/>
        <v>Weekday</v>
      </c>
      <c r="F911" s="9">
        <v>1</v>
      </c>
      <c r="G911" s="9">
        <v>0.14000000000000001</v>
      </c>
      <c r="H911" s="9">
        <v>0.16669999999999999</v>
      </c>
      <c r="I911" s="9">
        <v>0.28000000000000003</v>
      </c>
      <c r="J911" s="9">
        <v>0.1045</v>
      </c>
      <c r="K911" s="9">
        <v>2</v>
      </c>
      <c r="L911" s="9">
        <v>110</v>
      </c>
      <c r="M911" s="9">
        <v>112</v>
      </c>
    </row>
    <row r="912" spans="1:13">
      <c r="A912" s="9">
        <v>920</v>
      </c>
      <c r="B912" s="10">
        <v>40584</v>
      </c>
      <c r="C912" s="9">
        <v>20</v>
      </c>
      <c r="D912" s="9" t="b">
        <v>0</v>
      </c>
      <c r="E912" s="9" t="str">
        <f t="shared" si="14"/>
        <v>Weekday</v>
      </c>
      <c r="F912" s="9">
        <v>1</v>
      </c>
      <c r="G912" s="9">
        <v>0.14000000000000001</v>
      </c>
      <c r="H912" s="9">
        <v>0.18179999999999999</v>
      </c>
      <c r="I912" s="9">
        <v>0.31</v>
      </c>
      <c r="J912" s="9">
        <v>8.9599999999999999E-2</v>
      </c>
      <c r="K912" s="9">
        <v>4</v>
      </c>
      <c r="L912" s="9">
        <v>93</v>
      </c>
      <c r="M912" s="9">
        <v>97</v>
      </c>
    </row>
    <row r="913" spans="1:13">
      <c r="A913" s="9">
        <v>921</v>
      </c>
      <c r="B913" s="10">
        <v>40584</v>
      </c>
      <c r="C913" s="9">
        <v>21</v>
      </c>
      <c r="D913" s="9" t="b">
        <v>0</v>
      </c>
      <c r="E913" s="9" t="str">
        <f t="shared" si="14"/>
        <v>Weekday</v>
      </c>
      <c r="F913" s="9">
        <v>1</v>
      </c>
      <c r="G913" s="9">
        <v>0.14000000000000001</v>
      </c>
      <c r="H913" s="9">
        <v>0.21210000000000001</v>
      </c>
      <c r="I913" s="9">
        <v>0.39</v>
      </c>
      <c r="J913" s="9">
        <v>0</v>
      </c>
      <c r="K913" s="9">
        <v>2</v>
      </c>
      <c r="L913" s="9">
        <v>70</v>
      </c>
      <c r="M913" s="9">
        <v>72</v>
      </c>
    </row>
    <row r="914" spans="1:13">
      <c r="A914" s="9">
        <v>922</v>
      </c>
      <c r="B914" s="10">
        <v>40584</v>
      </c>
      <c r="C914" s="9">
        <v>22</v>
      </c>
      <c r="D914" s="9" t="b">
        <v>0</v>
      </c>
      <c r="E914" s="9" t="str">
        <f t="shared" si="14"/>
        <v>Weekday</v>
      </c>
      <c r="F914" s="9">
        <v>1</v>
      </c>
      <c r="G914" s="9">
        <v>0.12</v>
      </c>
      <c r="H914" s="9">
        <v>0.19700000000000001</v>
      </c>
      <c r="I914" s="9">
        <v>0.39</v>
      </c>
      <c r="J914" s="9">
        <v>0</v>
      </c>
      <c r="K914" s="9">
        <v>4</v>
      </c>
      <c r="L914" s="9">
        <v>47</v>
      </c>
      <c r="M914" s="9">
        <v>51</v>
      </c>
    </row>
    <row r="915" spans="1:13">
      <c r="A915" s="9">
        <v>923</v>
      </c>
      <c r="B915" s="10">
        <v>40584</v>
      </c>
      <c r="C915" s="9">
        <v>23</v>
      </c>
      <c r="D915" s="9" t="b">
        <v>0</v>
      </c>
      <c r="E915" s="9" t="str">
        <f t="shared" si="14"/>
        <v>Weekday</v>
      </c>
      <c r="F915" s="9">
        <v>1</v>
      </c>
      <c r="G915" s="9">
        <v>0.12</v>
      </c>
      <c r="H915" s="9">
        <v>0.1515</v>
      </c>
      <c r="I915" s="9">
        <v>0.42</v>
      </c>
      <c r="J915" s="9">
        <v>0.1045</v>
      </c>
      <c r="K915" s="9">
        <v>1</v>
      </c>
      <c r="L915" s="9">
        <v>33</v>
      </c>
      <c r="M915" s="9">
        <v>34</v>
      </c>
    </row>
    <row r="916" spans="1:13">
      <c r="A916" s="9">
        <v>924</v>
      </c>
      <c r="B916" s="10">
        <v>40585</v>
      </c>
      <c r="C916" s="9">
        <v>0</v>
      </c>
      <c r="D916" s="9" t="b">
        <v>0</v>
      </c>
      <c r="E916" s="9" t="str">
        <f t="shared" si="14"/>
        <v>Weekday</v>
      </c>
      <c r="F916" s="9">
        <v>1</v>
      </c>
      <c r="G916" s="9">
        <v>0.1</v>
      </c>
      <c r="H916" s="9">
        <v>0.13639999999999999</v>
      </c>
      <c r="I916" s="9">
        <v>0.49</v>
      </c>
      <c r="J916" s="9">
        <v>0.1045</v>
      </c>
      <c r="K916" s="9">
        <v>2</v>
      </c>
      <c r="L916" s="9">
        <v>12</v>
      </c>
      <c r="M916" s="9">
        <v>14</v>
      </c>
    </row>
    <row r="917" spans="1:13">
      <c r="A917" s="9">
        <v>925</v>
      </c>
      <c r="B917" s="10">
        <v>40585</v>
      </c>
      <c r="C917" s="9">
        <v>1</v>
      </c>
      <c r="D917" s="9" t="b">
        <v>0</v>
      </c>
      <c r="E917" s="9" t="str">
        <f t="shared" si="14"/>
        <v>Weekday</v>
      </c>
      <c r="F917" s="9">
        <v>1</v>
      </c>
      <c r="G917" s="9">
        <v>0.1</v>
      </c>
      <c r="H917" s="9">
        <v>0.13639999999999999</v>
      </c>
      <c r="I917" s="9">
        <v>0.54</v>
      </c>
      <c r="J917" s="9">
        <v>8.9599999999999999E-2</v>
      </c>
      <c r="K917" s="9">
        <v>1</v>
      </c>
      <c r="L917" s="9">
        <v>6</v>
      </c>
      <c r="M917" s="9">
        <v>7</v>
      </c>
    </row>
    <row r="918" spans="1:13">
      <c r="A918" s="9">
        <v>926</v>
      </c>
      <c r="B918" s="10">
        <v>40585</v>
      </c>
      <c r="C918" s="9">
        <v>2</v>
      </c>
      <c r="D918" s="9" t="b">
        <v>0</v>
      </c>
      <c r="E918" s="9" t="str">
        <f t="shared" si="14"/>
        <v>Weekday</v>
      </c>
      <c r="F918" s="9">
        <v>1</v>
      </c>
      <c r="G918" s="9">
        <v>0.1</v>
      </c>
      <c r="H918" s="9">
        <v>0.13639999999999999</v>
      </c>
      <c r="I918" s="9">
        <v>0.54</v>
      </c>
      <c r="J918" s="9">
        <v>8.9599999999999999E-2</v>
      </c>
      <c r="K918" s="9">
        <v>0</v>
      </c>
      <c r="L918" s="9">
        <v>3</v>
      </c>
      <c r="M918" s="9">
        <v>3</v>
      </c>
    </row>
    <row r="919" spans="1:13">
      <c r="A919" s="9">
        <v>927</v>
      </c>
      <c r="B919" s="10">
        <v>40585</v>
      </c>
      <c r="C919" s="9">
        <v>5</v>
      </c>
      <c r="D919" s="9" t="b">
        <v>0</v>
      </c>
      <c r="E919" s="9" t="str">
        <f t="shared" si="14"/>
        <v>Weekday</v>
      </c>
      <c r="F919" s="9">
        <v>1</v>
      </c>
      <c r="G919" s="9">
        <v>0.08</v>
      </c>
      <c r="H919" s="9">
        <v>0.1212</v>
      </c>
      <c r="I919" s="9">
        <v>0.63</v>
      </c>
      <c r="J919" s="9">
        <v>8.9599999999999999E-2</v>
      </c>
      <c r="K919" s="9">
        <v>0</v>
      </c>
      <c r="L919" s="9">
        <v>4</v>
      </c>
      <c r="M919" s="9">
        <v>4</v>
      </c>
    </row>
    <row r="920" spans="1:13">
      <c r="A920" s="9">
        <v>928</v>
      </c>
      <c r="B920" s="10">
        <v>40585</v>
      </c>
      <c r="C920" s="9">
        <v>6</v>
      </c>
      <c r="D920" s="9" t="b">
        <v>0</v>
      </c>
      <c r="E920" s="9" t="str">
        <f t="shared" si="14"/>
        <v>Weekday</v>
      </c>
      <c r="F920" s="9">
        <v>1</v>
      </c>
      <c r="G920" s="9">
        <v>0.1</v>
      </c>
      <c r="H920" s="9">
        <v>0.18179999999999999</v>
      </c>
      <c r="I920" s="9">
        <v>0.68</v>
      </c>
      <c r="J920" s="9">
        <v>0</v>
      </c>
      <c r="K920" s="9">
        <v>1</v>
      </c>
      <c r="L920" s="9">
        <v>23</v>
      </c>
      <c r="M920" s="9">
        <v>24</v>
      </c>
    </row>
    <row r="921" spans="1:13">
      <c r="A921" s="9">
        <v>929</v>
      </c>
      <c r="B921" s="10">
        <v>40585</v>
      </c>
      <c r="C921" s="9">
        <v>7</v>
      </c>
      <c r="D921" s="9" t="b">
        <v>0</v>
      </c>
      <c r="E921" s="9" t="str">
        <f t="shared" si="14"/>
        <v>Weekday</v>
      </c>
      <c r="F921" s="9">
        <v>1</v>
      </c>
      <c r="G921" s="9">
        <v>0.08</v>
      </c>
      <c r="H921" s="9">
        <v>0.16669999999999999</v>
      </c>
      <c r="I921" s="9">
        <v>0.73</v>
      </c>
      <c r="J921" s="9">
        <v>0</v>
      </c>
      <c r="K921" s="9">
        <v>1</v>
      </c>
      <c r="L921" s="9">
        <v>73</v>
      </c>
      <c r="M921" s="9">
        <v>74</v>
      </c>
    </row>
    <row r="922" spans="1:13">
      <c r="A922" s="9">
        <v>930</v>
      </c>
      <c r="B922" s="10">
        <v>40585</v>
      </c>
      <c r="C922" s="9">
        <v>8</v>
      </c>
      <c r="D922" s="9" t="b">
        <v>0</v>
      </c>
      <c r="E922" s="9" t="str">
        <f t="shared" si="14"/>
        <v>Weekday</v>
      </c>
      <c r="F922" s="9">
        <v>1</v>
      </c>
      <c r="G922" s="9">
        <v>0.1</v>
      </c>
      <c r="H922" s="9">
        <v>0.1212</v>
      </c>
      <c r="I922" s="9">
        <v>0.74</v>
      </c>
      <c r="J922" s="9">
        <v>0.16420000000000001</v>
      </c>
      <c r="K922" s="9">
        <v>4</v>
      </c>
      <c r="L922" s="9">
        <v>212</v>
      </c>
      <c r="M922" s="9">
        <v>216</v>
      </c>
    </row>
    <row r="923" spans="1:13">
      <c r="A923" s="9">
        <v>931</v>
      </c>
      <c r="B923" s="10">
        <v>40585</v>
      </c>
      <c r="C923" s="9">
        <v>9</v>
      </c>
      <c r="D923" s="9" t="b">
        <v>0</v>
      </c>
      <c r="E923" s="9" t="str">
        <f t="shared" si="14"/>
        <v>Weekday</v>
      </c>
      <c r="F923" s="9">
        <v>1</v>
      </c>
      <c r="G923" s="9">
        <v>0.12</v>
      </c>
      <c r="H923" s="9">
        <v>0.1212</v>
      </c>
      <c r="I923" s="9">
        <v>0.74</v>
      </c>
      <c r="J923" s="9">
        <v>0.22389999999999999</v>
      </c>
      <c r="K923" s="9">
        <v>8</v>
      </c>
      <c r="L923" s="9">
        <v>132</v>
      </c>
      <c r="M923" s="9">
        <v>140</v>
      </c>
    </row>
    <row r="924" spans="1:13">
      <c r="A924" s="9">
        <v>932</v>
      </c>
      <c r="B924" s="10">
        <v>40585</v>
      </c>
      <c r="C924" s="9">
        <v>10</v>
      </c>
      <c r="D924" s="9" t="b">
        <v>0</v>
      </c>
      <c r="E924" s="9" t="str">
        <f t="shared" si="14"/>
        <v>Weekday</v>
      </c>
      <c r="F924" s="9">
        <v>1</v>
      </c>
      <c r="G924" s="9">
        <v>0.14000000000000001</v>
      </c>
      <c r="H924" s="9">
        <v>0.13639999999999999</v>
      </c>
      <c r="I924" s="9">
        <v>0.69</v>
      </c>
      <c r="J924" s="9">
        <v>0.19400000000000001</v>
      </c>
      <c r="K924" s="9">
        <v>5</v>
      </c>
      <c r="L924" s="9">
        <v>39</v>
      </c>
      <c r="M924" s="9">
        <v>44</v>
      </c>
    </row>
    <row r="925" spans="1:13">
      <c r="A925" s="9">
        <v>933</v>
      </c>
      <c r="B925" s="10">
        <v>40585</v>
      </c>
      <c r="C925" s="9">
        <v>11</v>
      </c>
      <c r="D925" s="9" t="b">
        <v>0</v>
      </c>
      <c r="E925" s="9" t="str">
        <f t="shared" si="14"/>
        <v>Weekday</v>
      </c>
      <c r="F925" s="9">
        <v>1</v>
      </c>
      <c r="G925" s="9">
        <v>0.22</v>
      </c>
      <c r="H925" s="9">
        <v>0.2273</v>
      </c>
      <c r="I925" s="9">
        <v>0.47</v>
      </c>
      <c r="J925" s="9">
        <v>0.1343</v>
      </c>
      <c r="K925" s="9">
        <v>12</v>
      </c>
      <c r="L925" s="9">
        <v>52</v>
      </c>
      <c r="M925" s="9">
        <v>64</v>
      </c>
    </row>
    <row r="926" spans="1:13">
      <c r="A926" s="9">
        <v>934</v>
      </c>
      <c r="B926" s="10">
        <v>40585</v>
      </c>
      <c r="C926" s="9">
        <v>12</v>
      </c>
      <c r="D926" s="9" t="b">
        <v>0</v>
      </c>
      <c r="E926" s="9" t="str">
        <f t="shared" si="14"/>
        <v>Weekday</v>
      </c>
      <c r="F926" s="9">
        <v>1</v>
      </c>
      <c r="G926" s="9">
        <v>0.22</v>
      </c>
      <c r="H926" s="9">
        <v>0.2273</v>
      </c>
      <c r="I926" s="9">
        <v>0.47</v>
      </c>
      <c r="J926" s="9">
        <v>0.1343</v>
      </c>
      <c r="K926" s="9">
        <v>7</v>
      </c>
      <c r="L926" s="9">
        <v>64</v>
      </c>
      <c r="M926" s="9">
        <v>71</v>
      </c>
    </row>
    <row r="927" spans="1:13">
      <c r="A927" s="9">
        <v>935</v>
      </c>
      <c r="B927" s="10">
        <v>40585</v>
      </c>
      <c r="C927" s="9">
        <v>13</v>
      </c>
      <c r="D927" s="9" t="b">
        <v>0</v>
      </c>
      <c r="E927" s="9" t="str">
        <f t="shared" si="14"/>
        <v>Weekday</v>
      </c>
      <c r="F927" s="9">
        <v>1</v>
      </c>
      <c r="G927" s="9">
        <v>0.24</v>
      </c>
      <c r="H927" s="9">
        <v>0.2273</v>
      </c>
      <c r="I927" s="9">
        <v>0.35</v>
      </c>
      <c r="J927" s="9">
        <v>0.19400000000000001</v>
      </c>
      <c r="K927" s="9">
        <v>21</v>
      </c>
      <c r="L927" s="9">
        <v>89</v>
      </c>
      <c r="M927" s="9">
        <v>110</v>
      </c>
    </row>
    <row r="928" spans="1:13">
      <c r="A928" s="9">
        <v>936</v>
      </c>
      <c r="B928" s="10">
        <v>40585</v>
      </c>
      <c r="C928" s="9">
        <v>14</v>
      </c>
      <c r="D928" s="9" t="b">
        <v>0</v>
      </c>
      <c r="E928" s="9" t="str">
        <f t="shared" si="14"/>
        <v>Weekday</v>
      </c>
      <c r="F928" s="9">
        <v>1</v>
      </c>
      <c r="G928" s="9">
        <v>0.3</v>
      </c>
      <c r="H928" s="9">
        <v>0.28789999999999999</v>
      </c>
      <c r="I928" s="9">
        <v>0.26</v>
      </c>
      <c r="J928" s="9">
        <v>0.25369999999999998</v>
      </c>
      <c r="K928" s="9">
        <v>17</v>
      </c>
      <c r="L928" s="9">
        <v>67</v>
      </c>
      <c r="M928" s="9">
        <v>84</v>
      </c>
    </row>
    <row r="929" spans="1:13">
      <c r="A929" s="9">
        <v>937</v>
      </c>
      <c r="B929" s="10">
        <v>40585</v>
      </c>
      <c r="C929" s="9">
        <v>15</v>
      </c>
      <c r="D929" s="9" t="b">
        <v>0</v>
      </c>
      <c r="E929" s="9" t="str">
        <f t="shared" si="14"/>
        <v>Weekday</v>
      </c>
      <c r="F929" s="9">
        <v>1</v>
      </c>
      <c r="G929" s="9">
        <v>0.32</v>
      </c>
      <c r="H929" s="9">
        <v>0.31819999999999998</v>
      </c>
      <c r="I929" s="9">
        <v>0.21</v>
      </c>
      <c r="J929" s="9">
        <v>0.16420000000000001</v>
      </c>
      <c r="K929" s="9">
        <v>12</v>
      </c>
      <c r="L929" s="9">
        <v>62</v>
      </c>
      <c r="M929" s="9">
        <v>74</v>
      </c>
    </row>
    <row r="930" spans="1:13">
      <c r="A930" s="9">
        <v>938</v>
      </c>
      <c r="B930" s="10">
        <v>40585</v>
      </c>
      <c r="C930" s="9">
        <v>16</v>
      </c>
      <c r="D930" s="9" t="b">
        <v>0</v>
      </c>
      <c r="E930" s="9" t="str">
        <f t="shared" si="14"/>
        <v>Weekday</v>
      </c>
      <c r="F930" s="9">
        <v>1</v>
      </c>
      <c r="G930" s="9">
        <v>0.3</v>
      </c>
      <c r="H930" s="9">
        <v>0.28789999999999999</v>
      </c>
      <c r="I930" s="9">
        <v>0.28000000000000003</v>
      </c>
      <c r="J930" s="9">
        <v>0.19400000000000001</v>
      </c>
      <c r="K930" s="9">
        <v>14</v>
      </c>
      <c r="L930" s="9">
        <v>111</v>
      </c>
      <c r="M930" s="9">
        <v>125</v>
      </c>
    </row>
    <row r="931" spans="1:13">
      <c r="A931" s="9">
        <v>939</v>
      </c>
      <c r="B931" s="10">
        <v>40585</v>
      </c>
      <c r="C931" s="9">
        <v>17</v>
      </c>
      <c r="D931" s="9" t="b">
        <v>0</v>
      </c>
      <c r="E931" s="9" t="str">
        <f t="shared" si="14"/>
        <v>Weekday</v>
      </c>
      <c r="F931" s="9">
        <v>1</v>
      </c>
      <c r="G931" s="9">
        <v>0.3</v>
      </c>
      <c r="H931" s="9">
        <v>0.33329999999999999</v>
      </c>
      <c r="I931" s="9">
        <v>0.24</v>
      </c>
      <c r="J931" s="9">
        <v>0</v>
      </c>
      <c r="K931" s="9">
        <v>18</v>
      </c>
      <c r="L931" s="9">
        <v>193</v>
      </c>
      <c r="M931" s="9">
        <v>211</v>
      </c>
    </row>
    <row r="932" spans="1:13">
      <c r="A932" s="9">
        <v>940</v>
      </c>
      <c r="B932" s="10">
        <v>40585</v>
      </c>
      <c r="C932" s="9">
        <v>18</v>
      </c>
      <c r="D932" s="9" t="b">
        <v>0</v>
      </c>
      <c r="E932" s="9" t="str">
        <f t="shared" si="14"/>
        <v>Weekday</v>
      </c>
      <c r="F932" s="9">
        <v>1</v>
      </c>
      <c r="G932" s="9">
        <v>0.28000000000000003</v>
      </c>
      <c r="H932" s="9">
        <v>0.31819999999999998</v>
      </c>
      <c r="I932" s="9">
        <v>0.28000000000000003</v>
      </c>
      <c r="J932" s="9">
        <v>0</v>
      </c>
      <c r="K932" s="9">
        <v>9</v>
      </c>
      <c r="L932" s="9">
        <v>165</v>
      </c>
      <c r="M932" s="9">
        <v>174</v>
      </c>
    </row>
    <row r="933" spans="1:13">
      <c r="A933" s="9">
        <v>941</v>
      </c>
      <c r="B933" s="10">
        <v>40585</v>
      </c>
      <c r="C933" s="9">
        <v>19</v>
      </c>
      <c r="D933" s="9" t="b">
        <v>0</v>
      </c>
      <c r="E933" s="9" t="str">
        <f t="shared" si="14"/>
        <v>Weekday</v>
      </c>
      <c r="F933" s="9">
        <v>1</v>
      </c>
      <c r="G933" s="9">
        <v>0.26</v>
      </c>
      <c r="H933" s="9">
        <v>0.30299999999999999</v>
      </c>
      <c r="I933" s="9">
        <v>0.33</v>
      </c>
      <c r="J933" s="9">
        <v>0</v>
      </c>
      <c r="K933" s="9">
        <v>7</v>
      </c>
      <c r="L933" s="9">
        <v>94</v>
      </c>
      <c r="M933" s="9">
        <v>101</v>
      </c>
    </row>
    <row r="934" spans="1:13">
      <c r="A934" s="9">
        <v>942</v>
      </c>
      <c r="B934" s="10">
        <v>40585</v>
      </c>
      <c r="C934" s="9">
        <v>20</v>
      </c>
      <c r="D934" s="9" t="b">
        <v>0</v>
      </c>
      <c r="E934" s="9" t="str">
        <f t="shared" si="14"/>
        <v>Weekday</v>
      </c>
      <c r="F934" s="9">
        <v>1</v>
      </c>
      <c r="G934" s="9">
        <v>0.22</v>
      </c>
      <c r="H934" s="9">
        <v>0.2273</v>
      </c>
      <c r="I934" s="9">
        <v>0.55000000000000004</v>
      </c>
      <c r="J934" s="9">
        <v>0.1343</v>
      </c>
      <c r="K934" s="9">
        <v>2</v>
      </c>
      <c r="L934" s="9">
        <v>61</v>
      </c>
      <c r="M934" s="9">
        <v>63</v>
      </c>
    </row>
    <row r="935" spans="1:13">
      <c r="A935" s="9">
        <v>943</v>
      </c>
      <c r="B935" s="10">
        <v>40585</v>
      </c>
      <c r="C935" s="9">
        <v>21</v>
      </c>
      <c r="D935" s="9" t="b">
        <v>0</v>
      </c>
      <c r="E935" s="9" t="str">
        <f t="shared" si="14"/>
        <v>Weekday</v>
      </c>
      <c r="F935" s="9">
        <v>1</v>
      </c>
      <c r="G935" s="9">
        <v>0.2</v>
      </c>
      <c r="H935" s="9">
        <v>0.21210000000000001</v>
      </c>
      <c r="I935" s="9">
        <v>0.59</v>
      </c>
      <c r="J935" s="9">
        <v>0.1343</v>
      </c>
      <c r="K935" s="9">
        <v>1</v>
      </c>
      <c r="L935" s="9">
        <v>46</v>
      </c>
      <c r="M935" s="9">
        <v>47</v>
      </c>
    </row>
    <row r="936" spans="1:13">
      <c r="A936" s="9">
        <v>944</v>
      </c>
      <c r="B936" s="10">
        <v>40585</v>
      </c>
      <c r="C936" s="9">
        <v>22</v>
      </c>
      <c r="D936" s="9" t="b">
        <v>0</v>
      </c>
      <c r="E936" s="9" t="str">
        <f t="shared" si="14"/>
        <v>Weekday</v>
      </c>
      <c r="F936" s="9">
        <v>1</v>
      </c>
      <c r="G936" s="9">
        <v>0.2</v>
      </c>
      <c r="H936" s="9">
        <v>0.2273</v>
      </c>
      <c r="I936" s="9">
        <v>0.64</v>
      </c>
      <c r="J936" s="9">
        <v>8.9599999999999999E-2</v>
      </c>
      <c r="K936" s="9">
        <v>2</v>
      </c>
      <c r="L936" s="9">
        <v>41</v>
      </c>
      <c r="M936" s="9">
        <v>43</v>
      </c>
    </row>
    <row r="937" spans="1:13">
      <c r="A937" s="9">
        <v>945</v>
      </c>
      <c r="B937" s="10">
        <v>40585</v>
      </c>
      <c r="C937" s="9">
        <v>23</v>
      </c>
      <c r="D937" s="9" t="b">
        <v>0</v>
      </c>
      <c r="E937" s="9" t="str">
        <f t="shared" si="14"/>
        <v>Weekday</v>
      </c>
      <c r="F937" s="9">
        <v>1</v>
      </c>
      <c r="G937" s="9">
        <v>0.18</v>
      </c>
      <c r="H937" s="9">
        <v>0.2424</v>
      </c>
      <c r="I937" s="9">
        <v>0.69</v>
      </c>
      <c r="J937" s="9">
        <v>0</v>
      </c>
      <c r="K937" s="9">
        <v>5</v>
      </c>
      <c r="L937" s="9">
        <v>48</v>
      </c>
      <c r="M937" s="9">
        <v>53</v>
      </c>
    </row>
    <row r="938" spans="1:13">
      <c r="A938" s="9">
        <v>946</v>
      </c>
      <c r="B938" s="10">
        <v>40586</v>
      </c>
      <c r="C938" s="9">
        <v>0</v>
      </c>
      <c r="D938" s="9" t="b">
        <v>0</v>
      </c>
      <c r="E938" s="9" t="str">
        <f t="shared" si="14"/>
        <v>Weekend</v>
      </c>
      <c r="F938" s="9">
        <v>1</v>
      </c>
      <c r="G938" s="9">
        <v>0.16</v>
      </c>
      <c r="H938" s="9">
        <v>0.19700000000000001</v>
      </c>
      <c r="I938" s="9">
        <v>0.69</v>
      </c>
      <c r="J938" s="9">
        <v>8.9599999999999999E-2</v>
      </c>
      <c r="K938" s="9">
        <v>3</v>
      </c>
      <c r="L938" s="9">
        <v>27</v>
      </c>
      <c r="M938" s="9">
        <v>30</v>
      </c>
    </row>
    <row r="939" spans="1:13">
      <c r="A939" s="9">
        <v>947</v>
      </c>
      <c r="B939" s="10">
        <v>40586</v>
      </c>
      <c r="C939" s="9">
        <v>1</v>
      </c>
      <c r="D939" s="9" t="b">
        <v>0</v>
      </c>
      <c r="E939" s="9" t="str">
        <f t="shared" si="14"/>
        <v>Weekend</v>
      </c>
      <c r="F939" s="9">
        <v>1</v>
      </c>
      <c r="G939" s="9">
        <v>0.14000000000000001</v>
      </c>
      <c r="H939" s="9">
        <v>0.21210000000000001</v>
      </c>
      <c r="I939" s="9">
        <v>0.86</v>
      </c>
      <c r="J939" s="9">
        <v>0</v>
      </c>
      <c r="K939" s="9">
        <v>2</v>
      </c>
      <c r="L939" s="9">
        <v>22</v>
      </c>
      <c r="M939" s="9">
        <v>24</v>
      </c>
    </row>
    <row r="940" spans="1:13">
      <c r="A940" s="9">
        <v>948</v>
      </c>
      <c r="B940" s="10">
        <v>40586</v>
      </c>
      <c r="C940" s="9">
        <v>2</v>
      </c>
      <c r="D940" s="9" t="b">
        <v>0</v>
      </c>
      <c r="E940" s="9" t="str">
        <f t="shared" si="14"/>
        <v>Weekend</v>
      </c>
      <c r="F940" s="9">
        <v>1</v>
      </c>
      <c r="G940" s="9">
        <v>0.14000000000000001</v>
      </c>
      <c r="H940" s="9">
        <v>0.21210000000000001</v>
      </c>
      <c r="I940" s="9">
        <v>0.8</v>
      </c>
      <c r="J940" s="9">
        <v>0</v>
      </c>
      <c r="K940" s="9">
        <v>2</v>
      </c>
      <c r="L940" s="9">
        <v>13</v>
      </c>
      <c r="M940" s="9">
        <v>15</v>
      </c>
    </row>
    <row r="941" spans="1:13">
      <c r="A941" s="9">
        <v>949</v>
      </c>
      <c r="B941" s="10">
        <v>40586</v>
      </c>
      <c r="C941" s="9">
        <v>3</v>
      </c>
      <c r="D941" s="9" t="b">
        <v>0</v>
      </c>
      <c r="E941" s="9" t="str">
        <f t="shared" si="14"/>
        <v>Weekend</v>
      </c>
      <c r="F941" s="9">
        <v>1</v>
      </c>
      <c r="G941" s="9">
        <v>0.12</v>
      </c>
      <c r="H941" s="9">
        <v>0.19700000000000001</v>
      </c>
      <c r="I941" s="9">
        <v>0.8</v>
      </c>
      <c r="J941" s="9">
        <v>0</v>
      </c>
      <c r="K941" s="9">
        <v>3</v>
      </c>
      <c r="L941" s="9">
        <v>7</v>
      </c>
      <c r="M941" s="9">
        <v>10</v>
      </c>
    </row>
    <row r="942" spans="1:13">
      <c r="A942" s="9">
        <v>950</v>
      </c>
      <c r="B942" s="10">
        <v>40586</v>
      </c>
      <c r="C942" s="9">
        <v>4</v>
      </c>
      <c r="D942" s="9" t="b">
        <v>0</v>
      </c>
      <c r="E942" s="9" t="str">
        <f t="shared" si="14"/>
        <v>Weekend</v>
      </c>
      <c r="F942" s="9">
        <v>1</v>
      </c>
      <c r="G942" s="9">
        <v>0.12</v>
      </c>
      <c r="H942" s="9">
        <v>0.16669999999999999</v>
      </c>
      <c r="I942" s="9">
        <v>0.74</v>
      </c>
      <c r="J942" s="9">
        <v>8.9599999999999999E-2</v>
      </c>
      <c r="K942" s="9">
        <v>0</v>
      </c>
      <c r="L942" s="9">
        <v>4</v>
      </c>
      <c r="M942" s="9">
        <v>4</v>
      </c>
    </row>
    <row r="943" spans="1:13">
      <c r="A943" s="9">
        <v>951</v>
      </c>
      <c r="B943" s="10">
        <v>40586</v>
      </c>
      <c r="C943" s="9">
        <v>5</v>
      </c>
      <c r="D943" s="9" t="b">
        <v>0</v>
      </c>
      <c r="E943" s="9" t="str">
        <f t="shared" si="14"/>
        <v>Weekend</v>
      </c>
      <c r="F943" s="9">
        <v>1</v>
      </c>
      <c r="G943" s="9">
        <v>0.12</v>
      </c>
      <c r="H943" s="9">
        <v>0.16669999999999999</v>
      </c>
      <c r="I943" s="9">
        <v>0.74</v>
      </c>
      <c r="J943" s="9">
        <v>8.9599999999999999E-2</v>
      </c>
      <c r="K943" s="9">
        <v>0</v>
      </c>
      <c r="L943" s="9">
        <v>1</v>
      </c>
      <c r="M943" s="9">
        <v>1</v>
      </c>
    </row>
    <row r="944" spans="1:13">
      <c r="A944" s="9">
        <v>952</v>
      </c>
      <c r="B944" s="10">
        <v>40586</v>
      </c>
      <c r="C944" s="9">
        <v>6</v>
      </c>
      <c r="D944" s="9" t="b">
        <v>0</v>
      </c>
      <c r="E944" s="9" t="str">
        <f t="shared" si="14"/>
        <v>Weekend</v>
      </c>
      <c r="F944" s="9">
        <v>1</v>
      </c>
      <c r="G944" s="9">
        <v>0.12</v>
      </c>
      <c r="H944" s="9">
        <v>0.13639999999999999</v>
      </c>
      <c r="I944" s="9">
        <v>0.93</v>
      </c>
      <c r="J944" s="9">
        <v>0.19400000000000001</v>
      </c>
      <c r="K944" s="9">
        <v>1</v>
      </c>
      <c r="L944" s="9">
        <v>1</v>
      </c>
      <c r="M944" s="9">
        <v>2</v>
      </c>
    </row>
    <row r="945" spans="1:13">
      <c r="A945" s="9">
        <v>953</v>
      </c>
      <c r="B945" s="10">
        <v>40586</v>
      </c>
      <c r="C945" s="9">
        <v>7</v>
      </c>
      <c r="D945" s="9" t="b">
        <v>0</v>
      </c>
      <c r="E945" s="9" t="str">
        <f t="shared" si="14"/>
        <v>Weekend</v>
      </c>
      <c r="F945" s="9">
        <v>1</v>
      </c>
      <c r="G945" s="9">
        <v>0.12</v>
      </c>
      <c r="H945" s="9">
        <v>0.1515</v>
      </c>
      <c r="I945" s="9">
        <v>0.8</v>
      </c>
      <c r="J945" s="9">
        <v>0.1045</v>
      </c>
      <c r="K945" s="9">
        <v>2</v>
      </c>
      <c r="L945" s="9">
        <v>9</v>
      </c>
      <c r="M945" s="9">
        <v>11</v>
      </c>
    </row>
    <row r="946" spans="1:13">
      <c r="A946" s="9">
        <v>954</v>
      </c>
      <c r="B946" s="10">
        <v>40586</v>
      </c>
      <c r="C946" s="9">
        <v>8</v>
      </c>
      <c r="D946" s="9" t="b">
        <v>0</v>
      </c>
      <c r="E946" s="9" t="str">
        <f t="shared" si="14"/>
        <v>Weekend</v>
      </c>
      <c r="F946" s="9">
        <v>1</v>
      </c>
      <c r="G946" s="9">
        <v>0.14000000000000001</v>
      </c>
      <c r="H946" s="9">
        <v>0.1515</v>
      </c>
      <c r="I946" s="9">
        <v>0.86</v>
      </c>
      <c r="J946" s="9">
        <v>0.1343</v>
      </c>
      <c r="K946" s="9">
        <v>2</v>
      </c>
      <c r="L946" s="9">
        <v>28</v>
      </c>
      <c r="M946" s="9">
        <v>30</v>
      </c>
    </row>
    <row r="947" spans="1:13">
      <c r="A947" s="9">
        <v>955</v>
      </c>
      <c r="B947" s="10">
        <v>40586</v>
      </c>
      <c r="C947" s="9">
        <v>9</v>
      </c>
      <c r="D947" s="9" t="b">
        <v>0</v>
      </c>
      <c r="E947" s="9" t="str">
        <f t="shared" si="14"/>
        <v>Weekend</v>
      </c>
      <c r="F947" s="9">
        <v>1</v>
      </c>
      <c r="G947" s="9">
        <v>0.16</v>
      </c>
      <c r="H947" s="9">
        <v>0.18179999999999999</v>
      </c>
      <c r="I947" s="9">
        <v>0.64</v>
      </c>
      <c r="J947" s="9">
        <v>0.1343</v>
      </c>
      <c r="K947" s="9">
        <v>5</v>
      </c>
      <c r="L947" s="9">
        <v>38</v>
      </c>
      <c r="M947" s="9">
        <v>43</v>
      </c>
    </row>
    <row r="948" spans="1:13">
      <c r="A948" s="9">
        <v>956</v>
      </c>
      <c r="B948" s="10">
        <v>40586</v>
      </c>
      <c r="C948" s="9">
        <v>10</v>
      </c>
      <c r="D948" s="9" t="b">
        <v>0</v>
      </c>
      <c r="E948" s="9" t="str">
        <f t="shared" si="14"/>
        <v>Weekend</v>
      </c>
      <c r="F948" s="9">
        <v>1</v>
      </c>
      <c r="G948" s="9">
        <v>0.22</v>
      </c>
      <c r="H948" s="9">
        <v>0.21210000000000001</v>
      </c>
      <c r="I948" s="9">
        <v>0.41</v>
      </c>
      <c r="J948" s="9">
        <v>0.25369999999999998</v>
      </c>
      <c r="K948" s="9">
        <v>13</v>
      </c>
      <c r="L948" s="9">
        <v>71</v>
      </c>
      <c r="M948" s="9">
        <v>84</v>
      </c>
    </row>
    <row r="949" spans="1:13">
      <c r="A949" s="9">
        <v>957</v>
      </c>
      <c r="B949" s="10">
        <v>40586</v>
      </c>
      <c r="C949" s="9">
        <v>11</v>
      </c>
      <c r="D949" s="9" t="b">
        <v>0</v>
      </c>
      <c r="E949" s="9" t="str">
        <f t="shared" si="14"/>
        <v>Weekend</v>
      </c>
      <c r="F949" s="9">
        <v>1</v>
      </c>
      <c r="G949" s="9">
        <v>0.3</v>
      </c>
      <c r="H949" s="9">
        <v>0.2727</v>
      </c>
      <c r="I949" s="9">
        <v>0.28000000000000003</v>
      </c>
      <c r="J949" s="9">
        <v>0.32840000000000003</v>
      </c>
      <c r="K949" s="9">
        <v>30</v>
      </c>
      <c r="L949" s="9">
        <v>84</v>
      </c>
      <c r="M949" s="9">
        <v>114</v>
      </c>
    </row>
    <row r="950" spans="1:13">
      <c r="A950" s="9">
        <v>958</v>
      </c>
      <c r="B950" s="10">
        <v>40586</v>
      </c>
      <c r="C950" s="9">
        <v>12</v>
      </c>
      <c r="D950" s="9" t="b">
        <v>0</v>
      </c>
      <c r="E950" s="9" t="str">
        <f t="shared" si="14"/>
        <v>Weekend</v>
      </c>
      <c r="F950" s="9">
        <v>1</v>
      </c>
      <c r="G950" s="9">
        <v>0.3</v>
      </c>
      <c r="H950" s="9">
        <v>0.2727</v>
      </c>
      <c r="I950" s="9">
        <v>0.39</v>
      </c>
      <c r="J950" s="9">
        <v>0.4627</v>
      </c>
      <c r="K950" s="9">
        <v>27</v>
      </c>
      <c r="L950" s="9">
        <v>93</v>
      </c>
      <c r="M950" s="9">
        <v>120</v>
      </c>
    </row>
    <row r="951" spans="1:13">
      <c r="A951" s="9">
        <v>959</v>
      </c>
      <c r="B951" s="10">
        <v>40586</v>
      </c>
      <c r="C951" s="9">
        <v>13</v>
      </c>
      <c r="D951" s="9" t="b">
        <v>0</v>
      </c>
      <c r="E951" s="9" t="str">
        <f t="shared" si="14"/>
        <v>Weekend</v>
      </c>
      <c r="F951" s="9">
        <v>1</v>
      </c>
      <c r="G951" s="9">
        <v>0.3</v>
      </c>
      <c r="H951" s="9">
        <v>0.2727</v>
      </c>
      <c r="I951" s="9">
        <v>0.39</v>
      </c>
      <c r="J951" s="9">
        <v>0.41789999999999999</v>
      </c>
      <c r="K951" s="9">
        <v>32</v>
      </c>
      <c r="L951" s="9">
        <v>103</v>
      </c>
      <c r="M951" s="9">
        <v>135</v>
      </c>
    </row>
    <row r="952" spans="1:13">
      <c r="A952" s="9">
        <v>960</v>
      </c>
      <c r="B952" s="10">
        <v>40586</v>
      </c>
      <c r="C952" s="9">
        <v>14</v>
      </c>
      <c r="D952" s="9" t="b">
        <v>0</v>
      </c>
      <c r="E952" s="9" t="str">
        <f t="shared" si="14"/>
        <v>Weekend</v>
      </c>
      <c r="F952" s="9">
        <v>1</v>
      </c>
      <c r="G952" s="9">
        <v>0.34</v>
      </c>
      <c r="H952" s="9">
        <v>0.31819999999999998</v>
      </c>
      <c r="I952" s="9">
        <v>0.31</v>
      </c>
      <c r="J952" s="9">
        <v>0.28360000000000002</v>
      </c>
      <c r="K952" s="9">
        <v>30</v>
      </c>
      <c r="L952" s="9">
        <v>90</v>
      </c>
      <c r="M952" s="9">
        <v>120</v>
      </c>
    </row>
    <row r="953" spans="1:13">
      <c r="A953" s="9">
        <v>961</v>
      </c>
      <c r="B953" s="10">
        <v>40586</v>
      </c>
      <c r="C953" s="9">
        <v>15</v>
      </c>
      <c r="D953" s="9" t="b">
        <v>0</v>
      </c>
      <c r="E953" s="9" t="str">
        <f t="shared" si="14"/>
        <v>Weekend</v>
      </c>
      <c r="F953" s="9">
        <v>1</v>
      </c>
      <c r="G953" s="9">
        <v>0.34</v>
      </c>
      <c r="H953" s="9">
        <v>0.30299999999999999</v>
      </c>
      <c r="I953" s="9">
        <v>0.28999999999999998</v>
      </c>
      <c r="J953" s="9">
        <v>0.41789999999999999</v>
      </c>
      <c r="K953" s="9">
        <v>47</v>
      </c>
      <c r="L953" s="9">
        <v>127</v>
      </c>
      <c r="M953" s="9">
        <v>174</v>
      </c>
    </row>
    <row r="954" spans="1:13">
      <c r="A954" s="9">
        <v>962</v>
      </c>
      <c r="B954" s="10">
        <v>40586</v>
      </c>
      <c r="C954" s="9">
        <v>16</v>
      </c>
      <c r="D954" s="9" t="b">
        <v>0</v>
      </c>
      <c r="E954" s="9" t="str">
        <f t="shared" si="14"/>
        <v>Weekend</v>
      </c>
      <c r="F954" s="9">
        <v>1</v>
      </c>
      <c r="G954" s="9">
        <v>0.34</v>
      </c>
      <c r="H954" s="9">
        <v>0.30299999999999999</v>
      </c>
      <c r="I954" s="9">
        <v>0.28999999999999998</v>
      </c>
      <c r="J954" s="9">
        <v>0.41789999999999999</v>
      </c>
      <c r="K954" s="9">
        <v>42</v>
      </c>
      <c r="L954" s="9">
        <v>103</v>
      </c>
      <c r="M954" s="9">
        <v>145</v>
      </c>
    </row>
    <row r="955" spans="1:13">
      <c r="A955" s="9">
        <v>963</v>
      </c>
      <c r="B955" s="10">
        <v>40586</v>
      </c>
      <c r="C955" s="9">
        <v>17</v>
      </c>
      <c r="D955" s="9" t="b">
        <v>0</v>
      </c>
      <c r="E955" s="9" t="str">
        <f t="shared" si="14"/>
        <v>Weekend</v>
      </c>
      <c r="F955" s="9">
        <v>1</v>
      </c>
      <c r="G955" s="9">
        <v>0.32</v>
      </c>
      <c r="H955" s="9">
        <v>0.28789999999999999</v>
      </c>
      <c r="I955" s="9">
        <v>0.31</v>
      </c>
      <c r="J955" s="9">
        <v>0.52239999999999998</v>
      </c>
      <c r="K955" s="9">
        <v>24</v>
      </c>
      <c r="L955" s="9">
        <v>113</v>
      </c>
      <c r="M955" s="9">
        <v>137</v>
      </c>
    </row>
    <row r="956" spans="1:13">
      <c r="A956" s="9">
        <v>964</v>
      </c>
      <c r="B956" s="10">
        <v>40586</v>
      </c>
      <c r="C956" s="9">
        <v>18</v>
      </c>
      <c r="D956" s="9" t="b">
        <v>0</v>
      </c>
      <c r="E956" s="9" t="str">
        <f t="shared" si="14"/>
        <v>Weekend</v>
      </c>
      <c r="F956" s="9">
        <v>1</v>
      </c>
      <c r="G956" s="9">
        <v>0.28000000000000003</v>
      </c>
      <c r="H956" s="9">
        <v>0.2576</v>
      </c>
      <c r="I956" s="9">
        <v>0.38</v>
      </c>
      <c r="J956" s="9">
        <v>0.32840000000000003</v>
      </c>
      <c r="K956" s="9">
        <v>4</v>
      </c>
      <c r="L956" s="9">
        <v>60</v>
      </c>
      <c r="M956" s="9">
        <v>64</v>
      </c>
    </row>
    <row r="957" spans="1:13">
      <c r="A957" s="9">
        <v>965</v>
      </c>
      <c r="B957" s="10">
        <v>40586</v>
      </c>
      <c r="C957" s="9">
        <v>19</v>
      </c>
      <c r="D957" s="9" t="b">
        <v>0</v>
      </c>
      <c r="E957" s="9" t="str">
        <f t="shared" si="14"/>
        <v>Weekend</v>
      </c>
      <c r="F957" s="9">
        <v>1</v>
      </c>
      <c r="G957" s="9">
        <v>0.28000000000000003</v>
      </c>
      <c r="H957" s="9">
        <v>0.2727</v>
      </c>
      <c r="I957" s="9">
        <v>0.38</v>
      </c>
      <c r="J957" s="9">
        <v>0.16420000000000001</v>
      </c>
      <c r="K957" s="9">
        <v>2</v>
      </c>
      <c r="L957" s="9">
        <v>39</v>
      </c>
      <c r="M957" s="9">
        <v>41</v>
      </c>
    </row>
    <row r="958" spans="1:13">
      <c r="A958" s="9">
        <v>966</v>
      </c>
      <c r="B958" s="10">
        <v>40586</v>
      </c>
      <c r="C958" s="9">
        <v>20</v>
      </c>
      <c r="D958" s="9" t="b">
        <v>0</v>
      </c>
      <c r="E958" s="9" t="str">
        <f t="shared" si="14"/>
        <v>Weekend</v>
      </c>
      <c r="F958" s="9">
        <v>1</v>
      </c>
      <c r="G958" s="9">
        <v>0.26</v>
      </c>
      <c r="H958" s="9">
        <v>0.2576</v>
      </c>
      <c r="I958" s="9">
        <v>0.41</v>
      </c>
      <c r="J958" s="9">
        <v>0.22389999999999999</v>
      </c>
      <c r="K958" s="9">
        <v>1</v>
      </c>
      <c r="L958" s="9">
        <v>39</v>
      </c>
      <c r="M958" s="9">
        <v>40</v>
      </c>
    </row>
    <row r="959" spans="1:13">
      <c r="A959" s="9">
        <v>967</v>
      </c>
      <c r="B959" s="10">
        <v>40586</v>
      </c>
      <c r="C959" s="9">
        <v>21</v>
      </c>
      <c r="D959" s="9" t="b">
        <v>0</v>
      </c>
      <c r="E959" s="9" t="str">
        <f t="shared" si="14"/>
        <v>Weekend</v>
      </c>
      <c r="F959" s="9">
        <v>1</v>
      </c>
      <c r="G959" s="9">
        <v>0.26</v>
      </c>
      <c r="H959" s="9">
        <v>0.30299999999999999</v>
      </c>
      <c r="I959" s="9">
        <v>0.41</v>
      </c>
      <c r="J959" s="9">
        <v>0</v>
      </c>
      <c r="K959" s="9">
        <v>9</v>
      </c>
      <c r="L959" s="9">
        <v>42</v>
      </c>
      <c r="M959" s="9">
        <v>51</v>
      </c>
    </row>
    <row r="960" spans="1:13">
      <c r="A960" s="9">
        <v>968</v>
      </c>
      <c r="B960" s="10">
        <v>40586</v>
      </c>
      <c r="C960" s="9">
        <v>22</v>
      </c>
      <c r="D960" s="9" t="b">
        <v>0</v>
      </c>
      <c r="E960" s="9" t="str">
        <f t="shared" si="14"/>
        <v>Weekend</v>
      </c>
      <c r="F960" s="9">
        <v>1</v>
      </c>
      <c r="G960" s="9">
        <v>0.24</v>
      </c>
      <c r="H960" s="9">
        <v>0.2576</v>
      </c>
      <c r="I960" s="9">
        <v>0.44</v>
      </c>
      <c r="J960" s="9">
        <v>8.9599999999999999E-2</v>
      </c>
      <c r="K960" s="9">
        <v>6</v>
      </c>
      <c r="L960" s="9">
        <v>39</v>
      </c>
      <c r="M960" s="9">
        <v>45</v>
      </c>
    </row>
    <row r="961" spans="1:13">
      <c r="A961" s="9">
        <v>969</v>
      </c>
      <c r="B961" s="10">
        <v>40586</v>
      </c>
      <c r="C961" s="9">
        <v>23</v>
      </c>
      <c r="D961" s="9" t="b">
        <v>0</v>
      </c>
      <c r="E961" s="9" t="str">
        <f t="shared" si="14"/>
        <v>Weekend</v>
      </c>
      <c r="F961" s="9">
        <v>1</v>
      </c>
      <c r="G961" s="9">
        <v>0.22</v>
      </c>
      <c r="H961" s="9">
        <v>0.2273</v>
      </c>
      <c r="I961" s="9">
        <v>0.51</v>
      </c>
      <c r="J961" s="9">
        <v>0.1343</v>
      </c>
      <c r="K961" s="9">
        <v>1</v>
      </c>
      <c r="L961" s="9">
        <v>31</v>
      </c>
      <c r="M961" s="9">
        <v>32</v>
      </c>
    </row>
    <row r="962" spans="1:13">
      <c r="A962" s="9">
        <v>970</v>
      </c>
      <c r="B962" s="10">
        <v>40587</v>
      </c>
      <c r="C962" s="9">
        <v>0</v>
      </c>
      <c r="D962" s="9" t="b">
        <v>0</v>
      </c>
      <c r="E962" s="9" t="str">
        <f t="shared" si="14"/>
        <v>Weekend</v>
      </c>
      <c r="F962" s="9">
        <v>1</v>
      </c>
      <c r="G962" s="9">
        <v>0.2</v>
      </c>
      <c r="H962" s="9">
        <v>0.2273</v>
      </c>
      <c r="I962" s="9">
        <v>0.64</v>
      </c>
      <c r="J962" s="9">
        <v>0.1045</v>
      </c>
      <c r="K962" s="9">
        <v>5</v>
      </c>
      <c r="L962" s="9">
        <v>34</v>
      </c>
      <c r="M962" s="9">
        <v>39</v>
      </c>
    </row>
    <row r="963" spans="1:13">
      <c r="A963" s="9">
        <v>971</v>
      </c>
      <c r="B963" s="10">
        <v>40587</v>
      </c>
      <c r="C963" s="9">
        <v>1</v>
      </c>
      <c r="D963" s="9" t="b">
        <v>0</v>
      </c>
      <c r="E963" s="9" t="str">
        <f t="shared" ref="E963:E1001" si="15">IF(WEEKDAY(B963,2)&gt;=6,"Weekend","Weekday")</f>
        <v>Weekend</v>
      </c>
      <c r="F963" s="9">
        <v>1</v>
      </c>
      <c r="G963" s="9">
        <v>0.2</v>
      </c>
      <c r="H963" s="9">
        <v>0.2273</v>
      </c>
      <c r="I963" s="9">
        <v>0.59</v>
      </c>
      <c r="J963" s="9">
        <v>8.9599999999999999E-2</v>
      </c>
      <c r="K963" s="9">
        <v>1</v>
      </c>
      <c r="L963" s="9">
        <v>23</v>
      </c>
      <c r="M963" s="9">
        <v>24</v>
      </c>
    </row>
    <row r="964" spans="1:13">
      <c r="A964" s="9">
        <v>972</v>
      </c>
      <c r="B964" s="10">
        <v>40587</v>
      </c>
      <c r="C964" s="9">
        <v>2</v>
      </c>
      <c r="D964" s="9" t="b">
        <v>0</v>
      </c>
      <c r="E964" s="9" t="str">
        <f t="shared" si="15"/>
        <v>Weekend</v>
      </c>
      <c r="F964" s="9">
        <v>2</v>
      </c>
      <c r="G964" s="9">
        <v>0.2</v>
      </c>
      <c r="H964" s="9">
        <v>0.2273</v>
      </c>
      <c r="I964" s="9">
        <v>0.75</v>
      </c>
      <c r="J964" s="9">
        <v>8.9599999999999999E-2</v>
      </c>
      <c r="K964" s="9">
        <v>1</v>
      </c>
      <c r="L964" s="9">
        <v>19</v>
      </c>
      <c r="M964" s="9">
        <v>20</v>
      </c>
    </row>
    <row r="965" spans="1:13">
      <c r="A965" s="9">
        <v>973</v>
      </c>
      <c r="B965" s="10">
        <v>40587</v>
      </c>
      <c r="C965" s="9">
        <v>3</v>
      </c>
      <c r="D965" s="9" t="b">
        <v>0</v>
      </c>
      <c r="E965" s="9" t="str">
        <f t="shared" si="15"/>
        <v>Weekend</v>
      </c>
      <c r="F965" s="9">
        <v>2</v>
      </c>
      <c r="G965" s="9">
        <v>0.2</v>
      </c>
      <c r="H965" s="9">
        <v>0.2273</v>
      </c>
      <c r="I965" s="9">
        <v>0.69</v>
      </c>
      <c r="J965" s="9">
        <v>0.1045</v>
      </c>
      <c r="K965" s="9">
        <v>4</v>
      </c>
      <c r="L965" s="9">
        <v>8</v>
      </c>
      <c r="M965" s="9">
        <v>12</v>
      </c>
    </row>
    <row r="966" spans="1:13">
      <c r="A966" s="9">
        <v>974</v>
      </c>
      <c r="B966" s="10">
        <v>40587</v>
      </c>
      <c r="C966" s="9">
        <v>4</v>
      </c>
      <c r="D966" s="9" t="b">
        <v>0</v>
      </c>
      <c r="E966" s="9" t="str">
        <f t="shared" si="15"/>
        <v>Weekend</v>
      </c>
      <c r="F966" s="9">
        <v>2</v>
      </c>
      <c r="G966" s="9">
        <v>0.2</v>
      </c>
      <c r="H966" s="9">
        <v>0.21210000000000001</v>
      </c>
      <c r="I966" s="9">
        <v>0.69</v>
      </c>
      <c r="J966" s="9">
        <v>0.16420000000000001</v>
      </c>
      <c r="K966" s="9">
        <v>0</v>
      </c>
      <c r="L966" s="9">
        <v>2</v>
      </c>
      <c r="M966" s="9">
        <v>2</v>
      </c>
    </row>
    <row r="967" spans="1:13">
      <c r="A967" s="9">
        <v>975</v>
      </c>
      <c r="B967" s="10">
        <v>40587</v>
      </c>
      <c r="C967" s="9">
        <v>6</v>
      </c>
      <c r="D967" s="9" t="b">
        <v>0</v>
      </c>
      <c r="E967" s="9" t="str">
        <f t="shared" si="15"/>
        <v>Weekend</v>
      </c>
      <c r="F967" s="9">
        <v>2</v>
      </c>
      <c r="G967" s="9">
        <v>0.2</v>
      </c>
      <c r="H967" s="9">
        <v>0.21210000000000001</v>
      </c>
      <c r="I967" s="9">
        <v>0.69</v>
      </c>
      <c r="J967" s="9">
        <v>0.1343</v>
      </c>
      <c r="K967" s="9">
        <v>2</v>
      </c>
      <c r="L967" s="9">
        <v>3</v>
      </c>
      <c r="M967" s="9">
        <v>5</v>
      </c>
    </row>
    <row r="968" spans="1:13">
      <c r="A968" s="9">
        <v>976</v>
      </c>
      <c r="B968" s="10">
        <v>40587</v>
      </c>
      <c r="C968" s="9">
        <v>7</v>
      </c>
      <c r="D968" s="9" t="b">
        <v>0</v>
      </c>
      <c r="E968" s="9" t="str">
        <f t="shared" si="15"/>
        <v>Weekend</v>
      </c>
      <c r="F968" s="9">
        <v>2</v>
      </c>
      <c r="G968" s="9">
        <v>0.22</v>
      </c>
      <c r="H968" s="9">
        <v>0.2727</v>
      </c>
      <c r="I968" s="9">
        <v>0.55000000000000004</v>
      </c>
      <c r="J968" s="9">
        <v>0</v>
      </c>
      <c r="K968" s="9">
        <v>0</v>
      </c>
      <c r="L968" s="9">
        <v>3</v>
      </c>
      <c r="M968" s="9">
        <v>3</v>
      </c>
    </row>
    <row r="969" spans="1:13">
      <c r="A969" s="9">
        <v>977</v>
      </c>
      <c r="B969" s="10">
        <v>40587</v>
      </c>
      <c r="C969" s="9">
        <v>8</v>
      </c>
      <c r="D969" s="9" t="b">
        <v>0</v>
      </c>
      <c r="E969" s="9" t="str">
        <f t="shared" si="15"/>
        <v>Weekend</v>
      </c>
      <c r="F969" s="9">
        <v>2</v>
      </c>
      <c r="G969" s="9">
        <v>0.22</v>
      </c>
      <c r="H969" s="9">
        <v>0.2273</v>
      </c>
      <c r="I969" s="9">
        <v>0.64</v>
      </c>
      <c r="J969" s="9">
        <v>0.19400000000000001</v>
      </c>
      <c r="K969" s="9">
        <v>1</v>
      </c>
      <c r="L969" s="9">
        <v>11</v>
      </c>
      <c r="M969" s="9">
        <v>12</v>
      </c>
    </row>
    <row r="970" spans="1:13">
      <c r="A970" s="9">
        <v>978</v>
      </c>
      <c r="B970" s="10">
        <v>40587</v>
      </c>
      <c r="C970" s="9">
        <v>9</v>
      </c>
      <c r="D970" s="9" t="b">
        <v>0</v>
      </c>
      <c r="E970" s="9" t="str">
        <f t="shared" si="15"/>
        <v>Weekend</v>
      </c>
      <c r="F970" s="9">
        <v>2</v>
      </c>
      <c r="G970" s="9">
        <v>0.24</v>
      </c>
      <c r="H970" s="9">
        <v>0.2273</v>
      </c>
      <c r="I970" s="9">
        <v>0.6</v>
      </c>
      <c r="J970" s="9">
        <v>0.22389999999999999</v>
      </c>
      <c r="K970" s="9">
        <v>12</v>
      </c>
      <c r="L970" s="9">
        <v>35</v>
      </c>
      <c r="M970" s="9">
        <v>47</v>
      </c>
    </row>
    <row r="971" spans="1:13">
      <c r="A971" s="9">
        <v>979</v>
      </c>
      <c r="B971" s="10">
        <v>40587</v>
      </c>
      <c r="C971" s="9">
        <v>10</v>
      </c>
      <c r="D971" s="9" t="b">
        <v>0</v>
      </c>
      <c r="E971" s="9" t="str">
        <f t="shared" si="15"/>
        <v>Weekend</v>
      </c>
      <c r="F971" s="9">
        <v>1</v>
      </c>
      <c r="G971" s="9">
        <v>0.3</v>
      </c>
      <c r="H971" s="9">
        <v>0.2727</v>
      </c>
      <c r="I971" s="9">
        <v>0.45</v>
      </c>
      <c r="J971" s="9">
        <v>0.32840000000000003</v>
      </c>
      <c r="K971" s="9">
        <v>19</v>
      </c>
      <c r="L971" s="9">
        <v>86</v>
      </c>
      <c r="M971" s="9">
        <v>105</v>
      </c>
    </row>
    <row r="972" spans="1:13">
      <c r="A972" s="9">
        <v>980</v>
      </c>
      <c r="B972" s="10">
        <v>40587</v>
      </c>
      <c r="C972" s="9">
        <v>11</v>
      </c>
      <c r="D972" s="9" t="b">
        <v>0</v>
      </c>
      <c r="E972" s="9" t="str">
        <f t="shared" si="15"/>
        <v>Weekend</v>
      </c>
      <c r="F972" s="9">
        <v>1</v>
      </c>
      <c r="G972" s="9">
        <v>0.32</v>
      </c>
      <c r="H972" s="9">
        <v>0.28789999999999999</v>
      </c>
      <c r="I972" s="9">
        <v>0.39</v>
      </c>
      <c r="J972" s="9">
        <v>0.44779999999999998</v>
      </c>
      <c r="K972" s="9">
        <v>26</v>
      </c>
      <c r="L972" s="9">
        <v>86</v>
      </c>
      <c r="M972" s="9">
        <v>112</v>
      </c>
    </row>
    <row r="973" spans="1:13">
      <c r="A973" s="9">
        <v>981</v>
      </c>
      <c r="B973" s="10">
        <v>40587</v>
      </c>
      <c r="C973" s="9">
        <v>12</v>
      </c>
      <c r="D973" s="9" t="b">
        <v>0</v>
      </c>
      <c r="E973" s="9" t="str">
        <f t="shared" si="15"/>
        <v>Weekend</v>
      </c>
      <c r="F973" s="9">
        <v>1</v>
      </c>
      <c r="G973" s="9">
        <v>0.36</v>
      </c>
      <c r="H973" s="9">
        <v>0.31819999999999998</v>
      </c>
      <c r="I973" s="9">
        <v>0.32</v>
      </c>
      <c r="J973" s="9">
        <v>0.4627</v>
      </c>
      <c r="K973" s="9">
        <v>58</v>
      </c>
      <c r="L973" s="9">
        <v>94</v>
      </c>
      <c r="M973" s="9">
        <v>152</v>
      </c>
    </row>
    <row r="974" spans="1:13">
      <c r="A974" s="9">
        <v>982</v>
      </c>
      <c r="B974" s="10">
        <v>40587</v>
      </c>
      <c r="C974" s="9">
        <v>13</v>
      </c>
      <c r="D974" s="9" t="b">
        <v>0</v>
      </c>
      <c r="E974" s="9" t="str">
        <f t="shared" si="15"/>
        <v>Weekend</v>
      </c>
      <c r="F974" s="9">
        <v>1</v>
      </c>
      <c r="G974" s="9">
        <v>0.38</v>
      </c>
      <c r="H974" s="9">
        <v>0.39389999999999997</v>
      </c>
      <c r="I974" s="9">
        <v>0.28999999999999998</v>
      </c>
      <c r="J974" s="9">
        <v>0.35820000000000002</v>
      </c>
      <c r="K974" s="9">
        <v>62</v>
      </c>
      <c r="L974" s="9">
        <v>92</v>
      </c>
      <c r="M974" s="9">
        <v>154</v>
      </c>
    </row>
    <row r="975" spans="1:13">
      <c r="A975" s="9">
        <v>983</v>
      </c>
      <c r="B975" s="10">
        <v>40587</v>
      </c>
      <c r="C975" s="9">
        <v>14</v>
      </c>
      <c r="D975" s="9" t="b">
        <v>0</v>
      </c>
      <c r="E975" s="9" t="str">
        <f t="shared" si="15"/>
        <v>Weekend</v>
      </c>
      <c r="F975" s="9">
        <v>2</v>
      </c>
      <c r="G975" s="9">
        <v>0.4</v>
      </c>
      <c r="H975" s="9">
        <v>0.40910000000000002</v>
      </c>
      <c r="I975" s="9">
        <v>0.3</v>
      </c>
      <c r="J975" s="9">
        <v>0.41789999999999999</v>
      </c>
      <c r="K975" s="9">
        <v>51</v>
      </c>
      <c r="L975" s="9">
        <v>110</v>
      </c>
      <c r="M975" s="9">
        <v>161</v>
      </c>
    </row>
    <row r="976" spans="1:13">
      <c r="A976" s="9">
        <v>984</v>
      </c>
      <c r="B976" s="10">
        <v>40587</v>
      </c>
      <c r="C976" s="9">
        <v>15</v>
      </c>
      <c r="D976" s="9" t="b">
        <v>0</v>
      </c>
      <c r="E976" s="9" t="str">
        <f t="shared" si="15"/>
        <v>Weekend</v>
      </c>
      <c r="F976" s="9">
        <v>2</v>
      </c>
      <c r="G976" s="9">
        <v>0.4</v>
      </c>
      <c r="H976" s="9">
        <v>0.40910000000000002</v>
      </c>
      <c r="I976" s="9">
        <v>0.3</v>
      </c>
      <c r="J976" s="9">
        <v>0.29849999999999999</v>
      </c>
      <c r="K976" s="9">
        <v>40</v>
      </c>
      <c r="L976" s="9">
        <v>122</v>
      </c>
      <c r="M976" s="9">
        <v>162</v>
      </c>
    </row>
    <row r="977" spans="1:13">
      <c r="A977" s="9">
        <v>985</v>
      </c>
      <c r="B977" s="10">
        <v>40587</v>
      </c>
      <c r="C977" s="9">
        <v>16</v>
      </c>
      <c r="D977" s="9" t="b">
        <v>0</v>
      </c>
      <c r="E977" s="9" t="str">
        <f t="shared" si="15"/>
        <v>Weekend</v>
      </c>
      <c r="F977" s="9">
        <v>2</v>
      </c>
      <c r="G977" s="9">
        <v>0.42</v>
      </c>
      <c r="H977" s="9">
        <v>0.42420000000000002</v>
      </c>
      <c r="I977" s="9">
        <v>0.28000000000000003</v>
      </c>
      <c r="J977" s="9">
        <v>0.32840000000000003</v>
      </c>
      <c r="K977" s="9">
        <v>28</v>
      </c>
      <c r="L977" s="9">
        <v>106</v>
      </c>
      <c r="M977" s="9">
        <v>134</v>
      </c>
    </row>
    <row r="978" spans="1:13">
      <c r="A978" s="9">
        <v>986</v>
      </c>
      <c r="B978" s="10">
        <v>40587</v>
      </c>
      <c r="C978" s="9">
        <v>17</v>
      </c>
      <c r="D978" s="9" t="b">
        <v>0</v>
      </c>
      <c r="E978" s="9" t="str">
        <f t="shared" si="15"/>
        <v>Weekend</v>
      </c>
      <c r="F978" s="9">
        <v>1</v>
      </c>
      <c r="G978" s="9">
        <v>0.42</v>
      </c>
      <c r="H978" s="9">
        <v>0.42420000000000002</v>
      </c>
      <c r="I978" s="9">
        <v>0.28000000000000003</v>
      </c>
      <c r="J978" s="9">
        <v>0.32840000000000003</v>
      </c>
      <c r="K978" s="9">
        <v>30</v>
      </c>
      <c r="L978" s="9">
        <v>95</v>
      </c>
      <c r="M978" s="9">
        <v>125</v>
      </c>
    </row>
    <row r="979" spans="1:13">
      <c r="A979" s="9">
        <v>987</v>
      </c>
      <c r="B979" s="10">
        <v>40587</v>
      </c>
      <c r="C979" s="9">
        <v>18</v>
      </c>
      <c r="D979" s="9" t="b">
        <v>0</v>
      </c>
      <c r="E979" s="9" t="str">
        <f t="shared" si="15"/>
        <v>Weekend</v>
      </c>
      <c r="F979" s="9">
        <v>1</v>
      </c>
      <c r="G979" s="9">
        <v>0.4</v>
      </c>
      <c r="H979" s="9">
        <v>0.40910000000000002</v>
      </c>
      <c r="I979" s="9">
        <v>0.32</v>
      </c>
      <c r="J979" s="9">
        <v>0.29849999999999999</v>
      </c>
      <c r="K979" s="9">
        <v>17</v>
      </c>
      <c r="L979" s="9">
        <v>78</v>
      </c>
      <c r="M979" s="9">
        <v>95</v>
      </c>
    </row>
    <row r="980" spans="1:13">
      <c r="A980" s="9">
        <v>988</v>
      </c>
      <c r="B980" s="10">
        <v>40587</v>
      </c>
      <c r="C980" s="9">
        <v>19</v>
      </c>
      <c r="D980" s="9" t="b">
        <v>0</v>
      </c>
      <c r="E980" s="9" t="str">
        <f t="shared" si="15"/>
        <v>Weekend</v>
      </c>
      <c r="F980" s="9">
        <v>1</v>
      </c>
      <c r="G980" s="9">
        <v>0.4</v>
      </c>
      <c r="H980" s="9">
        <v>0.40910000000000002</v>
      </c>
      <c r="I980" s="9">
        <v>0.35</v>
      </c>
      <c r="J980" s="9">
        <v>0.28360000000000002</v>
      </c>
      <c r="K980" s="9">
        <v>11</v>
      </c>
      <c r="L980" s="9">
        <v>50</v>
      </c>
      <c r="M980" s="9">
        <v>61</v>
      </c>
    </row>
    <row r="981" spans="1:13">
      <c r="A981" s="9">
        <v>989</v>
      </c>
      <c r="B981" s="10">
        <v>40587</v>
      </c>
      <c r="C981" s="9">
        <v>20</v>
      </c>
      <c r="D981" s="9" t="b">
        <v>0</v>
      </c>
      <c r="E981" s="9" t="str">
        <f t="shared" si="15"/>
        <v>Weekend</v>
      </c>
      <c r="F981" s="9">
        <v>1</v>
      </c>
      <c r="G981" s="9">
        <v>0.4</v>
      </c>
      <c r="H981" s="9">
        <v>0.40910000000000002</v>
      </c>
      <c r="I981" s="9">
        <v>0.35</v>
      </c>
      <c r="J981" s="9">
        <v>0.32840000000000003</v>
      </c>
      <c r="K981" s="9">
        <v>15</v>
      </c>
      <c r="L981" s="9">
        <v>32</v>
      </c>
      <c r="M981" s="9">
        <v>47</v>
      </c>
    </row>
    <row r="982" spans="1:13">
      <c r="A982" s="9">
        <v>990</v>
      </c>
      <c r="B982" s="10">
        <v>40587</v>
      </c>
      <c r="C982" s="9">
        <v>21</v>
      </c>
      <c r="D982" s="9" t="b">
        <v>0</v>
      </c>
      <c r="E982" s="9" t="str">
        <f t="shared" si="15"/>
        <v>Weekend</v>
      </c>
      <c r="F982" s="9">
        <v>1</v>
      </c>
      <c r="G982" s="9">
        <v>0.4</v>
      </c>
      <c r="H982" s="9">
        <v>0.40910000000000002</v>
      </c>
      <c r="I982" s="9">
        <v>0.35</v>
      </c>
      <c r="J982" s="9">
        <v>0.35820000000000002</v>
      </c>
      <c r="K982" s="9">
        <v>6</v>
      </c>
      <c r="L982" s="9">
        <v>45</v>
      </c>
      <c r="M982" s="9">
        <v>51</v>
      </c>
    </row>
    <row r="983" spans="1:13">
      <c r="A983" s="9">
        <v>991</v>
      </c>
      <c r="B983" s="10">
        <v>40587</v>
      </c>
      <c r="C983" s="9">
        <v>22</v>
      </c>
      <c r="D983" s="9" t="b">
        <v>0</v>
      </c>
      <c r="E983" s="9" t="str">
        <f t="shared" si="15"/>
        <v>Weekend</v>
      </c>
      <c r="F983" s="9">
        <v>1</v>
      </c>
      <c r="G983" s="9">
        <v>0.4</v>
      </c>
      <c r="H983" s="9">
        <v>0.40910000000000002</v>
      </c>
      <c r="I983" s="9">
        <v>0.35</v>
      </c>
      <c r="J983" s="9">
        <v>0.29849999999999999</v>
      </c>
      <c r="K983" s="9">
        <v>5</v>
      </c>
      <c r="L983" s="9">
        <v>31</v>
      </c>
      <c r="M983" s="9">
        <v>36</v>
      </c>
    </row>
    <row r="984" spans="1:13">
      <c r="A984" s="9">
        <v>992</v>
      </c>
      <c r="B984" s="10">
        <v>40587</v>
      </c>
      <c r="C984" s="9">
        <v>23</v>
      </c>
      <c r="D984" s="9" t="b">
        <v>0</v>
      </c>
      <c r="E984" s="9" t="str">
        <f t="shared" si="15"/>
        <v>Weekend</v>
      </c>
      <c r="F984" s="9">
        <v>1</v>
      </c>
      <c r="G984" s="9">
        <v>0.4</v>
      </c>
      <c r="H984" s="9">
        <v>0.40910000000000002</v>
      </c>
      <c r="I984" s="9">
        <v>0.35</v>
      </c>
      <c r="J984" s="9">
        <v>0.35820000000000002</v>
      </c>
      <c r="K984" s="9">
        <v>3</v>
      </c>
      <c r="L984" s="9">
        <v>27</v>
      </c>
      <c r="M984" s="9">
        <v>30</v>
      </c>
    </row>
    <row r="985" spans="1:13">
      <c r="A985" s="9">
        <v>993</v>
      </c>
      <c r="B985" s="10">
        <v>40588</v>
      </c>
      <c r="C985" s="9">
        <v>0</v>
      </c>
      <c r="D985" s="9" t="b">
        <v>0</v>
      </c>
      <c r="E985" s="9" t="str">
        <f t="shared" si="15"/>
        <v>Weekday</v>
      </c>
      <c r="F985" s="9">
        <v>1</v>
      </c>
      <c r="G985" s="9">
        <v>0.38</v>
      </c>
      <c r="H985" s="9">
        <v>0.39389999999999997</v>
      </c>
      <c r="I985" s="9">
        <v>0.37</v>
      </c>
      <c r="J985" s="9">
        <v>0.35820000000000002</v>
      </c>
      <c r="K985" s="9">
        <v>3</v>
      </c>
      <c r="L985" s="9">
        <v>8</v>
      </c>
      <c r="M985" s="9">
        <v>11</v>
      </c>
    </row>
    <row r="986" spans="1:13">
      <c r="A986" s="9">
        <v>994</v>
      </c>
      <c r="B986" s="10">
        <v>40588</v>
      </c>
      <c r="C986" s="9">
        <v>1</v>
      </c>
      <c r="D986" s="9" t="b">
        <v>0</v>
      </c>
      <c r="E986" s="9" t="str">
        <f t="shared" si="15"/>
        <v>Weekday</v>
      </c>
      <c r="F986" s="9">
        <v>1</v>
      </c>
      <c r="G986" s="9">
        <v>0.38</v>
      </c>
      <c r="H986" s="9">
        <v>0.39389999999999997</v>
      </c>
      <c r="I986" s="9">
        <v>0.37</v>
      </c>
      <c r="J986" s="9">
        <v>0.35820000000000002</v>
      </c>
      <c r="K986" s="9">
        <v>1</v>
      </c>
      <c r="L986" s="9">
        <v>6</v>
      </c>
      <c r="M986" s="9">
        <v>7</v>
      </c>
    </row>
    <row r="987" spans="1:13">
      <c r="A987" s="9">
        <v>995</v>
      </c>
      <c r="B987" s="10">
        <v>40588</v>
      </c>
      <c r="C987" s="9">
        <v>2</v>
      </c>
      <c r="D987" s="9" t="b">
        <v>0</v>
      </c>
      <c r="E987" s="9" t="str">
        <f t="shared" si="15"/>
        <v>Weekday</v>
      </c>
      <c r="F987" s="9">
        <v>1</v>
      </c>
      <c r="G987" s="9">
        <v>0.36</v>
      </c>
      <c r="H987" s="9">
        <v>0.33329999999999999</v>
      </c>
      <c r="I987" s="9">
        <v>0.4</v>
      </c>
      <c r="J987" s="9">
        <v>0.29849999999999999</v>
      </c>
      <c r="K987" s="9">
        <v>0</v>
      </c>
      <c r="L987" s="9">
        <v>2</v>
      </c>
      <c r="M987" s="9">
        <v>2</v>
      </c>
    </row>
    <row r="988" spans="1:13">
      <c r="A988" s="9">
        <v>996</v>
      </c>
      <c r="B988" s="10">
        <v>40588</v>
      </c>
      <c r="C988" s="9">
        <v>3</v>
      </c>
      <c r="D988" s="9" t="b">
        <v>0</v>
      </c>
      <c r="E988" s="9" t="str">
        <f t="shared" si="15"/>
        <v>Weekday</v>
      </c>
      <c r="F988" s="9">
        <v>1</v>
      </c>
      <c r="G988" s="9">
        <v>0.34</v>
      </c>
      <c r="H988" s="9">
        <v>0.31819999999999998</v>
      </c>
      <c r="I988" s="9">
        <v>0.46</v>
      </c>
      <c r="J988" s="9">
        <v>0.22389999999999999</v>
      </c>
      <c r="K988" s="9">
        <v>1</v>
      </c>
      <c r="L988" s="9">
        <v>1</v>
      </c>
      <c r="M988" s="9">
        <v>2</v>
      </c>
    </row>
    <row r="989" spans="1:13">
      <c r="A989" s="9">
        <v>997</v>
      </c>
      <c r="B989" s="10">
        <v>40588</v>
      </c>
      <c r="C989" s="9">
        <v>4</v>
      </c>
      <c r="D989" s="9" t="b">
        <v>0</v>
      </c>
      <c r="E989" s="9" t="str">
        <f t="shared" si="15"/>
        <v>Weekday</v>
      </c>
      <c r="F989" s="9">
        <v>1</v>
      </c>
      <c r="G989" s="9">
        <v>0.32</v>
      </c>
      <c r="H989" s="9">
        <v>0.30299999999999999</v>
      </c>
      <c r="I989" s="9">
        <v>0.53</v>
      </c>
      <c r="J989" s="9">
        <v>0.28360000000000002</v>
      </c>
      <c r="K989" s="9">
        <v>0</v>
      </c>
      <c r="L989" s="9">
        <v>2</v>
      </c>
      <c r="M989" s="9">
        <v>2</v>
      </c>
    </row>
    <row r="990" spans="1:13">
      <c r="A990" s="9">
        <v>998</v>
      </c>
      <c r="B990" s="10">
        <v>40588</v>
      </c>
      <c r="C990" s="9">
        <v>5</v>
      </c>
      <c r="D990" s="9" t="b">
        <v>0</v>
      </c>
      <c r="E990" s="9" t="str">
        <f t="shared" si="15"/>
        <v>Weekday</v>
      </c>
      <c r="F990" s="9">
        <v>1</v>
      </c>
      <c r="G990" s="9">
        <v>0.32</v>
      </c>
      <c r="H990" s="9">
        <v>0.30299999999999999</v>
      </c>
      <c r="I990" s="9">
        <v>0.53</v>
      </c>
      <c r="J990" s="9">
        <v>0.28360000000000002</v>
      </c>
      <c r="K990" s="9">
        <v>0</v>
      </c>
      <c r="L990" s="9">
        <v>3</v>
      </c>
      <c r="M990" s="9">
        <v>3</v>
      </c>
    </row>
    <row r="991" spans="1:13">
      <c r="A991" s="9">
        <v>999</v>
      </c>
      <c r="B991" s="10">
        <v>40588</v>
      </c>
      <c r="C991" s="9">
        <v>6</v>
      </c>
      <c r="D991" s="9" t="b">
        <v>0</v>
      </c>
      <c r="E991" s="9" t="str">
        <f t="shared" si="15"/>
        <v>Weekday</v>
      </c>
      <c r="F991" s="9">
        <v>1</v>
      </c>
      <c r="G991" s="9">
        <v>0.34</v>
      </c>
      <c r="H991" s="9">
        <v>0.30299999999999999</v>
      </c>
      <c r="I991" s="9">
        <v>0.46</v>
      </c>
      <c r="J991" s="9">
        <v>0.29849999999999999</v>
      </c>
      <c r="K991" s="9">
        <v>1</v>
      </c>
      <c r="L991" s="9">
        <v>25</v>
      </c>
      <c r="M991" s="9">
        <v>26</v>
      </c>
    </row>
    <row r="992" spans="1:13">
      <c r="A992" s="9">
        <v>1000</v>
      </c>
      <c r="B992" s="10">
        <v>40588</v>
      </c>
      <c r="C992" s="9">
        <v>7</v>
      </c>
      <c r="D992" s="9" t="b">
        <v>0</v>
      </c>
      <c r="E992" s="9" t="str">
        <f t="shared" si="15"/>
        <v>Weekday</v>
      </c>
      <c r="F992" s="9">
        <v>1</v>
      </c>
      <c r="G992" s="9">
        <v>0.34</v>
      </c>
      <c r="H992" s="9">
        <v>0.30299999999999999</v>
      </c>
      <c r="I992" s="9">
        <v>0.46</v>
      </c>
      <c r="J992" s="9">
        <v>0.29849999999999999</v>
      </c>
      <c r="K992" s="9">
        <v>2</v>
      </c>
      <c r="L992" s="9">
        <v>96</v>
      </c>
      <c r="M992" s="9">
        <v>98</v>
      </c>
    </row>
    <row r="993" spans="1:13">
      <c r="A993" s="9">
        <v>611</v>
      </c>
      <c r="B993" s="10">
        <v>40571</v>
      </c>
      <c r="C993" s="9">
        <v>16</v>
      </c>
      <c r="D993" s="9" t="b">
        <v>0</v>
      </c>
      <c r="E993" s="9" t="str">
        <f t="shared" si="15"/>
        <v>Weekday</v>
      </c>
      <c r="F993" s="9">
        <v>1</v>
      </c>
      <c r="G993" s="9">
        <v>0.22</v>
      </c>
      <c r="H993" s="9">
        <v>0.2727</v>
      </c>
      <c r="I993" s="9">
        <v>0.8</v>
      </c>
      <c r="J993" s="9">
        <v>0</v>
      </c>
      <c r="K993" s="9">
        <v>10</v>
      </c>
      <c r="L993" s="9">
        <v>70</v>
      </c>
      <c r="M993" s="9">
        <v>80</v>
      </c>
    </row>
    <row r="994" spans="1:13">
      <c r="A994" s="9">
        <v>612</v>
      </c>
      <c r="B994" s="10">
        <v>40571</v>
      </c>
      <c r="C994" s="9">
        <v>17</v>
      </c>
      <c r="D994" s="9" t="b">
        <v>0</v>
      </c>
      <c r="E994" s="9" t="str">
        <f t="shared" si="15"/>
        <v>Weekday</v>
      </c>
      <c r="F994" s="9">
        <v>1</v>
      </c>
      <c r="G994" s="9">
        <v>0.24</v>
      </c>
      <c r="H994" s="9">
        <v>0.2424</v>
      </c>
      <c r="I994" s="9">
        <v>0.75</v>
      </c>
      <c r="J994" s="9">
        <v>0.1343</v>
      </c>
      <c r="K994" s="9">
        <v>2</v>
      </c>
      <c r="L994" s="9">
        <v>147</v>
      </c>
      <c r="M994" s="9">
        <v>149</v>
      </c>
    </row>
    <row r="995" spans="1:13">
      <c r="A995" s="9">
        <v>613</v>
      </c>
      <c r="B995" s="10">
        <v>40571</v>
      </c>
      <c r="C995" s="9">
        <v>18</v>
      </c>
      <c r="D995" s="9" t="b">
        <v>0</v>
      </c>
      <c r="E995" s="9" t="str">
        <f t="shared" si="15"/>
        <v>Weekday</v>
      </c>
      <c r="F995" s="9">
        <v>1</v>
      </c>
      <c r="G995" s="9">
        <v>0.24</v>
      </c>
      <c r="H995" s="9">
        <v>0.2273</v>
      </c>
      <c r="I995" s="9">
        <v>0.75</v>
      </c>
      <c r="J995" s="9">
        <v>0.19400000000000001</v>
      </c>
      <c r="K995" s="9">
        <v>2</v>
      </c>
      <c r="L995" s="9">
        <v>107</v>
      </c>
      <c r="M995" s="9">
        <v>109</v>
      </c>
    </row>
    <row r="996" spans="1:13">
      <c r="A996" s="9">
        <v>614</v>
      </c>
      <c r="B996" s="10">
        <v>40571</v>
      </c>
      <c r="C996" s="9">
        <v>19</v>
      </c>
      <c r="D996" s="9" t="b">
        <v>0</v>
      </c>
      <c r="E996" s="9" t="str">
        <f t="shared" si="15"/>
        <v>Weekday</v>
      </c>
      <c r="F996" s="9">
        <v>2</v>
      </c>
      <c r="G996" s="9">
        <v>0.24</v>
      </c>
      <c r="H996" s="9">
        <v>0.2424</v>
      </c>
      <c r="I996" s="9">
        <v>0.75</v>
      </c>
      <c r="J996" s="9">
        <v>0.1343</v>
      </c>
      <c r="K996" s="9">
        <v>5</v>
      </c>
      <c r="L996" s="9">
        <v>84</v>
      </c>
      <c r="M996" s="9">
        <v>89</v>
      </c>
    </row>
    <row r="997" spans="1:13">
      <c r="A997" s="9">
        <v>615</v>
      </c>
      <c r="B997" s="10">
        <v>40571</v>
      </c>
      <c r="C997" s="9">
        <v>20</v>
      </c>
      <c r="D997" s="9" t="b">
        <v>0</v>
      </c>
      <c r="E997" s="9" t="str">
        <f t="shared" si="15"/>
        <v>Weekday</v>
      </c>
      <c r="F997" s="9">
        <v>2</v>
      </c>
      <c r="G997" s="9">
        <v>0.24</v>
      </c>
      <c r="H997" s="9">
        <v>0.2273</v>
      </c>
      <c r="I997" s="9">
        <v>0.7</v>
      </c>
      <c r="J997" s="9">
        <v>0.19400000000000001</v>
      </c>
      <c r="K997" s="9">
        <v>1</v>
      </c>
      <c r="L997" s="9">
        <v>61</v>
      </c>
      <c r="M997" s="9">
        <v>62</v>
      </c>
    </row>
    <row r="998" spans="1:13">
      <c r="A998" s="9">
        <v>616</v>
      </c>
      <c r="B998" s="10">
        <v>40571</v>
      </c>
      <c r="C998" s="9">
        <v>21</v>
      </c>
      <c r="D998" s="9" t="b">
        <v>0</v>
      </c>
      <c r="E998" s="9" t="str">
        <f t="shared" si="15"/>
        <v>Weekday</v>
      </c>
      <c r="F998" s="9">
        <v>2</v>
      </c>
      <c r="G998" s="9">
        <v>0.22</v>
      </c>
      <c r="H998" s="9">
        <v>0.2273</v>
      </c>
      <c r="I998" s="9">
        <v>0.75</v>
      </c>
      <c r="J998" s="9">
        <v>0.1343</v>
      </c>
      <c r="K998" s="9">
        <v>1</v>
      </c>
      <c r="L998" s="9">
        <v>57</v>
      </c>
      <c r="M998" s="9">
        <v>58</v>
      </c>
    </row>
    <row r="999" spans="1:13">
      <c r="A999" s="9">
        <v>617</v>
      </c>
      <c r="B999" s="10">
        <v>40571</v>
      </c>
      <c r="C999" s="9">
        <v>22</v>
      </c>
      <c r="D999" s="9" t="b">
        <v>0</v>
      </c>
      <c r="E999" s="9" t="str">
        <f t="shared" si="15"/>
        <v>Weekday</v>
      </c>
      <c r="F999" s="9">
        <v>1</v>
      </c>
      <c r="G999" s="9">
        <v>0.24</v>
      </c>
      <c r="H999" s="9">
        <v>0.21210000000000001</v>
      </c>
      <c r="I999" s="9">
        <v>0.65</v>
      </c>
      <c r="J999" s="9">
        <v>0.35820000000000002</v>
      </c>
      <c r="K999" s="9">
        <v>0</v>
      </c>
      <c r="L999" s="9">
        <v>26</v>
      </c>
      <c r="M999" s="9">
        <v>26</v>
      </c>
    </row>
    <row r="1000" spans="1:13">
      <c r="A1000" s="9">
        <v>618</v>
      </c>
      <c r="B1000" s="10">
        <v>40571</v>
      </c>
      <c r="C1000" s="9">
        <v>23</v>
      </c>
      <c r="D1000" s="9" t="b">
        <v>0</v>
      </c>
      <c r="E1000" s="9" t="str">
        <f t="shared" si="15"/>
        <v>Weekday</v>
      </c>
      <c r="F1000" s="9">
        <v>1</v>
      </c>
      <c r="G1000" s="9">
        <v>0.24</v>
      </c>
      <c r="H1000" s="9">
        <v>0.2273</v>
      </c>
      <c r="I1000" s="9">
        <v>0.6</v>
      </c>
      <c r="J1000" s="9">
        <v>0.22389999999999999</v>
      </c>
      <c r="K1000" s="9">
        <v>1</v>
      </c>
      <c r="L1000" s="9">
        <v>22</v>
      </c>
      <c r="M1000" s="9">
        <v>23</v>
      </c>
    </row>
    <row r="1001" spans="1:13">
      <c r="A1001" s="9">
        <v>619</v>
      </c>
      <c r="B1001" s="10">
        <v>40572</v>
      </c>
      <c r="C1001" s="9">
        <v>0</v>
      </c>
      <c r="D1001" s="9" t="b">
        <v>0</v>
      </c>
      <c r="E1001" s="9" t="str">
        <f t="shared" si="15"/>
        <v>Weekend</v>
      </c>
      <c r="F1001" s="9">
        <v>1</v>
      </c>
      <c r="G1001" s="9">
        <v>0.22</v>
      </c>
      <c r="H1001" s="9">
        <v>0.19700000000000001</v>
      </c>
      <c r="I1001" s="9">
        <v>0.64</v>
      </c>
      <c r="J1001" s="9">
        <v>0.35820000000000002</v>
      </c>
      <c r="K1001" s="9">
        <v>2</v>
      </c>
      <c r="L1001" s="9">
        <v>26</v>
      </c>
      <c r="M1001" s="9">
        <v>28</v>
      </c>
    </row>
  </sheetData>
  <mergeCells count="1">
    <mergeCell ref="P2:R2"/>
  </mergeCells>
  <conditionalFormatting sqref="M2:M1001">
    <cfRule type="dataBar" priority="2">
      <dataBar>
        <cfvo type="min"/>
        <cfvo type="max"/>
        <color rgb="FF638EC6"/>
      </dataBar>
      <extLst>
        <ext xmlns:x14="http://schemas.microsoft.com/office/spreadsheetml/2009/9/main" uri="{B025F937-C7B1-47D3-B67F-A62EFF666E3E}">
          <x14:id>{8C1350CE-0B92-4154-823B-CB489C174D23}</x14:id>
        </ext>
      </extLst>
    </cfRule>
  </conditionalFormatting>
  <conditionalFormatting sqref="J2:J1001">
    <cfRule type="dataBar" priority="1">
      <dataBar>
        <cfvo type="min"/>
        <cfvo type="max"/>
        <color rgb="FFD6007B"/>
      </dataBar>
      <extLst>
        <ext xmlns:x14="http://schemas.microsoft.com/office/spreadsheetml/2009/9/main" uri="{B025F937-C7B1-47D3-B67F-A62EFF666E3E}">
          <x14:id>{8B0A3413-62CC-4311-B4B1-9CABE5499034}</x14:id>
        </ext>
      </extLst>
    </cfRule>
  </conditionalFormatting>
  <pageMargins left="0.7" right="0.7" top="0.75" bottom="0.75" header="0.3" footer="0.3"/>
  <pageSetup orientation="portrait" r:id="rId1"/>
  <tableParts count="6">
    <tablePart r:id="rId2"/>
    <tablePart r:id="rId3"/>
    <tablePart r:id="rId4"/>
    <tablePart r:id="rId5"/>
    <tablePart r:id="rId6"/>
    <tablePart r:id="rId7"/>
  </tableParts>
  <extLst>
    <ext xmlns:x14="http://schemas.microsoft.com/office/spreadsheetml/2009/9/main" uri="{78C0D931-6437-407d-A8EE-F0AAD7539E65}">
      <x14:conditionalFormattings>
        <x14:conditionalFormatting xmlns:xm="http://schemas.microsoft.com/office/excel/2006/main">
          <x14:cfRule type="dataBar" id="{8C1350CE-0B92-4154-823B-CB489C174D23}">
            <x14:dataBar minLength="0" maxLength="100" gradient="0">
              <x14:cfvo type="autoMin"/>
              <x14:cfvo type="autoMax"/>
              <x14:negativeFillColor rgb="FFFF0000"/>
              <x14:axisColor rgb="FF000000"/>
            </x14:dataBar>
          </x14:cfRule>
          <xm:sqref>M2:M1001</xm:sqref>
        </x14:conditionalFormatting>
        <x14:conditionalFormatting xmlns:xm="http://schemas.microsoft.com/office/excel/2006/main">
          <x14:cfRule type="dataBar" id="{8B0A3413-62CC-4311-B4B1-9CABE5499034}">
            <x14:dataBar minLength="0" maxLength="100" border="1" negativeBarBorderColorSameAsPositive="0">
              <x14:cfvo type="autoMin"/>
              <x14:cfvo type="autoMax"/>
              <x14:borderColor rgb="FFD6007B"/>
              <x14:negativeFillColor rgb="FFFF0000"/>
              <x14:negativeBorderColor rgb="FFFF0000"/>
              <x14:axisColor rgb="FF000000"/>
            </x14:dataBar>
          </x14:cfRule>
          <xm:sqref>J2:J1001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J89"/>
  <sheetViews>
    <sheetView showGridLines="0" zoomScale="42" zoomScaleNormal="100" workbookViewId="0">
      <selection activeCell="V64" sqref="V64"/>
    </sheetView>
  </sheetViews>
  <sheetFormatPr defaultRowHeight="14.5"/>
  <cols>
    <col min="1" max="1" width="15" customWidth="1"/>
    <col min="2" max="2" width="17.1796875" customWidth="1"/>
    <col min="13" max="13" width="18.90625" customWidth="1"/>
    <col min="14" max="14" width="17.1796875" customWidth="1"/>
    <col min="27" max="27" width="19.81640625" customWidth="1"/>
    <col min="28" max="28" width="17.1796875" bestFit="1" customWidth="1"/>
  </cols>
  <sheetData>
    <row r="2" spans="1:35" ht="23.5">
      <c r="D2" s="56" t="s">
        <v>37</v>
      </c>
      <c r="E2" s="57"/>
      <c r="F2" s="57"/>
      <c r="G2" s="57"/>
      <c r="H2" s="57"/>
      <c r="I2" s="57"/>
      <c r="N2" s="56" t="s">
        <v>39</v>
      </c>
      <c r="O2" s="58"/>
      <c r="P2" s="58"/>
      <c r="Q2" s="58"/>
      <c r="R2" s="58"/>
      <c r="S2" s="58"/>
      <c r="T2" s="58"/>
      <c r="U2" s="58"/>
      <c r="V2" s="58"/>
      <c r="AC2" s="59" t="s">
        <v>55</v>
      </c>
      <c r="AD2" s="58"/>
      <c r="AE2" s="58"/>
      <c r="AF2" s="58"/>
      <c r="AG2" s="58"/>
      <c r="AH2" s="58"/>
      <c r="AI2" s="58"/>
    </row>
    <row r="5" spans="1:35">
      <c r="M5" s="46" t="s">
        <v>31</v>
      </c>
      <c r="N5" s="46" t="s">
        <v>36</v>
      </c>
      <c r="AA5" s="46" t="s">
        <v>30</v>
      </c>
      <c r="AB5" s="46" t="s">
        <v>36</v>
      </c>
    </row>
    <row r="6" spans="1:35">
      <c r="M6" s="47">
        <v>0.02</v>
      </c>
      <c r="N6" s="48">
        <v>63</v>
      </c>
      <c r="AA6" s="49" t="s">
        <v>40</v>
      </c>
      <c r="AB6" s="48">
        <v>985</v>
      </c>
    </row>
    <row r="7" spans="1:35">
      <c r="M7" s="47">
        <v>0.04</v>
      </c>
      <c r="N7" s="48">
        <v>208</v>
      </c>
      <c r="AA7" s="49" t="s">
        <v>41</v>
      </c>
      <c r="AB7" s="48">
        <v>801</v>
      </c>
    </row>
    <row r="8" spans="1:35">
      <c r="M8" s="47">
        <v>0.06</v>
      </c>
      <c r="N8" s="48">
        <v>287</v>
      </c>
      <c r="AA8" s="49" t="s">
        <v>42</v>
      </c>
      <c r="AB8" s="48">
        <v>959</v>
      </c>
    </row>
    <row r="9" spans="1:35">
      <c r="M9" s="47">
        <v>0.08</v>
      </c>
      <c r="N9" s="48">
        <v>235</v>
      </c>
      <c r="AA9" s="49" t="s">
        <v>43</v>
      </c>
      <c r="AB9" s="48">
        <v>822</v>
      </c>
    </row>
    <row r="10" spans="1:35">
      <c r="A10" s="46" t="s">
        <v>54</v>
      </c>
      <c r="B10" s="46" t="s">
        <v>36</v>
      </c>
      <c r="M10" s="47">
        <v>0.1</v>
      </c>
      <c r="N10" s="48">
        <v>248</v>
      </c>
      <c r="AA10" s="49" t="s">
        <v>44</v>
      </c>
      <c r="AB10" s="48">
        <v>1248</v>
      </c>
    </row>
    <row r="11" spans="1:35">
      <c r="A11" s="47">
        <v>1</v>
      </c>
      <c r="B11" s="48">
        <v>11309</v>
      </c>
      <c r="M11" s="47">
        <v>0.12</v>
      </c>
      <c r="N11" s="48">
        <v>504</v>
      </c>
      <c r="AA11" s="49" t="s">
        <v>45</v>
      </c>
      <c r="AB11" s="48">
        <v>1204</v>
      </c>
    </row>
    <row r="12" spans="1:35">
      <c r="A12" s="47">
        <v>2</v>
      </c>
      <c r="B12" s="48">
        <v>3780</v>
      </c>
      <c r="M12" s="47">
        <v>0.14000000000000001</v>
      </c>
      <c r="N12" s="48">
        <v>667</v>
      </c>
      <c r="AA12" s="49" t="s">
        <v>46</v>
      </c>
      <c r="AB12" s="48">
        <v>981</v>
      </c>
    </row>
    <row r="13" spans="1:35">
      <c r="A13" s="47">
        <v>3</v>
      </c>
      <c r="B13" s="48">
        <v>780</v>
      </c>
      <c r="M13" s="47">
        <v>0.16</v>
      </c>
      <c r="N13" s="48">
        <v>935</v>
      </c>
      <c r="AA13" s="49" t="s">
        <v>47</v>
      </c>
      <c r="AB13" s="48">
        <v>986</v>
      </c>
    </row>
    <row r="14" spans="1:35">
      <c r="A14" s="47" t="s">
        <v>35</v>
      </c>
      <c r="B14" s="48">
        <v>15869</v>
      </c>
      <c r="M14" s="47">
        <v>0.18</v>
      </c>
      <c r="N14" s="48">
        <v>910</v>
      </c>
      <c r="AA14" s="49" t="s">
        <v>48</v>
      </c>
      <c r="AB14" s="48">
        <v>1098</v>
      </c>
    </row>
    <row r="15" spans="1:35">
      <c r="M15" s="47">
        <v>0.2</v>
      </c>
      <c r="N15" s="48">
        <v>1044</v>
      </c>
      <c r="AA15" s="49" t="s">
        <v>49</v>
      </c>
      <c r="AB15" s="48">
        <v>1096</v>
      </c>
    </row>
    <row r="16" spans="1:35">
      <c r="M16" s="47">
        <v>0.22</v>
      </c>
      <c r="N16" s="48">
        <v>1517</v>
      </c>
      <c r="AA16" s="49" t="s">
        <v>50</v>
      </c>
      <c r="AB16" s="48">
        <v>1005</v>
      </c>
    </row>
    <row r="17" spans="1:28">
      <c r="M17" s="47">
        <v>0.24</v>
      </c>
      <c r="N17" s="48">
        <v>1020</v>
      </c>
      <c r="AA17" s="49" t="s">
        <v>51</v>
      </c>
      <c r="AB17" s="48">
        <v>1623</v>
      </c>
    </row>
    <row r="18" spans="1:28">
      <c r="M18" s="47">
        <v>0.26</v>
      </c>
      <c r="N18" s="48">
        <v>957</v>
      </c>
      <c r="AA18" s="49" t="s">
        <v>52</v>
      </c>
      <c r="AB18" s="48">
        <v>1472</v>
      </c>
    </row>
    <row r="19" spans="1:28">
      <c r="M19" s="47">
        <v>0.28000000000000003</v>
      </c>
      <c r="N19" s="48">
        <v>762</v>
      </c>
      <c r="AA19" s="49" t="s">
        <v>53</v>
      </c>
      <c r="AB19" s="48">
        <v>1589</v>
      </c>
    </row>
    <row r="20" spans="1:28">
      <c r="M20" s="47">
        <v>0.3</v>
      </c>
      <c r="N20" s="48">
        <v>1410</v>
      </c>
      <c r="AA20" s="49" t="s">
        <v>35</v>
      </c>
      <c r="AB20" s="48">
        <v>15869</v>
      </c>
    </row>
    <row r="21" spans="1:28">
      <c r="M21" s="47">
        <v>0.32</v>
      </c>
      <c r="N21" s="48">
        <v>794</v>
      </c>
    </row>
    <row r="22" spans="1:28">
      <c r="M22" s="47">
        <v>0.34</v>
      </c>
      <c r="N22" s="48">
        <v>1759</v>
      </c>
    </row>
    <row r="23" spans="1:28" ht="23.5">
      <c r="D23" s="56" t="s">
        <v>38</v>
      </c>
      <c r="E23" s="58"/>
      <c r="F23" s="58"/>
      <c r="G23" s="58"/>
      <c r="H23" s="58"/>
      <c r="I23" s="58"/>
      <c r="M23" s="47">
        <v>0.36</v>
      </c>
      <c r="N23" s="48">
        <v>611</v>
      </c>
    </row>
    <row r="24" spans="1:28">
      <c r="M24" s="47">
        <v>0.38</v>
      </c>
      <c r="N24" s="48">
        <v>210</v>
      </c>
    </row>
    <row r="25" spans="1:28">
      <c r="M25" s="47">
        <v>0.4</v>
      </c>
      <c r="N25" s="48">
        <v>750</v>
      </c>
    </row>
    <row r="26" spans="1:28">
      <c r="A26" s="46" t="s">
        <v>19</v>
      </c>
      <c r="B26" s="46" t="s">
        <v>36</v>
      </c>
      <c r="M26" s="47">
        <v>0.42</v>
      </c>
      <c r="N26" s="48">
        <v>519</v>
      </c>
    </row>
    <row r="27" spans="1:28">
      <c r="A27" s="47" t="s">
        <v>59</v>
      </c>
      <c r="B27" s="48">
        <v>928</v>
      </c>
      <c r="M27" s="47">
        <v>0.44</v>
      </c>
      <c r="N27" s="48">
        <v>194</v>
      </c>
    </row>
    <row r="28" spans="1:28">
      <c r="A28" s="47" t="s">
        <v>129</v>
      </c>
      <c r="B28" s="48">
        <v>189</v>
      </c>
      <c r="M28" s="47">
        <v>0.46</v>
      </c>
      <c r="N28" s="48">
        <v>265</v>
      </c>
    </row>
    <row r="29" spans="1:28">
      <c r="A29" s="47" t="s">
        <v>130</v>
      </c>
      <c r="B29" s="48">
        <v>353</v>
      </c>
      <c r="M29" s="47" t="s">
        <v>35</v>
      </c>
      <c r="N29" s="48">
        <v>15869</v>
      </c>
    </row>
    <row r="30" spans="1:28">
      <c r="A30" s="47" t="s">
        <v>60</v>
      </c>
      <c r="B30" s="48">
        <v>2389</v>
      </c>
    </row>
    <row r="31" spans="1:28">
      <c r="A31" s="47" t="s">
        <v>131</v>
      </c>
      <c r="B31" s="48">
        <v>4282</v>
      </c>
    </row>
    <row r="32" spans="1:28">
      <c r="A32" s="47" t="s">
        <v>132</v>
      </c>
      <c r="B32" s="48">
        <v>4220</v>
      </c>
    </row>
    <row r="33" spans="1:22">
      <c r="A33" s="47" t="s">
        <v>128</v>
      </c>
      <c r="B33" s="48">
        <v>2160</v>
      </c>
    </row>
    <row r="34" spans="1:22" ht="23.5">
      <c r="A34" s="47" t="s">
        <v>133</v>
      </c>
      <c r="B34" s="48">
        <v>1348</v>
      </c>
      <c r="N34" s="56" t="s">
        <v>58</v>
      </c>
      <c r="O34" s="61"/>
      <c r="P34" s="61"/>
      <c r="Q34" s="61"/>
      <c r="R34" s="61"/>
      <c r="S34" s="61"/>
      <c r="T34" s="61"/>
      <c r="U34" s="61"/>
      <c r="V34" s="61"/>
    </row>
    <row r="35" spans="1:22">
      <c r="A35" s="47" t="s">
        <v>35</v>
      </c>
      <c r="B35" s="48">
        <v>15869</v>
      </c>
    </row>
    <row r="38" spans="1:22">
      <c r="M38" s="46" t="s">
        <v>25</v>
      </c>
      <c r="N38" s="46" t="s">
        <v>36</v>
      </c>
    </row>
    <row r="39" spans="1:22">
      <c r="M39" s="47">
        <v>0</v>
      </c>
      <c r="N39" s="48">
        <v>1904</v>
      </c>
    </row>
    <row r="40" spans="1:22">
      <c r="M40" s="47">
        <v>8.9599999999999999E-2</v>
      </c>
      <c r="N40" s="48">
        <v>927</v>
      </c>
    </row>
    <row r="41" spans="1:22">
      <c r="M41" s="47">
        <v>0.1045</v>
      </c>
      <c r="N41" s="48">
        <v>931</v>
      </c>
    </row>
    <row r="42" spans="1:22">
      <c r="M42" s="47">
        <v>0.1343</v>
      </c>
      <c r="N42" s="48">
        <v>958</v>
      </c>
    </row>
    <row r="43" spans="1:22">
      <c r="M43" s="47">
        <v>0.16420000000000001</v>
      </c>
      <c r="N43" s="48">
        <v>1245</v>
      </c>
    </row>
    <row r="44" spans="1:22">
      <c r="M44" s="47">
        <v>0.19400000000000001</v>
      </c>
      <c r="N44" s="48">
        <v>989</v>
      </c>
    </row>
    <row r="45" spans="1:22">
      <c r="M45" s="47">
        <v>0.22389999999999999</v>
      </c>
      <c r="N45" s="48">
        <v>696</v>
      </c>
    </row>
    <row r="46" spans="1:22">
      <c r="M46" s="47">
        <v>0.25369999999999998</v>
      </c>
      <c r="N46" s="48">
        <v>1645</v>
      </c>
    </row>
    <row r="47" spans="1:22">
      <c r="M47" s="47">
        <v>0.28360000000000002</v>
      </c>
      <c r="N47" s="48">
        <v>1124</v>
      </c>
    </row>
    <row r="48" spans="1:22">
      <c r="M48" s="47">
        <v>0.29849999999999999</v>
      </c>
      <c r="N48" s="48">
        <v>1045</v>
      </c>
    </row>
    <row r="49" spans="13:36">
      <c r="M49" s="47">
        <v>0.32840000000000003</v>
      </c>
      <c r="N49" s="48">
        <v>976</v>
      </c>
    </row>
    <row r="50" spans="13:36">
      <c r="M50" s="47">
        <v>0.35820000000000002</v>
      </c>
      <c r="N50" s="48">
        <v>719</v>
      </c>
    </row>
    <row r="51" spans="13:36">
      <c r="M51" s="47">
        <v>0.3881</v>
      </c>
      <c r="N51" s="48">
        <v>444</v>
      </c>
    </row>
    <row r="52" spans="13:36">
      <c r="M52" s="47">
        <v>0.41789999999999999</v>
      </c>
      <c r="N52" s="48">
        <v>683</v>
      </c>
    </row>
    <row r="53" spans="13:36">
      <c r="M53" s="47">
        <v>0.44779999999999998</v>
      </c>
      <c r="N53" s="48">
        <v>731</v>
      </c>
    </row>
    <row r="54" spans="13:36">
      <c r="M54" s="47">
        <v>0.4627</v>
      </c>
      <c r="N54" s="48">
        <v>483</v>
      </c>
    </row>
    <row r="55" spans="13:36" ht="21">
      <c r="M55" s="47">
        <v>0.49249999999999999</v>
      </c>
      <c r="N55" s="48">
        <v>95</v>
      </c>
      <c r="AC55" s="59" t="s">
        <v>57</v>
      </c>
      <c r="AD55" s="60"/>
      <c r="AE55" s="60"/>
      <c r="AF55" s="60"/>
      <c r="AG55" s="60"/>
      <c r="AH55" s="60"/>
      <c r="AI55" s="60"/>
      <c r="AJ55" s="60"/>
    </row>
    <row r="56" spans="13:36">
      <c r="M56" s="47">
        <v>0.52239999999999998</v>
      </c>
      <c r="N56" s="48">
        <v>205</v>
      </c>
    </row>
    <row r="57" spans="13:36">
      <c r="M57" s="47">
        <v>0.55220000000000002</v>
      </c>
      <c r="N57" s="48">
        <v>69</v>
      </c>
    </row>
    <row r="58" spans="13:36">
      <c r="M58" s="47" t="s">
        <v>35</v>
      </c>
      <c r="N58" s="48">
        <v>15869</v>
      </c>
      <c r="AA58" s="46" t="s">
        <v>34</v>
      </c>
      <c r="AB58" s="46" t="s">
        <v>36</v>
      </c>
    </row>
    <row r="59" spans="13:36">
      <c r="AA59" s="47">
        <v>0</v>
      </c>
      <c r="AB59" s="48">
        <v>39</v>
      </c>
    </row>
    <row r="60" spans="13:36">
      <c r="AA60" s="47">
        <v>1.52E-2</v>
      </c>
      <c r="AB60" s="48">
        <v>11</v>
      </c>
    </row>
    <row r="61" spans="13:36">
      <c r="AA61" s="47">
        <v>3.0300000000000001E-2</v>
      </c>
      <c r="AB61" s="48">
        <v>73</v>
      </c>
    </row>
    <row r="62" spans="13:36">
      <c r="AA62" s="47">
        <v>6.0600000000000001E-2</v>
      </c>
      <c r="AB62" s="48">
        <v>142</v>
      </c>
    </row>
    <row r="63" spans="13:36">
      <c r="AA63" s="47">
        <v>7.5800000000000006E-2</v>
      </c>
      <c r="AB63" s="48">
        <v>275</v>
      </c>
    </row>
    <row r="64" spans="13:36">
      <c r="AA64" s="47">
        <v>9.0899999999999995E-2</v>
      </c>
      <c r="AB64" s="48">
        <v>101</v>
      </c>
    </row>
    <row r="65" spans="27:28">
      <c r="AA65" s="47">
        <v>0.1061</v>
      </c>
      <c r="AB65" s="48">
        <v>570</v>
      </c>
    </row>
    <row r="66" spans="27:28">
      <c r="AA66" s="47">
        <v>0.1212</v>
      </c>
      <c r="AB66" s="48">
        <v>499</v>
      </c>
    </row>
    <row r="67" spans="27:28">
      <c r="AA67" s="47">
        <v>0.13639999999999999</v>
      </c>
      <c r="AB67" s="48">
        <v>765</v>
      </c>
    </row>
    <row r="68" spans="27:28">
      <c r="AA68" s="47">
        <v>0.1515</v>
      </c>
      <c r="AB68" s="48">
        <v>259</v>
      </c>
    </row>
    <row r="69" spans="27:28">
      <c r="AA69" s="47">
        <v>0.16669999999999999</v>
      </c>
      <c r="AB69" s="48">
        <v>435</v>
      </c>
    </row>
    <row r="70" spans="27:28">
      <c r="AA70" s="47">
        <v>0.18179999999999999</v>
      </c>
      <c r="AB70" s="48">
        <v>497</v>
      </c>
    </row>
    <row r="71" spans="27:28">
      <c r="AA71" s="47">
        <v>0.19700000000000001</v>
      </c>
      <c r="AB71" s="48">
        <v>861</v>
      </c>
    </row>
    <row r="72" spans="27:28">
      <c r="AA72" s="47">
        <v>0.21210000000000001</v>
      </c>
      <c r="AB72" s="48">
        <v>1137</v>
      </c>
    </row>
    <row r="73" spans="27:28">
      <c r="AA73" s="47">
        <v>0.2273</v>
      </c>
      <c r="AB73" s="48">
        <v>1348</v>
      </c>
    </row>
    <row r="74" spans="27:28">
      <c r="AA74" s="47">
        <v>0.2424</v>
      </c>
      <c r="AB74" s="48">
        <v>616</v>
      </c>
    </row>
    <row r="75" spans="27:28">
      <c r="AA75" s="47">
        <v>0.2576</v>
      </c>
      <c r="AB75" s="48">
        <v>565</v>
      </c>
    </row>
    <row r="76" spans="27:28">
      <c r="AA76" s="47">
        <v>0.2727</v>
      </c>
      <c r="AB76" s="48">
        <v>973</v>
      </c>
    </row>
    <row r="77" spans="27:28">
      <c r="AA77" s="47">
        <v>0.28789999999999999</v>
      </c>
      <c r="AB77" s="48">
        <v>1116</v>
      </c>
    </row>
    <row r="78" spans="27:28">
      <c r="AA78" s="47">
        <v>0.30299999999999999</v>
      </c>
      <c r="AB78" s="48">
        <v>1070</v>
      </c>
    </row>
    <row r="79" spans="27:28">
      <c r="AA79" s="47">
        <v>0.31819999999999998</v>
      </c>
      <c r="AB79" s="48">
        <v>524</v>
      </c>
    </row>
    <row r="80" spans="27:28">
      <c r="AA80" s="47">
        <v>0.33329999999999999</v>
      </c>
      <c r="AB80" s="48">
        <v>1021</v>
      </c>
    </row>
    <row r="81" spans="27:28">
      <c r="AA81" s="47">
        <v>0.34849999999999998</v>
      </c>
      <c r="AB81" s="48">
        <v>642</v>
      </c>
    </row>
    <row r="82" spans="27:28">
      <c r="AA82" s="47">
        <v>0.36359999999999998</v>
      </c>
      <c r="AB82" s="48">
        <v>303</v>
      </c>
    </row>
    <row r="83" spans="27:28">
      <c r="AA83" s="47">
        <v>0.39389999999999997</v>
      </c>
      <c r="AB83" s="48">
        <v>190</v>
      </c>
    </row>
    <row r="84" spans="27:28">
      <c r="AA84" s="47">
        <v>0.40910000000000002</v>
      </c>
      <c r="AB84" s="48">
        <v>750</v>
      </c>
    </row>
    <row r="85" spans="27:28">
      <c r="AA85" s="47">
        <v>0.42420000000000002</v>
      </c>
      <c r="AB85" s="48">
        <v>519</v>
      </c>
    </row>
    <row r="86" spans="27:28">
      <c r="AA86" s="47">
        <v>0.43940000000000001</v>
      </c>
      <c r="AB86" s="48">
        <v>127</v>
      </c>
    </row>
    <row r="87" spans="27:28">
      <c r="AA87" s="47">
        <v>0.45450000000000002</v>
      </c>
      <c r="AB87" s="48">
        <v>223</v>
      </c>
    </row>
    <row r="88" spans="27:28">
      <c r="AA88" s="47" t="s">
        <v>56</v>
      </c>
      <c r="AB88" s="48">
        <v>218</v>
      </c>
    </row>
    <row r="89" spans="27:28">
      <c r="AA89" s="47" t="s">
        <v>35</v>
      </c>
      <c r="AB89" s="48">
        <v>15869</v>
      </c>
    </row>
  </sheetData>
  <mergeCells count="6">
    <mergeCell ref="D2:I2"/>
    <mergeCell ref="D23:I23"/>
    <mergeCell ref="N2:V2"/>
    <mergeCell ref="AC2:AI2"/>
    <mergeCell ref="AC55:AJ55"/>
    <mergeCell ref="N34:V34"/>
  </mergeCells>
  <pageMargins left="0.7" right="0.7" top="0.75" bottom="0.75" header="0.3" footer="0.3"/>
  <pageSetup orientation="portrait" r:id="rId7"/>
  <drawing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Q99"/>
  <sheetViews>
    <sheetView topLeftCell="B38" zoomScale="78" zoomScaleNormal="98" workbookViewId="0">
      <selection activeCell="C3" sqref="C3:O3"/>
    </sheetView>
  </sheetViews>
  <sheetFormatPr defaultRowHeight="14.5"/>
  <cols>
    <col min="3" max="3" width="10.7265625" bestFit="1" customWidth="1"/>
    <col min="4" max="4" width="12.1796875" customWidth="1"/>
    <col min="5" max="5" width="11.7265625" bestFit="1" customWidth="1"/>
    <col min="6" max="6" width="11.1796875" customWidth="1"/>
    <col min="7" max="7" width="12.1796875" customWidth="1"/>
    <col min="8" max="8" width="8.7265625" customWidth="1"/>
    <col min="9" max="9" width="14.81640625" bestFit="1" customWidth="1"/>
    <col min="10" max="10" width="12.1796875" bestFit="1" customWidth="1"/>
    <col min="11" max="11" width="10.453125" customWidth="1"/>
    <col min="12" max="12" width="10.81640625" customWidth="1"/>
    <col min="13" max="13" width="13.26953125" bestFit="1" customWidth="1"/>
    <col min="14" max="14" width="12.1796875" bestFit="1" customWidth="1"/>
    <col min="15" max="15" width="12.08984375" bestFit="1" customWidth="1"/>
  </cols>
  <sheetData>
    <row r="1" spans="3:17">
      <c r="C1" s="73" t="s">
        <v>89</v>
      </c>
      <c r="D1" s="68"/>
      <c r="E1" s="68"/>
      <c r="F1" s="68"/>
      <c r="G1" s="68"/>
      <c r="H1" s="68"/>
      <c r="I1" s="68"/>
      <c r="J1" s="68"/>
      <c r="K1" s="68"/>
      <c r="L1" s="68"/>
      <c r="M1" s="68"/>
      <c r="N1" s="68"/>
      <c r="O1" s="68"/>
      <c r="P1" s="9"/>
      <c r="Q1" s="9"/>
    </row>
    <row r="2" spans="3:17">
      <c r="C2" s="68"/>
      <c r="D2" s="68"/>
      <c r="E2" s="68"/>
      <c r="F2" s="68"/>
      <c r="G2" s="68"/>
      <c r="H2" s="68"/>
      <c r="I2" s="68"/>
      <c r="J2" s="68"/>
      <c r="K2" s="68"/>
      <c r="L2" s="68"/>
      <c r="M2" s="68"/>
      <c r="N2" s="68"/>
      <c r="O2" s="68"/>
      <c r="P2" s="9"/>
      <c r="Q2" s="9"/>
    </row>
    <row r="3" spans="3:17" ht="15.5">
      <c r="C3" s="74" t="s">
        <v>90</v>
      </c>
      <c r="D3" s="74"/>
      <c r="E3" s="74"/>
      <c r="F3" s="74"/>
      <c r="G3" s="74"/>
      <c r="H3" s="74"/>
      <c r="I3" s="74"/>
      <c r="J3" s="74"/>
      <c r="K3" s="74"/>
      <c r="L3" s="74"/>
      <c r="M3" s="74"/>
      <c r="N3" s="74"/>
      <c r="O3" s="74"/>
    </row>
    <row r="4" spans="3:17">
      <c r="C4" s="3"/>
      <c r="D4" s="3"/>
      <c r="E4" s="3"/>
      <c r="F4" s="3"/>
      <c r="G4" s="3"/>
      <c r="H4" s="3"/>
      <c r="I4" s="3"/>
      <c r="J4" s="3"/>
      <c r="K4" s="3"/>
      <c r="L4" s="3"/>
      <c r="M4" s="3"/>
      <c r="N4" s="3"/>
      <c r="O4" s="3"/>
    </row>
    <row r="5" spans="3:17">
      <c r="C5" s="3"/>
      <c r="D5" s="3"/>
      <c r="E5" s="3"/>
      <c r="F5" s="3"/>
      <c r="G5" s="3"/>
      <c r="H5" s="3"/>
      <c r="I5" s="3"/>
      <c r="J5" s="3"/>
      <c r="K5" s="3"/>
      <c r="L5" s="3"/>
      <c r="M5" s="3"/>
      <c r="N5" s="3"/>
      <c r="O5" s="3"/>
    </row>
    <row r="6" spans="3:17" ht="15.5">
      <c r="C6" s="62" t="s">
        <v>106</v>
      </c>
      <c r="D6" s="63"/>
      <c r="E6" s="63"/>
      <c r="F6" s="63"/>
      <c r="G6" s="63"/>
      <c r="H6" s="63"/>
      <c r="I6" s="63"/>
      <c r="J6" s="63"/>
      <c r="K6" s="63"/>
      <c r="L6" s="63"/>
      <c r="M6" s="63"/>
      <c r="N6" s="63"/>
      <c r="O6" s="63"/>
    </row>
    <row r="7" spans="3:17">
      <c r="C7" s="68" t="s">
        <v>91</v>
      </c>
      <c r="D7" s="68"/>
      <c r="E7" s="68" t="s">
        <v>92</v>
      </c>
      <c r="F7" s="68"/>
      <c r="G7" s="23"/>
      <c r="H7" s="68" t="s">
        <v>93</v>
      </c>
      <c r="I7" s="68"/>
      <c r="J7" s="68" t="s">
        <v>94</v>
      </c>
      <c r="K7" s="68"/>
      <c r="L7" s="23"/>
      <c r="M7" s="68" t="s">
        <v>95</v>
      </c>
      <c r="N7" s="68"/>
      <c r="O7" s="23" t="s">
        <v>96</v>
      </c>
    </row>
    <row r="8" spans="3:17">
      <c r="C8" s="66">
        <f>SUM('FINAL RESULT'!M2:M1001)</f>
        <v>58304</v>
      </c>
      <c r="D8" s="66"/>
      <c r="E8" s="66">
        <f>SUM('FINAL RESULT'!L2:L1001)</f>
        <v>53383</v>
      </c>
      <c r="F8" s="66"/>
      <c r="G8" s="24"/>
      <c r="H8" s="66">
        <f>SUM('FINAL RESULT'!K2:K1001)</f>
        <v>4921</v>
      </c>
      <c r="I8" s="66"/>
      <c r="J8" s="75">
        <f>AVERAGE('FINAL RESULT'!M2:M1001)</f>
        <v>58.304000000000002</v>
      </c>
      <c r="K8" s="75"/>
      <c r="L8" s="24"/>
      <c r="M8" s="66">
        <f>MAX('FINAL RESULT'!M2:M1001)</f>
        <v>249</v>
      </c>
      <c r="N8" s="66"/>
      <c r="O8" s="24">
        <f>COUNT('FINAL RESULT'!M2:M1001)</f>
        <v>1000</v>
      </c>
    </row>
    <row r="9" spans="3:17">
      <c r="C9" s="3"/>
      <c r="D9" s="3"/>
      <c r="E9" s="3"/>
      <c r="F9" s="3"/>
      <c r="G9" s="3"/>
      <c r="H9" s="3"/>
      <c r="I9" s="3"/>
      <c r="J9" s="3"/>
      <c r="K9" s="3"/>
      <c r="L9" s="3"/>
      <c r="M9" s="3"/>
      <c r="N9" s="3"/>
      <c r="O9" s="3"/>
    </row>
    <row r="10" spans="3:17">
      <c r="C10" s="3"/>
      <c r="D10" s="3"/>
      <c r="E10" s="3"/>
      <c r="F10" s="3"/>
      <c r="G10" s="3"/>
      <c r="H10" s="3"/>
      <c r="I10" s="3"/>
      <c r="J10" s="3"/>
      <c r="K10" s="3"/>
      <c r="L10" s="3"/>
      <c r="M10" s="3"/>
      <c r="N10" s="3"/>
      <c r="O10" s="3"/>
    </row>
    <row r="11" spans="3:17" ht="15.5">
      <c r="C11" s="62" t="s">
        <v>107</v>
      </c>
      <c r="D11" s="72"/>
      <c r="E11" s="72"/>
      <c r="F11" s="72"/>
      <c r="G11" s="72"/>
      <c r="H11" s="3"/>
      <c r="I11" s="62" t="s">
        <v>108</v>
      </c>
      <c r="J11" s="63"/>
      <c r="K11" s="63"/>
      <c r="L11" s="63"/>
      <c r="M11" s="63"/>
      <c r="N11" s="63"/>
      <c r="O11" s="63"/>
    </row>
    <row r="12" spans="3:17">
      <c r="C12" s="23" t="s">
        <v>97</v>
      </c>
      <c r="D12" s="23" t="s">
        <v>98</v>
      </c>
      <c r="E12" s="23" t="s">
        <v>9</v>
      </c>
      <c r="F12" s="23" t="s">
        <v>10</v>
      </c>
      <c r="G12" s="23" t="s">
        <v>99</v>
      </c>
      <c r="H12" s="3"/>
      <c r="I12" s="71" t="s">
        <v>78</v>
      </c>
      <c r="J12" s="71"/>
      <c r="K12" s="71" t="s">
        <v>79</v>
      </c>
      <c r="L12" s="71"/>
      <c r="M12" s="71"/>
      <c r="N12" s="71" t="s">
        <v>101</v>
      </c>
      <c r="O12" s="71"/>
    </row>
    <row r="13" spans="3:17">
      <c r="C13" s="24" t="s">
        <v>26</v>
      </c>
      <c r="D13" s="25">
        <f>AVERAGE('FINAL RESULT'!K2:K1001)</f>
        <v>4.9210000000000003</v>
      </c>
      <c r="E13" s="24">
        <f>MIN('FINAL RESULT'!K2:K1001)</f>
        <v>0</v>
      </c>
      <c r="F13" s="24">
        <f>MAX('FINAL RESULT'!K2:K1001)</f>
        <v>62</v>
      </c>
      <c r="G13" s="25">
        <f>_xlfn.STDEV.S('FINAL RESULT'!M2:M1001)</f>
        <v>50.985557867999354</v>
      </c>
      <c r="H13" s="3"/>
      <c r="I13" s="69" t="s">
        <v>81</v>
      </c>
      <c r="J13" s="69"/>
      <c r="K13" s="69" t="s">
        <v>102</v>
      </c>
      <c r="L13" s="69"/>
      <c r="M13" s="69"/>
      <c r="N13" s="69">
        <f>COUNTIF('FINAL RESULT'!M2:M1001,"&gt;100")</f>
        <v>170</v>
      </c>
      <c r="O13" s="69"/>
    </row>
    <row r="14" spans="3:17">
      <c r="C14" s="24" t="s">
        <v>27</v>
      </c>
      <c r="D14" s="25">
        <f>AVERAGE('FINAL RESULT'!L2:L1001)</f>
        <v>53.383000000000003</v>
      </c>
      <c r="E14" s="24">
        <f>MIN('FINAL RESULT'!L2:L1001)</f>
        <v>0</v>
      </c>
      <c r="F14" s="24">
        <f>MAX('FINAL RESULT'!L2:L1001)</f>
        <v>247</v>
      </c>
      <c r="G14" s="25">
        <f>_xlfn.STDEV.S('FINAL RESULT'!L2:L1001)</f>
        <v>47.893967711426278</v>
      </c>
      <c r="H14" s="3"/>
      <c r="I14" s="69" t="s">
        <v>83</v>
      </c>
      <c r="J14" s="69"/>
      <c r="K14" s="69" t="s">
        <v>103</v>
      </c>
      <c r="L14" s="69"/>
      <c r="M14" s="69"/>
      <c r="N14" s="69">
        <f>SUMIF('FINAL RESULT'!M2:M1001,"&gt;100",'FINAL RESULT'!M2:M1001)</f>
        <v>25164</v>
      </c>
      <c r="O14" s="69"/>
    </row>
    <row r="15" spans="3:17">
      <c r="C15" s="24" t="s">
        <v>100</v>
      </c>
      <c r="D15" s="25">
        <f>AVERAGE('FINAL RESULT'!M2:M1001)</f>
        <v>58.304000000000002</v>
      </c>
      <c r="E15" s="25">
        <f>MIN('FINAL RESULT'!M2:M1001)</f>
        <v>1</v>
      </c>
      <c r="F15" s="24">
        <f>MAX('FINAL RESULT'!M2:M1001)</f>
        <v>249</v>
      </c>
      <c r="G15" s="25">
        <f>_xlfn.STDEV.S('FINAL RESULT'!M2:M1001)</f>
        <v>50.985557867999354</v>
      </c>
      <c r="H15" s="3"/>
      <c r="I15" s="69" t="s">
        <v>85</v>
      </c>
      <c r="J15" s="69"/>
      <c r="K15" s="69" t="s">
        <v>104</v>
      </c>
      <c r="L15" s="69"/>
      <c r="M15" s="69"/>
      <c r="N15" s="70">
        <f>_xlfn.STDEV.S('FINAL RESULT'!M2:M1001)</f>
        <v>50.985557867999354</v>
      </c>
      <c r="O15" s="70"/>
    </row>
    <row r="16" spans="3:17">
      <c r="C16" s="3"/>
      <c r="D16" s="3"/>
      <c r="E16" s="3"/>
      <c r="F16" s="3"/>
      <c r="G16" s="3"/>
      <c r="H16" s="3"/>
      <c r="I16" s="69" t="s">
        <v>87</v>
      </c>
      <c r="J16" s="69"/>
      <c r="K16" s="69" t="s">
        <v>105</v>
      </c>
      <c r="L16" s="69"/>
      <c r="M16" s="69"/>
      <c r="N16" s="70">
        <f>CORREL('FINAL RESULT'!K2:K1001,'FINAL RESULT'!L2:L1001)</f>
        <v>0.33770561189314979</v>
      </c>
      <c r="O16" s="70"/>
    </row>
    <row r="17" spans="3:17">
      <c r="C17" s="3"/>
      <c r="D17" s="3"/>
      <c r="E17" s="3"/>
      <c r="F17" s="3"/>
      <c r="G17" s="3"/>
      <c r="H17" s="3"/>
      <c r="I17" s="3"/>
      <c r="J17" s="3"/>
      <c r="K17" s="3"/>
      <c r="L17" s="3"/>
      <c r="M17" s="3"/>
      <c r="N17" s="3"/>
      <c r="O17" s="3"/>
    </row>
    <row r="18" spans="3:17" ht="15.5">
      <c r="C18" s="62" t="s">
        <v>109</v>
      </c>
      <c r="D18" s="63"/>
      <c r="E18" s="63"/>
      <c r="F18" s="63"/>
      <c r="G18" s="63"/>
      <c r="H18" s="63"/>
      <c r="I18" s="63"/>
      <c r="J18" s="63"/>
      <c r="K18" s="63"/>
      <c r="L18" s="63"/>
      <c r="M18" s="63"/>
      <c r="N18" s="63"/>
      <c r="O18" s="63"/>
      <c r="P18" s="11"/>
      <c r="Q18" s="11"/>
    </row>
    <row r="19" spans="3:17" ht="15" thickBot="1">
      <c r="C19" s="32" t="s">
        <v>19</v>
      </c>
      <c r="D19" s="32" t="s">
        <v>36</v>
      </c>
      <c r="E19" s="3"/>
      <c r="F19" s="32" t="s">
        <v>54</v>
      </c>
      <c r="G19" s="32" t="s">
        <v>36</v>
      </c>
      <c r="H19" s="3"/>
      <c r="I19" s="32" t="s">
        <v>31</v>
      </c>
      <c r="J19" s="32" t="s">
        <v>36</v>
      </c>
      <c r="K19" s="3"/>
      <c r="L19" s="3"/>
      <c r="M19" s="32" t="s">
        <v>25</v>
      </c>
      <c r="N19" s="32" t="s">
        <v>36</v>
      </c>
      <c r="O19" s="26"/>
      <c r="P19" s="11"/>
      <c r="Q19" s="11"/>
    </row>
    <row r="20" spans="3:17" ht="15" thickTop="1">
      <c r="C20" s="38" t="s">
        <v>59</v>
      </c>
      <c r="D20" s="27">
        <v>928</v>
      </c>
      <c r="E20" s="3"/>
      <c r="F20" s="38">
        <v>1</v>
      </c>
      <c r="G20" s="27">
        <v>11309</v>
      </c>
      <c r="H20" s="3"/>
      <c r="I20" s="38">
        <v>0.02</v>
      </c>
      <c r="J20" s="27">
        <v>63</v>
      </c>
      <c r="K20" s="3"/>
      <c r="L20" s="3"/>
      <c r="M20" s="38">
        <v>0</v>
      </c>
      <c r="N20" s="27">
        <v>1904</v>
      </c>
      <c r="O20" s="26"/>
      <c r="P20" s="11"/>
      <c r="Q20" s="11"/>
    </row>
    <row r="21" spans="3:17">
      <c r="C21" s="38" t="s">
        <v>129</v>
      </c>
      <c r="D21" s="27">
        <v>189</v>
      </c>
      <c r="E21" s="3"/>
      <c r="F21" s="38">
        <v>2</v>
      </c>
      <c r="G21" s="27">
        <v>3780</v>
      </c>
      <c r="H21" s="3"/>
      <c r="I21" s="38">
        <v>0.04</v>
      </c>
      <c r="J21" s="27">
        <v>208</v>
      </c>
      <c r="K21" s="3"/>
      <c r="L21" s="3"/>
      <c r="M21" s="38">
        <v>8.9599999999999999E-2</v>
      </c>
      <c r="N21" s="27">
        <v>927</v>
      </c>
      <c r="O21" s="26"/>
      <c r="P21" s="11"/>
      <c r="Q21" s="11"/>
    </row>
    <row r="22" spans="3:17" ht="15" thickBot="1">
      <c r="C22" s="38" t="s">
        <v>130</v>
      </c>
      <c r="D22" s="27">
        <v>353</v>
      </c>
      <c r="E22" s="3"/>
      <c r="F22" s="33">
        <v>3</v>
      </c>
      <c r="G22" s="27">
        <v>780</v>
      </c>
      <c r="H22" s="3"/>
      <c r="I22" s="38">
        <v>0.06</v>
      </c>
      <c r="J22" s="27">
        <v>287</v>
      </c>
      <c r="K22" s="3"/>
      <c r="L22" s="3"/>
      <c r="M22" s="38">
        <v>0.1045</v>
      </c>
      <c r="N22" s="27">
        <v>931</v>
      </c>
      <c r="O22" s="3"/>
    </row>
    <row r="23" spans="3:17" ht="15.5" thickTop="1" thickBot="1">
      <c r="C23" s="38" t="s">
        <v>60</v>
      </c>
      <c r="D23" s="27">
        <v>2389</v>
      </c>
      <c r="E23" s="3"/>
      <c r="F23" s="30" t="s">
        <v>35</v>
      </c>
      <c r="G23" s="31">
        <v>15869</v>
      </c>
      <c r="H23" s="3"/>
      <c r="I23" s="38">
        <v>0.08</v>
      </c>
      <c r="J23" s="27">
        <v>235</v>
      </c>
      <c r="K23" s="3"/>
      <c r="L23" s="3"/>
      <c r="M23" s="38">
        <v>0.1343</v>
      </c>
      <c r="N23" s="27">
        <v>958</v>
      </c>
      <c r="O23" s="3"/>
    </row>
    <row r="24" spans="3:17" ht="15" thickTop="1">
      <c r="C24" s="38" t="s">
        <v>131</v>
      </c>
      <c r="D24" s="27">
        <v>4282</v>
      </c>
      <c r="E24" s="3"/>
      <c r="H24" s="3"/>
      <c r="I24" s="38">
        <v>0.1</v>
      </c>
      <c r="J24" s="27">
        <v>248</v>
      </c>
      <c r="K24" s="3"/>
      <c r="L24" s="3"/>
      <c r="M24" s="38">
        <v>0.16420000000000001</v>
      </c>
      <c r="N24" s="27">
        <v>1245</v>
      </c>
      <c r="O24" s="3"/>
    </row>
    <row r="25" spans="3:17">
      <c r="C25" s="38" t="s">
        <v>132</v>
      </c>
      <c r="D25" s="27">
        <v>4220</v>
      </c>
      <c r="E25" s="3"/>
      <c r="F25" s="3"/>
      <c r="G25" s="3"/>
      <c r="H25" s="3"/>
      <c r="I25" s="38">
        <v>0.12</v>
      </c>
      <c r="J25" s="27">
        <v>504</v>
      </c>
      <c r="K25" s="3"/>
      <c r="L25" s="3"/>
      <c r="M25" s="38">
        <v>0.19400000000000001</v>
      </c>
      <c r="N25" s="27">
        <v>989</v>
      </c>
      <c r="O25" s="3"/>
    </row>
    <row r="26" spans="3:17">
      <c r="C26" s="38" t="s">
        <v>128</v>
      </c>
      <c r="D26" s="27">
        <v>2160</v>
      </c>
      <c r="E26" s="3"/>
      <c r="F26" s="3"/>
      <c r="G26" s="3"/>
      <c r="H26" s="3"/>
      <c r="I26" s="38">
        <v>0.14000000000000001</v>
      </c>
      <c r="J26" s="27">
        <v>667</v>
      </c>
      <c r="K26" s="3"/>
      <c r="L26" s="3"/>
      <c r="M26" s="38">
        <v>0.22389999999999999</v>
      </c>
      <c r="N26" s="27">
        <v>696</v>
      </c>
      <c r="O26" s="3"/>
    </row>
    <row r="27" spans="3:17" ht="15" thickBot="1">
      <c r="C27" s="33" t="s">
        <v>133</v>
      </c>
      <c r="D27" s="27">
        <v>1348</v>
      </c>
      <c r="E27" s="3"/>
      <c r="F27" s="3"/>
      <c r="G27" s="3"/>
      <c r="H27" s="3"/>
      <c r="I27" s="38">
        <v>0.16</v>
      </c>
      <c r="J27" s="27">
        <v>935</v>
      </c>
      <c r="K27" s="3"/>
      <c r="L27" s="3"/>
      <c r="M27" s="38">
        <v>0.25369999999999998</v>
      </c>
      <c r="N27" s="27">
        <v>1645</v>
      </c>
      <c r="O27" s="3"/>
    </row>
    <row r="28" spans="3:17" ht="15.5" thickTop="1" thickBot="1">
      <c r="C28" s="30" t="s">
        <v>35</v>
      </c>
      <c r="D28" s="31">
        <v>15869</v>
      </c>
      <c r="E28" s="3"/>
      <c r="F28" s="3"/>
      <c r="G28" s="3"/>
      <c r="H28" s="3"/>
      <c r="I28" s="38">
        <v>0.18</v>
      </c>
      <c r="J28" s="27">
        <v>910</v>
      </c>
      <c r="K28" s="3"/>
      <c r="L28" s="3"/>
      <c r="M28" s="38">
        <v>0.28360000000000002</v>
      </c>
      <c r="N28" s="27">
        <v>1124</v>
      </c>
      <c r="O28" s="3"/>
    </row>
    <row r="29" spans="3:17" ht="15" thickTop="1">
      <c r="C29" s="3"/>
      <c r="D29" s="3"/>
      <c r="E29" s="3"/>
      <c r="F29" s="3"/>
      <c r="G29" s="3"/>
      <c r="H29" s="3"/>
      <c r="I29" s="38">
        <v>0.2</v>
      </c>
      <c r="J29" s="27">
        <v>1044</v>
      </c>
      <c r="K29" s="3"/>
      <c r="L29" s="3"/>
      <c r="M29" s="38">
        <v>0.29849999999999999</v>
      </c>
      <c r="N29" s="27">
        <v>1045</v>
      </c>
      <c r="O29" s="3"/>
    </row>
    <row r="30" spans="3:17">
      <c r="C30" s="3"/>
      <c r="D30" s="3"/>
      <c r="E30" s="3"/>
      <c r="F30" s="3"/>
      <c r="G30" s="3"/>
      <c r="H30" s="3"/>
      <c r="I30" s="38">
        <v>0.22</v>
      </c>
      <c r="J30" s="27">
        <v>1517</v>
      </c>
      <c r="K30" s="3"/>
      <c r="L30" s="3"/>
      <c r="M30" s="38">
        <v>0.32840000000000003</v>
      </c>
      <c r="N30" s="27">
        <v>976</v>
      </c>
      <c r="O30" s="3"/>
    </row>
    <row r="31" spans="3:17">
      <c r="C31" s="3"/>
      <c r="D31" s="3"/>
      <c r="E31" s="3"/>
      <c r="F31" s="3"/>
      <c r="G31" s="3"/>
      <c r="H31" s="3"/>
      <c r="I31" s="38">
        <v>0.24</v>
      </c>
      <c r="J31" s="27">
        <v>1020</v>
      </c>
      <c r="K31" s="3"/>
      <c r="L31" s="3"/>
      <c r="M31" s="38">
        <v>0.35820000000000002</v>
      </c>
      <c r="N31" s="27">
        <v>719</v>
      </c>
      <c r="O31" s="3"/>
    </row>
    <row r="32" spans="3:17">
      <c r="C32" s="3"/>
      <c r="D32" s="3"/>
      <c r="E32" s="3"/>
      <c r="F32" s="3"/>
      <c r="G32" s="3"/>
      <c r="H32" s="3"/>
      <c r="I32" s="38">
        <v>0.26</v>
      </c>
      <c r="J32" s="27">
        <v>957</v>
      </c>
      <c r="K32" s="3"/>
      <c r="L32" s="3"/>
      <c r="M32" s="38">
        <v>0.3881</v>
      </c>
      <c r="N32" s="27">
        <v>444</v>
      </c>
      <c r="O32" s="3"/>
    </row>
    <row r="33" spans="3:15">
      <c r="C33" s="3"/>
      <c r="D33" s="3"/>
      <c r="E33" s="3"/>
      <c r="F33" s="3"/>
      <c r="G33" s="3"/>
      <c r="H33" s="3"/>
      <c r="I33" s="38">
        <v>0.28000000000000003</v>
      </c>
      <c r="J33" s="27">
        <v>762</v>
      </c>
      <c r="K33" s="3"/>
      <c r="L33" s="3"/>
      <c r="M33" s="38">
        <v>0.41789999999999999</v>
      </c>
      <c r="N33" s="27">
        <v>683</v>
      </c>
      <c r="O33" s="3"/>
    </row>
    <row r="34" spans="3:15">
      <c r="C34" s="3"/>
      <c r="D34" s="3"/>
      <c r="E34" s="3"/>
      <c r="F34" s="3"/>
      <c r="G34" s="3"/>
      <c r="H34" s="3"/>
      <c r="I34" s="38">
        <v>0.3</v>
      </c>
      <c r="J34" s="27">
        <v>1410</v>
      </c>
      <c r="K34" s="3"/>
      <c r="L34" s="3"/>
      <c r="M34" s="38">
        <v>0.44779999999999998</v>
      </c>
      <c r="N34" s="27">
        <v>731</v>
      </c>
      <c r="O34" s="3"/>
    </row>
    <row r="35" spans="3:15">
      <c r="C35" s="3"/>
      <c r="D35" s="3"/>
      <c r="E35" s="3"/>
      <c r="F35" s="3"/>
      <c r="G35" s="3"/>
      <c r="H35" s="3"/>
      <c r="I35" s="38">
        <v>0.32</v>
      </c>
      <c r="J35" s="27">
        <v>794</v>
      </c>
      <c r="K35" s="3"/>
      <c r="L35" s="3"/>
      <c r="M35" s="38">
        <v>0.4627</v>
      </c>
      <c r="N35" s="27">
        <v>483</v>
      </c>
      <c r="O35" s="3"/>
    </row>
    <row r="36" spans="3:15">
      <c r="C36" s="3"/>
      <c r="D36" s="3"/>
      <c r="E36" s="3"/>
      <c r="F36" s="3"/>
      <c r="G36" s="3"/>
      <c r="H36" s="3"/>
      <c r="I36" s="38">
        <v>0.34</v>
      </c>
      <c r="J36" s="27">
        <v>1759</v>
      </c>
      <c r="K36" s="3"/>
      <c r="L36" s="3"/>
      <c r="M36" s="38">
        <v>0.49249999999999999</v>
      </c>
      <c r="N36" s="27">
        <v>95</v>
      </c>
      <c r="O36" s="3"/>
    </row>
    <row r="37" spans="3:15">
      <c r="C37" s="3"/>
      <c r="D37" s="3"/>
      <c r="E37" s="3"/>
      <c r="F37" s="3"/>
      <c r="G37" s="3"/>
      <c r="H37" s="3"/>
      <c r="I37" s="38">
        <v>0.36</v>
      </c>
      <c r="J37" s="27">
        <v>611</v>
      </c>
      <c r="K37" s="3"/>
      <c r="L37" s="3"/>
      <c r="M37" s="38">
        <v>0.52239999999999998</v>
      </c>
      <c r="N37" s="27">
        <v>205</v>
      </c>
      <c r="O37" s="3"/>
    </row>
    <row r="38" spans="3:15" ht="15" thickBot="1">
      <c r="C38" s="3"/>
      <c r="D38" s="3"/>
      <c r="E38" s="3"/>
      <c r="F38" s="3"/>
      <c r="G38" s="3"/>
      <c r="H38" s="3"/>
      <c r="I38" s="38">
        <v>0.38</v>
      </c>
      <c r="J38" s="27">
        <v>210</v>
      </c>
      <c r="K38" s="3"/>
      <c r="L38" s="3"/>
      <c r="M38" s="33">
        <v>0.55220000000000002</v>
      </c>
      <c r="N38" s="27">
        <v>69</v>
      </c>
      <c r="O38" s="3"/>
    </row>
    <row r="39" spans="3:15" ht="15.5" thickTop="1" thickBot="1">
      <c r="C39" s="3"/>
      <c r="D39" s="3"/>
      <c r="E39" s="3"/>
      <c r="F39" s="3"/>
      <c r="G39" s="3"/>
      <c r="H39" s="3"/>
      <c r="I39" s="38">
        <v>0.4</v>
      </c>
      <c r="J39" s="27">
        <v>750</v>
      </c>
      <c r="K39" s="3"/>
      <c r="L39" s="3"/>
      <c r="M39" s="30" t="s">
        <v>35</v>
      </c>
      <c r="N39" s="31">
        <v>15869</v>
      </c>
      <c r="O39" s="3"/>
    </row>
    <row r="40" spans="3:15" ht="15" thickTop="1">
      <c r="C40" s="3"/>
      <c r="D40" s="3"/>
      <c r="E40" s="3"/>
      <c r="F40" s="3"/>
      <c r="G40" s="3"/>
      <c r="H40" s="3"/>
      <c r="I40" s="38">
        <v>0.42</v>
      </c>
      <c r="J40" s="27">
        <v>519</v>
      </c>
      <c r="K40" s="3"/>
      <c r="L40" s="3"/>
      <c r="O40" s="3"/>
    </row>
    <row r="41" spans="3:15">
      <c r="C41" s="3"/>
      <c r="D41" s="3"/>
      <c r="E41" s="3"/>
      <c r="F41" s="3"/>
      <c r="G41" s="3"/>
      <c r="H41" s="3"/>
      <c r="I41" s="38">
        <v>0.44</v>
      </c>
      <c r="J41" s="27">
        <v>194</v>
      </c>
      <c r="K41" s="3"/>
      <c r="L41" s="3"/>
      <c r="M41" s="3"/>
      <c r="N41" s="3"/>
      <c r="O41" s="3"/>
    </row>
    <row r="42" spans="3:15" ht="15" thickBot="1">
      <c r="C42" s="3"/>
      <c r="D42" s="3"/>
      <c r="E42" s="3"/>
      <c r="F42" s="3"/>
      <c r="G42" s="3"/>
      <c r="H42" s="3"/>
      <c r="I42" s="33">
        <v>0.46</v>
      </c>
      <c r="J42" s="27">
        <v>265</v>
      </c>
      <c r="K42" s="3"/>
      <c r="L42" s="3"/>
      <c r="M42" s="3"/>
      <c r="N42" s="3"/>
      <c r="O42" s="3"/>
    </row>
    <row r="43" spans="3:15" ht="15.5" thickTop="1" thickBot="1">
      <c r="C43" s="3"/>
      <c r="D43" s="3"/>
      <c r="E43" s="3"/>
      <c r="F43" s="3"/>
      <c r="G43" s="3"/>
      <c r="H43" s="3"/>
      <c r="I43" s="30" t="s">
        <v>35</v>
      </c>
      <c r="J43" s="31">
        <v>15869</v>
      </c>
      <c r="K43" s="3"/>
      <c r="L43" s="3"/>
      <c r="M43" s="3"/>
      <c r="N43" s="3"/>
      <c r="O43" s="3"/>
    </row>
    <row r="44" spans="3:15" ht="15" thickTop="1">
      <c r="C44" s="3"/>
      <c r="D44" s="3"/>
      <c r="E44" s="3"/>
      <c r="F44" s="3"/>
      <c r="G44" s="3"/>
      <c r="H44" s="3"/>
      <c r="I44" s="3"/>
      <c r="J44" s="3"/>
      <c r="K44" s="3"/>
      <c r="L44" s="3"/>
      <c r="M44" s="3"/>
      <c r="N44" s="3"/>
      <c r="O44" s="3"/>
    </row>
    <row r="45" spans="3:15">
      <c r="C45" s="3"/>
      <c r="D45" s="3"/>
      <c r="E45" s="3"/>
      <c r="F45" s="3"/>
      <c r="G45" s="3"/>
      <c r="H45" s="3"/>
      <c r="I45" s="3"/>
      <c r="J45" s="3"/>
      <c r="K45" s="3"/>
      <c r="L45" s="3"/>
      <c r="M45" s="3"/>
      <c r="N45" s="3"/>
      <c r="O45" s="3"/>
    </row>
    <row r="46" spans="3:15">
      <c r="C46" s="3"/>
      <c r="D46" s="3"/>
      <c r="E46" s="3"/>
      <c r="F46" s="3"/>
      <c r="G46" s="3"/>
      <c r="H46" s="3"/>
      <c r="I46" s="3"/>
      <c r="J46" s="3"/>
      <c r="K46" s="3"/>
      <c r="L46" s="3"/>
      <c r="M46" s="3"/>
      <c r="N46" s="3"/>
      <c r="O46" s="3"/>
    </row>
    <row r="47" spans="3:15">
      <c r="C47" s="3"/>
      <c r="D47" s="3"/>
      <c r="E47" s="3"/>
      <c r="F47" s="3"/>
      <c r="G47" s="3"/>
      <c r="H47" s="3"/>
      <c r="I47" s="3"/>
      <c r="J47" s="3"/>
      <c r="K47" s="3"/>
      <c r="L47" s="3"/>
      <c r="M47" s="3"/>
      <c r="N47" s="3"/>
      <c r="O47" s="3"/>
    </row>
    <row r="48" spans="3:15">
      <c r="C48" s="3"/>
      <c r="D48" s="3"/>
      <c r="E48" s="3"/>
      <c r="F48" s="3"/>
      <c r="G48" s="3"/>
      <c r="H48" s="3"/>
      <c r="I48" s="3"/>
      <c r="J48" s="3"/>
      <c r="K48" s="3"/>
      <c r="L48" s="3"/>
      <c r="M48" s="3"/>
      <c r="N48" s="3"/>
      <c r="O48" s="3"/>
    </row>
    <row r="49" spans="3:15">
      <c r="C49" s="3"/>
      <c r="D49" s="3"/>
      <c r="E49" s="3"/>
      <c r="F49" s="3"/>
      <c r="G49" s="3"/>
      <c r="H49" s="3"/>
      <c r="I49" s="3"/>
      <c r="J49" s="3"/>
      <c r="K49" s="3"/>
      <c r="L49" s="3"/>
      <c r="M49" s="3"/>
      <c r="N49" s="3"/>
      <c r="O49" s="3"/>
    </row>
    <row r="50" spans="3:15">
      <c r="C50" s="3"/>
      <c r="D50" s="3"/>
      <c r="E50" s="3"/>
      <c r="F50" s="3"/>
      <c r="G50" s="3"/>
      <c r="H50" s="3"/>
      <c r="I50" s="3"/>
      <c r="J50" s="3"/>
      <c r="K50" s="3"/>
      <c r="L50" s="3"/>
      <c r="M50" s="3"/>
      <c r="N50" s="3"/>
      <c r="O50" s="3"/>
    </row>
    <row r="51" spans="3:15">
      <c r="C51" s="3"/>
      <c r="D51" s="3"/>
      <c r="E51" s="3"/>
      <c r="F51" s="3"/>
      <c r="G51" s="3"/>
      <c r="H51" s="3"/>
      <c r="I51" s="3"/>
      <c r="J51" s="3"/>
      <c r="K51" s="3"/>
      <c r="L51" s="3"/>
      <c r="M51" s="3"/>
      <c r="N51" s="3"/>
      <c r="O51" s="3"/>
    </row>
    <row r="52" spans="3:15">
      <c r="C52" s="3"/>
      <c r="D52" s="3"/>
      <c r="E52" s="3"/>
      <c r="F52" s="3"/>
      <c r="G52" s="3"/>
      <c r="H52" s="3"/>
      <c r="I52" s="3"/>
      <c r="J52" s="3"/>
      <c r="K52" s="3"/>
      <c r="L52" s="3"/>
      <c r="M52" s="3"/>
      <c r="N52" s="3"/>
      <c r="O52" s="3"/>
    </row>
    <row r="53" spans="3:15">
      <c r="C53" s="3"/>
      <c r="D53" s="3"/>
      <c r="E53" s="3"/>
      <c r="F53" s="3"/>
      <c r="G53" s="3"/>
      <c r="H53" s="3"/>
      <c r="I53" s="3"/>
      <c r="J53" s="3"/>
      <c r="K53" s="3"/>
      <c r="L53" s="3"/>
      <c r="M53" s="3"/>
      <c r="N53" s="3"/>
      <c r="O53" s="3"/>
    </row>
    <row r="54" spans="3:15">
      <c r="C54" s="3"/>
      <c r="D54" s="3"/>
      <c r="E54" s="3"/>
      <c r="F54" s="3"/>
      <c r="G54" s="3"/>
      <c r="H54" s="3"/>
      <c r="I54" s="3"/>
      <c r="J54" s="3"/>
      <c r="K54" s="3"/>
      <c r="L54" s="3"/>
      <c r="M54" s="3"/>
      <c r="N54" s="3"/>
      <c r="O54" s="3"/>
    </row>
    <row r="55" spans="3:15">
      <c r="C55" s="3"/>
      <c r="D55" s="3"/>
      <c r="E55" s="3"/>
      <c r="F55" s="3"/>
      <c r="G55" s="3"/>
      <c r="H55" s="3"/>
      <c r="I55" s="3"/>
      <c r="J55" s="3"/>
      <c r="K55" s="3"/>
      <c r="L55" s="3"/>
      <c r="M55" s="3"/>
      <c r="N55" s="3"/>
      <c r="O55" s="3"/>
    </row>
    <row r="56" spans="3:15">
      <c r="C56" s="3"/>
      <c r="D56" s="3"/>
      <c r="E56" s="3"/>
      <c r="F56" s="3"/>
      <c r="G56" s="3"/>
      <c r="H56" s="3"/>
      <c r="I56" s="3"/>
      <c r="J56" s="3"/>
      <c r="K56" s="3"/>
      <c r="L56" s="3"/>
      <c r="M56" s="3"/>
      <c r="N56" s="3"/>
      <c r="O56" s="3"/>
    </row>
    <row r="57" spans="3:15">
      <c r="C57" s="3"/>
      <c r="D57" s="3"/>
      <c r="E57" s="3"/>
      <c r="F57" s="3"/>
      <c r="G57" s="3"/>
      <c r="H57" s="3"/>
      <c r="I57" s="3"/>
      <c r="J57" s="3"/>
      <c r="K57" s="3"/>
      <c r="L57" s="3"/>
      <c r="M57" s="3"/>
      <c r="N57" s="3"/>
      <c r="O57" s="3"/>
    </row>
    <row r="58" spans="3:15">
      <c r="C58" s="3"/>
      <c r="D58" s="3"/>
      <c r="E58" s="3"/>
      <c r="F58" s="3"/>
      <c r="G58" s="3"/>
      <c r="H58" s="3"/>
      <c r="I58" s="3"/>
      <c r="J58" s="3"/>
      <c r="K58" s="3"/>
      <c r="L58" s="3"/>
      <c r="M58" s="3"/>
      <c r="N58" s="3"/>
      <c r="O58" s="3"/>
    </row>
    <row r="59" spans="3:15">
      <c r="C59" s="3"/>
      <c r="D59" s="3"/>
      <c r="E59" s="3"/>
      <c r="F59" s="3"/>
      <c r="G59" s="3"/>
      <c r="H59" s="3"/>
      <c r="I59" s="3"/>
      <c r="J59" s="3"/>
      <c r="K59" s="3"/>
      <c r="L59" s="3"/>
      <c r="M59" s="3"/>
      <c r="N59" s="3"/>
      <c r="O59" s="3"/>
    </row>
    <row r="60" spans="3:15">
      <c r="C60" s="3"/>
      <c r="D60" s="3"/>
      <c r="E60" s="3"/>
      <c r="F60" s="3"/>
      <c r="G60" s="3"/>
      <c r="H60" s="3"/>
      <c r="I60" s="3"/>
      <c r="J60" s="3"/>
      <c r="K60" s="3"/>
      <c r="L60" s="3"/>
      <c r="M60" s="3"/>
      <c r="N60" s="3"/>
      <c r="O60" s="3"/>
    </row>
    <row r="61" spans="3:15">
      <c r="C61" s="3"/>
      <c r="D61" s="3"/>
      <c r="E61" s="3"/>
      <c r="F61" s="3"/>
      <c r="G61" s="3"/>
      <c r="H61" s="3"/>
      <c r="I61" s="3"/>
      <c r="J61" s="3"/>
      <c r="K61" s="3"/>
      <c r="L61" s="3"/>
      <c r="M61" s="3"/>
      <c r="N61" s="3"/>
      <c r="O61" s="3"/>
    </row>
    <row r="62" spans="3:15">
      <c r="C62" s="3"/>
      <c r="D62" s="3"/>
      <c r="E62" s="3"/>
      <c r="F62" s="3"/>
      <c r="G62" s="3"/>
      <c r="H62" s="3"/>
      <c r="I62" s="3"/>
      <c r="J62" s="3"/>
      <c r="K62" s="3"/>
      <c r="L62" s="3"/>
      <c r="M62" s="3"/>
      <c r="N62" s="3"/>
      <c r="O62" s="3"/>
    </row>
    <row r="63" spans="3:15">
      <c r="C63" s="3"/>
      <c r="D63" s="3"/>
      <c r="E63" s="3"/>
      <c r="F63" s="3"/>
      <c r="G63" s="3"/>
      <c r="H63" s="3"/>
      <c r="I63" s="3"/>
      <c r="J63" s="3"/>
      <c r="K63" s="3"/>
      <c r="L63" s="3"/>
      <c r="M63" s="3"/>
      <c r="N63" s="3"/>
      <c r="O63" s="3"/>
    </row>
    <row r="64" spans="3:15">
      <c r="C64" s="3"/>
      <c r="D64" s="3"/>
      <c r="E64" s="3"/>
      <c r="F64" s="3"/>
      <c r="G64" s="3"/>
      <c r="H64" s="3"/>
      <c r="I64" s="3"/>
      <c r="J64" s="3"/>
      <c r="K64" s="3"/>
      <c r="L64" s="3"/>
      <c r="M64" s="3"/>
      <c r="N64" s="3"/>
      <c r="O64" s="3"/>
    </row>
    <row r="65" spans="3:15">
      <c r="C65" s="3"/>
      <c r="D65" s="3"/>
      <c r="E65" s="3"/>
      <c r="F65" s="3"/>
      <c r="G65" s="3"/>
      <c r="H65" s="3"/>
      <c r="I65" s="3"/>
      <c r="J65" s="3"/>
      <c r="K65" s="3"/>
      <c r="L65" s="3"/>
      <c r="M65" s="3"/>
      <c r="N65" s="3"/>
      <c r="O65" s="3"/>
    </row>
    <row r="66" spans="3:15">
      <c r="C66" s="3"/>
      <c r="D66" s="3"/>
      <c r="E66" s="3"/>
      <c r="F66" s="3"/>
      <c r="G66" s="3"/>
      <c r="H66" s="3"/>
      <c r="I66" s="3"/>
      <c r="J66" s="3"/>
      <c r="K66" s="3"/>
      <c r="L66" s="3"/>
      <c r="M66" s="3"/>
      <c r="N66" s="3"/>
      <c r="O66" s="3"/>
    </row>
    <row r="67" spans="3:15">
      <c r="C67" s="3"/>
      <c r="D67" s="3"/>
      <c r="E67" s="3"/>
      <c r="F67" s="3"/>
      <c r="G67" s="3"/>
      <c r="H67" s="3"/>
      <c r="I67" s="3"/>
      <c r="J67" s="3"/>
      <c r="K67" s="3"/>
      <c r="L67" s="3"/>
      <c r="M67" s="3"/>
      <c r="N67" s="3"/>
      <c r="O67" s="3"/>
    </row>
    <row r="68" spans="3:15">
      <c r="C68" s="3"/>
      <c r="D68" s="3"/>
      <c r="E68" s="3"/>
      <c r="F68" s="3"/>
      <c r="G68" s="3"/>
      <c r="H68" s="3"/>
      <c r="I68" s="3"/>
      <c r="J68" s="3"/>
      <c r="K68" s="3"/>
      <c r="L68" s="3"/>
      <c r="M68" s="3"/>
      <c r="N68" s="3"/>
      <c r="O68" s="3"/>
    </row>
    <row r="69" spans="3:15">
      <c r="C69" s="3"/>
      <c r="D69" s="3"/>
      <c r="E69" s="3"/>
      <c r="F69" s="3"/>
      <c r="G69" s="3"/>
      <c r="H69" s="3"/>
      <c r="I69" s="3"/>
      <c r="J69" s="3"/>
      <c r="K69" s="3"/>
      <c r="L69" s="3"/>
      <c r="M69" s="3"/>
      <c r="N69" s="3"/>
      <c r="O69" s="3"/>
    </row>
    <row r="70" spans="3:15">
      <c r="C70" s="3"/>
      <c r="D70" s="3"/>
      <c r="E70" s="3"/>
      <c r="F70" s="3"/>
      <c r="G70" s="3"/>
      <c r="H70" s="3"/>
      <c r="I70" s="3"/>
      <c r="J70" s="3"/>
      <c r="K70" s="3"/>
      <c r="L70" s="3"/>
      <c r="M70" s="3"/>
      <c r="N70" s="3"/>
      <c r="O70" s="3"/>
    </row>
    <row r="71" spans="3:15">
      <c r="C71" s="3"/>
      <c r="D71" s="3"/>
      <c r="E71" s="3"/>
      <c r="F71" s="3"/>
      <c r="G71" s="3"/>
      <c r="H71" s="3"/>
      <c r="I71" s="3"/>
      <c r="J71" s="3"/>
      <c r="K71" s="3"/>
      <c r="L71" s="3"/>
      <c r="M71" s="3"/>
      <c r="N71" s="3"/>
      <c r="O71" s="3"/>
    </row>
    <row r="72" spans="3:15">
      <c r="C72" s="3"/>
      <c r="D72" s="3"/>
      <c r="E72" s="3"/>
      <c r="F72" s="3"/>
      <c r="G72" s="3"/>
      <c r="H72" s="3"/>
      <c r="I72" s="3"/>
      <c r="J72" s="3"/>
      <c r="K72" s="3"/>
      <c r="L72" s="3"/>
      <c r="M72" s="3"/>
      <c r="N72" s="3"/>
      <c r="O72" s="3"/>
    </row>
    <row r="73" spans="3:15">
      <c r="C73" s="3"/>
      <c r="D73" s="3"/>
      <c r="E73" s="3"/>
      <c r="F73" s="3"/>
      <c r="G73" s="3"/>
      <c r="H73" s="3"/>
      <c r="I73" s="3"/>
      <c r="J73" s="3"/>
      <c r="K73" s="3"/>
      <c r="L73" s="3"/>
      <c r="M73" s="3"/>
      <c r="N73" s="3"/>
      <c r="O73" s="3"/>
    </row>
    <row r="74" spans="3:15">
      <c r="C74" s="3"/>
      <c r="D74" s="3"/>
      <c r="E74" s="3"/>
      <c r="F74" s="3"/>
      <c r="G74" s="3"/>
      <c r="H74" s="3"/>
      <c r="I74" s="3"/>
      <c r="J74" s="3"/>
      <c r="K74" s="3"/>
      <c r="L74" s="3"/>
      <c r="M74" s="3"/>
      <c r="N74" s="3"/>
      <c r="O74" s="3"/>
    </row>
    <row r="75" spans="3:15">
      <c r="C75" s="3"/>
      <c r="D75" s="3"/>
      <c r="E75" s="3"/>
      <c r="F75" s="3"/>
      <c r="G75" s="3"/>
      <c r="H75" s="3"/>
      <c r="I75" s="3"/>
      <c r="J75" s="3"/>
      <c r="K75" s="3"/>
      <c r="L75" s="3"/>
      <c r="M75" s="3"/>
      <c r="N75" s="3"/>
      <c r="O75" s="3"/>
    </row>
    <row r="76" spans="3:15">
      <c r="C76" s="3"/>
      <c r="D76" s="3"/>
      <c r="E76" s="3"/>
      <c r="F76" s="3"/>
      <c r="G76" s="3"/>
      <c r="H76" s="3"/>
      <c r="I76" s="3"/>
      <c r="J76" s="3"/>
      <c r="K76" s="3"/>
      <c r="L76" s="3"/>
      <c r="M76" s="3"/>
      <c r="N76" s="3"/>
      <c r="O76" s="3"/>
    </row>
    <row r="77" spans="3:15">
      <c r="C77" s="3"/>
      <c r="D77" s="3"/>
      <c r="E77" s="3"/>
      <c r="F77" s="3"/>
      <c r="G77" s="3"/>
      <c r="H77" s="3"/>
      <c r="I77" s="3"/>
      <c r="J77" s="3"/>
      <c r="K77" s="3"/>
      <c r="L77" s="3"/>
      <c r="M77" s="3"/>
      <c r="N77" s="3"/>
      <c r="O77" s="3"/>
    </row>
    <row r="78" spans="3:15">
      <c r="C78" s="3"/>
      <c r="D78" s="3"/>
      <c r="E78" s="3"/>
      <c r="F78" s="3"/>
      <c r="G78" s="3"/>
      <c r="H78" s="3"/>
      <c r="I78" s="3"/>
      <c r="J78" s="3"/>
      <c r="K78" s="3"/>
      <c r="L78" s="3"/>
      <c r="M78" s="3"/>
      <c r="N78" s="3"/>
      <c r="O78" s="3"/>
    </row>
    <row r="79" spans="3:15">
      <c r="C79" s="3"/>
      <c r="D79" s="3"/>
      <c r="E79" s="3"/>
      <c r="F79" s="3"/>
      <c r="G79" s="3"/>
      <c r="H79" s="3"/>
      <c r="I79" s="3"/>
      <c r="J79" s="3"/>
      <c r="K79" s="3"/>
      <c r="L79" s="3"/>
      <c r="M79" s="3"/>
      <c r="N79" s="3"/>
      <c r="O79" s="3"/>
    </row>
    <row r="80" spans="3:15">
      <c r="C80" s="3"/>
      <c r="D80" s="3"/>
      <c r="E80" s="3"/>
      <c r="F80" s="3"/>
      <c r="G80" s="3"/>
      <c r="H80" s="3"/>
      <c r="I80" s="3"/>
      <c r="J80" s="3"/>
      <c r="K80" s="3"/>
      <c r="L80" s="3"/>
      <c r="M80" s="3"/>
      <c r="N80" s="3"/>
      <c r="O80" s="3"/>
    </row>
    <row r="81" spans="3:15">
      <c r="C81" s="3"/>
      <c r="D81" s="3"/>
      <c r="E81" s="3"/>
      <c r="F81" s="3"/>
      <c r="G81" s="3"/>
      <c r="H81" s="3"/>
      <c r="I81" s="3"/>
      <c r="J81" s="3"/>
      <c r="K81" s="3"/>
      <c r="L81" s="3"/>
      <c r="M81" s="3"/>
      <c r="N81" s="3"/>
      <c r="O81" s="3"/>
    </row>
    <row r="82" spans="3:15">
      <c r="C82" s="3"/>
      <c r="D82" s="3"/>
      <c r="E82" s="3"/>
      <c r="F82" s="3"/>
      <c r="G82" s="3"/>
      <c r="H82" s="3"/>
      <c r="I82" s="3"/>
      <c r="J82" s="3"/>
      <c r="K82" s="3"/>
      <c r="L82" s="3"/>
      <c r="M82" s="3"/>
      <c r="N82" s="3"/>
      <c r="O82" s="3"/>
    </row>
    <row r="83" spans="3:15">
      <c r="C83" s="3"/>
      <c r="D83" s="3"/>
      <c r="E83" s="3"/>
      <c r="F83" s="3"/>
      <c r="G83" s="3"/>
      <c r="H83" s="3"/>
      <c r="I83" s="3"/>
      <c r="J83" s="3"/>
      <c r="K83" s="3"/>
      <c r="L83" s="3"/>
      <c r="M83" s="3"/>
      <c r="N83" s="3"/>
      <c r="O83" s="3"/>
    </row>
    <row r="84" spans="3:15">
      <c r="C84" s="3"/>
      <c r="D84" s="3"/>
      <c r="E84" s="3"/>
      <c r="F84" s="3"/>
      <c r="G84" s="3"/>
      <c r="H84" s="3"/>
      <c r="I84" s="3"/>
      <c r="J84" s="3"/>
      <c r="K84" s="3"/>
      <c r="L84" s="3"/>
      <c r="M84" s="3"/>
      <c r="N84" s="3"/>
      <c r="O84" s="3"/>
    </row>
    <row r="85" spans="3:15">
      <c r="C85" s="3"/>
      <c r="D85" s="3"/>
      <c r="E85" s="3"/>
      <c r="F85" s="3"/>
      <c r="G85" s="3"/>
      <c r="H85" s="3"/>
      <c r="I85" s="3"/>
      <c r="J85" s="3"/>
      <c r="K85" s="3"/>
      <c r="L85" s="3"/>
      <c r="M85" s="3"/>
      <c r="N85" s="3"/>
      <c r="O85" s="3"/>
    </row>
    <row r="86" spans="3:15">
      <c r="C86" s="3"/>
      <c r="D86" s="3"/>
      <c r="E86" s="3"/>
      <c r="F86" s="3"/>
      <c r="G86" s="3"/>
      <c r="H86" s="3"/>
      <c r="I86" s="3"/>
      <c r="J86" s="3"/>
      <c r="K86" s="3"/>
      <c r="L86" s="3"/>
      <c r="M86" s="3"/>
      <c r="N86" s="3"/>
      <c r="O86" s="3"/>
    </row>
    <row r="87" spans="3:15">
      <c r="C87" s="3"/>
      <c r="D87" s="3"/>
      <c r="E87" s="3"/>
      <c r="F87" s="3"/>
      <c r="G87" s="3"/>
      <c r="H87" s="3"/>
      <c r="I87" s="3"/>
      <c r="J87" s="3"/>
      <c r="K87" s="3"/>
      <c r="L87" s="3"/>
      <c r="M87" s="3"/>
      <c r="N87" s="3"/>
      <c r="O87" s="3"/>
    </row>
    <row r="88" spans="3:15" ht="15.5">
      <c r="C88" s="62" t="s">
        <v>110</v>
      </c>
      <c r="D88" s="62"/>
      <c r="E88" s="62"/>
      <c r="F88" s="62"/>
      <c r="G88" s="62"/>
      <c r="H88" s="62"/>
      <c r="I88" s="62"/>
      <c r="J88" s="62"/>
      <c r="K88" s="62"/>
      <c r="L88" s="62"/>
      <c r="M88" s="62"/>
      <c r="N88" s="62"/>
      <c r="O88" s="62"/>
    </row>
    <row r="89" spans="3:15">
      <c r="C89" s="68" t="s">
        <v>91</v>
      </c>
      <c r="D89" s="68"/>
      <c r="E89" s="68" t="s">
        <v>94</v>
      </c>
      <c r="F89" s="68"/>
      <c r="G89" s="23"/>
      <c r="H89" s="68" t="s">
        <v>95</v>
      </c>
      <c r="I89" s="68"/>
      <c r="J89" s="68" t="s">
        <v>111</v>
      </c>
      <c r="K89" s="68"/>
      <c r="L89" s="23"/>
      <c r="M89" s="68" t="s">
        <v>112</v>
      </c>
      <c r="N89" s="68"/>
      <c r="O89" s="23"/>
    </row>
    <row r="90" spans="3:15">
      <c r="C90" s="66">
        <f>SUM('FINAL RESULT'!M2:M1001)</f>
        <v>58304</v>
      </c>
      <c r="D90" s="66"/>
      <c r="E90" s="66">
        <f>AVERAGE('FINAL RESULT'!M2:M1001)</f>
        <v>58.304000000000002</v>
      </c>
      <c r="F90" s="66"/>
      <c r="G90" s="24"/>
      <c r="H90" s="66">
        <f>MAX('FINAL RESULT'!M2:M1001)</f>
        <v>249</v>
      </c>
      <c r="I90" s="66"/>
      <c r="J90" s="66">
        <f>MIN('FINAL RESULT'!M2:M1001)</f>
        <v>1</v>
      </c>
      <c r="K90" s="66"/>
      <c r="L90" s="24"/>
      <c r="M90" s="66">
        <f>COUNTIF('FINAL RESULT'!M2:M1001,"&gt;100")</f>
        <v>170</v>
      </c>
      <c r="N90" s="66"/>
      <c r="O90" s="24"/>
    </row>
    <row r="91" spans="3:15">
      <c r="C91" s="67" t="s">
        <v>113</v>
      </c>
      <c r="D91" s="67"/>
      <c r="E91" s="67" t="s">
        <v>114</v>
      </c>
      <c r="F91" s="67"/>
      <c r="G91" s="28"/>
      <c r="H91" s="67" t="s">
        <v>115</v>
      </c>
      <c r="I91" s="67"/>
      <c r="J91" s="67" t="s">
        <v>116</v>
      </c>
      <c r="K91" s="67"/>
      <c r="L91" s="28"/>
      <c r="M91" s="67" t="s">
        <v>117</v>
      </c>
      <c r="N91" s="67"/>
      <c r="O91" s="28"/>
    </row>
    <row r="92" spans="3:15">
      <c r="C92" s="3"/>
      <c r="D92" s="3"/>
      <c r="E92" s="3"/>
      <c r="F92" s="3"/>
      <c r="G92" s="3"/>
      <c r="H92" s="3"/>
      <c r="I92" s="3"/>
      <c r="J92" s="3"/>
      <c r="K92" s="3"/>
      <c r="L92" s="3"/>
      <c r="M92" s="3"/>
      <c r="N92" s="3"/>
      <c r="O92" s="3"/>
    </row>
    <row r="93" spans="3:15">
      <c r="C93" s="3"/>
      <c r="D93" s="3"/>
      <c r="E93" s="3"/>
      <c r="F93" s="3"/>
      <c r="G93" s="3"/>
      <c r="H93" s="3"/>
      <c r="I93" s="3"/>
      <c r="J93" s="3"/>
      <c r="K93" s="3"/>
      <c r="L93" s="3"/>
      <c r="M93" s="3"/>
      <c r="N93" s="3"/>
      <c r="O93" s="3"/>
    </row>
    <row r="94" spans="3:15" ht="15.5">
      <c r="C94" s="62" t="s">
        <v>118</v>
      </c>
      <c r="D94" s="63"/>
      <c r="E94" s="63"/>
      <c r="F94" s="63"/>
      <c r="G94" s="63"/>
      <c r="H94" s="63"/>
      <c r="I94" s="63"/>
      <c r="J94" s="63"/>
      <c r="K94" s="63"/>
      <c r="L94" s="63"/>
      <c r="M94" s="63"/>
      <c r="N94" s="63"/>
      <c r="O94" s="63"/>
    </row>
    <row r="95" spans="3:15">
      <c r="C95" s="64" t="s">
        <v>119</v>
      </c>
      <c r="D95" s="64"/>
      <c r="E95" s="64"/>
      <c r="F95" s="64"/>
      <c r="G95" s="64"/>
      <c r="H95" s="64"/>
      <c r="I95" s="64"/>
      <c r="J95" s="64"/>
      <c r="K95" s="64"/>
      <c r="L95" s="64"/>
      <c r="M95" s="64"/>
      <c r="N95" s="64"/>
      <c r="O95" s="64"/>
    </row>
    <row r="96" spans="3:15">
      <c r="C96" s="64" t="s">
        <v>120</v>
      </c>
      <c r="D96" s="64"/>
      <c r="E96" s="64"/>
      <c r="F96" s="64"/>
      <c r="G96" s="64"/>
      <c r="H96" s="64"/>
      <c r="I96" s="64"/>
      <c r="J96" s="64"/>
      <c r="K96" s="64"/>
      <c r="L96" s="64"/>
      <c r="M96" s="64"/>
      <c r="N96" s="64"/>
      <c r="O96" s="64"/>
    </row>
    <row r="97" spans="3:15">
      <c r="C97" s="64" t="s">
        <v>121</v>
      </c>
      <c r="D97" s="64"/>
      <c r="E97" s="64"/>
      <c r="F97" s="64"/>
      <c r="G97" s="64"/>
      <c r="H97" s="64"/>
      <c r="I97" s="64"/>
      <c r="J97" s="64"/>
      <c r="K97" s="64"/>
      <c r="L97" s="64"/>
      <c r="M97" s="64"/>
      <c r="N97" s="64"/>
      <c r="O97" s="64"/>
    </row>
    <row r="98" spans="3:15" ht="15" thickBot="1">
      <c r="C98" s="65" t="s">
        <v>122</v>
      </c>
      <c r="D98" s="65"/>
      <c r="E98" s="65"/>
      <c r="F98" s="65"/>
      <c r="G98" s="65"/>
      <c r="H98" s="65"/>
      <c r="I98" s="65"/>
      <c r="J98" s="65"/>
      <c r="K98" s="65"/>
      <c r="L98" s="65"/>
      <c r="M98" s="65"/>
      <c r="N98" s="65"/>
      <c r="O98" s="65"/>
    </row>
    <row r="99" spans="3:15" ht="15" thickTop="1"/>
  </sheetData>
  <mergeCells count="52">
    <mergeCell ref="C1:O2"/>
    <mergeCell ref="C6:O6"/>
    <mergeCell ref="C3:O3"/>
    <mergeCell ref="C8:D8"/>
    <mergeCell ref="E8:F8"/>
    <mergeCell ref="H8:I8"/>
    <mergeCell ref="J8:K8"/>
    <mergeCell ref="M8:N8"/>
    <mergeCell ref="C7:D7"/>
    <mergeCell ref="E7:F7"/>
    <mergeCell ref="M7:N7"/>
    <mergeCell ref="J7:K7"/>
    <mergeCell ref="H7:I7"/>
    <mergeCell ref="K12:M12"/>
    <mergeCell ref="K13:M13"/>
    <mergeCell ref="C11:G11"/>
    <mergeCell ref="I11:O11"/>
    <mergeCell ref="N12:O12"/>
    <mergeCell ref="I12:J12"/>
    <mergeCell ref="I13:J13"/>
    <mergeCell ref="N13:O13"/>
    <mergeCell ref="N14:O14"/>
    <mergeCell ref="N15:O15"/>
    <mergeCell ref="N16:O16"/>
    <mergeCell ref="C18:O18"/>
    <mergeCell ref="C88:O88"/>
    <mergeCell ref="I14:J14"/>
    <mergeCell ref="I15:J15"/>
    <mergeCell ref="I16:J16"/>
    <mergeCell ref="K14:M14"/>
    <mergeCell ref="K15:M15"/>
    <mergeCell ref="K16:M16"/>
    <mergeCell ref="C89:D89"/>
    <mergeCell ref="E89:F89"/>
    <mergeCell ref="H89:I89"/>
    <mergeCell ref="J89:K89"/>
    <mergeCell ref="M89:N89"/>
    <mergeCell ref="C91:D91"/>
    <mergeCell ref="E91:F91"/>
    <mergeCell ref="H91:I91"/>
    <mergeCell ref="J91:K91"/>
    <mergeCell ref="M91:N91"/>
    <mergeCell ref="M90:N90"/>
    <mergeCell ref="J90:K90"/>
    <mergeCell ref="H90:I90"/>
    <mergeCell ref="E90:F90"/>
    <mergeCell ref="C90:D90"/>
    <mergeCell ref="C94:O94"/>
    <mergeCell ref="C95:O95"/>
    <mergeCell ref="C96:O96"/>
    <mergeCell ref="C97:O97"/>
    <mergeCell ref="C98:O98"/>
  </mergeCells>
  <pageMargins left="0.7" right="0.7" top="0.75" bottom="0.75" header="0.3" footer="0.3"/>
  <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C1:AH25"/>
  <sheetViews>
    <sheetView showGridLines="0" tabSelected="1" zoomScale="24" zoomScaleNormal="104" workbookViewId="0">
      <selection activeCell="AQ81" sqref="AQ81"/>
    </sheetView>
  </sheetViews>
  <sheetFormatPr defaultRowHeight="14.5"/>
  <cols>
    <col min="6" max="6" width="8.7265625" customWidth="1"/>
    <col min="16" max="17" width="8.7265625" customWidth="1"/>
    <col min="18" max="18" width="27.81640625" customWidth="1"/>
    <col min="23" max="23" width="12" customWidth="1"/>
    <col min="24" max="24" width="29" customWidth="1"/>
  </cols>
  <sheetData>
    <row r="1" ht="14.5" customHeight="1"/>
    <row r="2" ht="14.5" customHeight="1"/>
    <row r="7" ht="14.5" customHeight="1"/>
    <row r="8" ht="14.5" customHeight="1"/>
    <row r="14" ht="14.5" customHeight="1"/>
    <row r="15" ht="14.5" customHeight="1"/>
    <row r="16" ht="14.5" customHeight="1"/>
    <row r="19" spans="29:34" ht="14.5" customHeight="1"/>
    <row r="20" spans="29:34" ht="14.5" customHeight="1"/>
    <row r="21" spans="29:34" ht="23.5">
      <c r="AC21" s="37"/>
      <c r="AD21" s="37"/>
      <c r="AE21" s="37"/>
      <c r="AF21" s="37"/>
      <c r="AG21" s="37"/>
    </row>
    <row r="22" spans="29:34" ht="23.5">
      <c r="AC22" s="37"/>
      <c r="AD22" s="37"/>
      <c r="AE22" s="37"/>
      <c r="AF22" s="37"/>
      <c r="AG22" s="37"/>
    </row>
    <row r="24" spans="29:34" ht="14.5" customHeight="1"/>
    <row r="25" spans="29:34" ht="14.5" customHeight="1">
      <c r="AH25" s="3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8"/>
  <sheetViews>
    <sheetView zoomScale="90" workbookViewId="0"/>
  </sheetViews>
  <sheetFormatPr defaultRowHeight="14.5"/>
  <cols>
    <col min="1" max="1" width="12.36328125" customWidth="1"/>
    <col min="2" max="2" width="11.54296875" customWidth="1"/>
    <col min="3" max="3" width="9.81640625" customWidth="1"/>
    <col min="4" max="4" width="12.81640625" customWidth="1"/>
    <col min="5" max="5" width="16.54296875" customWidth="1"/>
  </cols>
  <sheetData>
    <row r="1" spans="1:5">
      <c r="A1" t="s">
        <v>30</v>
      </c>
      <c r="B1" t="s">
        <v>12</v>
      </c>
      <c r="C1" t="s">
        <v>123</v>
      </c>
      <c r="D1" t="s">
        <v>124</v>
      </c>
      <c r="E1" t="s">
        <v>125</v>
      </c>
    </row>
    <row r="2" spans="1:5">
      <c r="A2" s="34">
        <v>40544</v>
      </c>
      <c r="B2" s="35">
        <v>41.041666666666664</v>
      </c>
    </row>
    <row r="3" spans="1:5">
      <c r="A3" s="34">
        <v>40545</v>
      </c>
      <c r="B3" s="35">
        <v>34.826086956521742</v>
      </c>
    </row>
    <row r="4" spans="1:5">
      <c r="A4" s="34">
        <v>40546</v>
      </c>
      <c r="B4" s="35">
        <v>61.31818181818182</v>
      </c>
    </row>
    <row r="5" spans="1:5">
      <c r="A5" s="34">
        <v>40547</v>
      </c>
      <c r="B5" s="35">
        <v>67.913043478260875</v>
      </c>
    </row>
    <row r="6" spans="1:5">
      <c r="A6" s="34">
        <v>40548</v>
      </c>
      <c r="B6" s="35">
        <v>69.565217391304344</v>
      </c>
    </row>
    <row r="7" spans="1:5">
      <c r="A7" s="34">
        <v>40549</v>
      </c>
      <c r="B7" s="35">
        <v>69.826086956521735</v>
      </c>
    </row>
    <row r="8" spans="1:5">
      <c r="A8" s="34">
        <v>40550</v>
      </c>
      <c r="B8" s="35">
        <v>65.652173913043484</v>
      </c>
    </row>
    <row r="9" spans="1:5">
      <c r="A9" s="34">
        <v>40551</v>
      </c>
      <c r="B9" s="35">
        <v>39.958333333333336</v>
      </c>
    </row>
    <row r="10" spans="1:5">
      <c r="A10" s="34">
        <v>40552</v>
      </c>
      <c r="B10" s="35">
        <v>34.25</v>
      </c>
    </row>
    <row r="11" spans="1:5">
      <c r="A11" s="34">
        <v>40553</v>
      </c>
      <c r="B11" s="35">
        <v>55.041666666666664</v>
      </c>
    </row>
    <row r="12" spans="1:5">
      <c r="A12" s="34">
        <v>40554</v>
      </c>
      <c r="B12" s="35">
        <v>57.409090909090907</v>
      </c>
    </row>
    <row r="13" spans="1:5">
      <c r="A13" s="34">
        <v>40555</v>
      </c>
      <c r="B13" s="35">
        <v>52.81818181818182</v>
      </c>
    </row>
    <row r="14" spans="1:5">
      <c r="A14" s="34">
        <v>40556</v>
      </c>
      <c r="B14" s="35">
        <v>58.583333333333336</v>
      </c>
    </row>
    <row r="15" spans="1:5">
      <c r="A15" s="34">
        <v>40557</v>
      </c>
      <c r="B15" s="35">
        <v>61.782608695652172</v>
      </c>
    </row>
    <row r="16" spans="1:5">
      <c r="A16" s="34">
        <v>40558</v>
      </c>
      <c r="B16" s="35">
        <v>52</v>
      </c>
    </row>
    <row r="17" spans="1:2">
      <c r="A17" s="34">
        <v>40559</v>
      </c>
      <c r="B17" s="35">
        <v>50.166666666666664</v>
      </c>
    </row>
    <row r="18" spans="1:2">
      <c r="A18" s="34">
        <v>40560</v>
      </c>
      <c r="B18" s="35">
        <v>41.666666666666664</v>
      </c>
    </row>
    <row r="19" spans="1:2">
      <c r="A19" s="34">
        <v>40561</v>
      </c>
      <c r="B19" s="35">
        <v>56.916666666666664</v>
      </c>
    </row>
    <row r="20" spans="1:2">
      <c r="A20" s="34">
        <v>40562</v>
      </c>
      <c r="B20" s="35">
        <v>71.739130434782609</v>
      </c>
    </row>
    <row r="21" spans="1:2">
      <c r="A21" s="34">
        <v>40563</v>
      </c>
      <c r="B21" s="35">
        <v>80.291666666666671</v>
      </c>
    </row>
    <row r="22" spans="1:2">
      <c r="A22" s="34">
        <v>40564</v>
      </c>
      <c r="B22" s="35">
        <v>64.291666666666671</v>
      </c>
    </row>
    <row r="23" spans="1:2">
      <c r="A23" s="34">
        <v>40565</v>
      </c>
      <c r="B23" s="35">
        <v>42.652173913043477</v>
      </c>
    </row>
    <row r="24" spans="1:2">
      <c r="A24" s="34">
        <v>40566</v>
      </c>
      <c r="B24" s="35">
        <v>42.869565217391305</v>
      </c>
    </row>
    <row r="25" spans="1:2">
      <c r="A25" s="34">
        <v>40567</v>
      </c>
      <c r="B25" s="35">
        <v>61.565217391304351</v>
      </c>
    </row>
    <row r="26" spans="1:2">
      <c r="A26" s="34">
        <v>40568</v>
      </c>
      <c r="B26" s="35">
        <v>86.304347826086953</v>
      </c>
    </row>
    <row r="27" spans="1:2">
      <c r="A27" s="34">
        <v>40569</v>
      </c>
      <c r="B27" s="35">
        <v>31.625</v>
      </c>
    </row>
    <row r="28" spans="1:2">
      <c r="A28" s="34">
        <v>40570</v>
      </c>
      <c r="B28" s="35">
        <v>53.875</v>
      </c>
    </row>
    <row r="29" spans="1:2">
      <c r="A29" s="34">
        <v>40571</v>
      </c>
      <c r="B29" s="35">
        <v>50.739130434782609</v>
      </c>
    </row>
    <row r="30" spans="1:2">
      <c r="A30" s="34">
        <v>40572</v>
      </c>
      <c r="B30" s="35">
        <v>47.739130434782609</v>
      </c>
    </row>
    <row r="31" spans="1:2">
      <c r="A31" s="34">
        <v>40573</v>
      </c>
      <c r="B31" s="35">
        <v>47.652173913043477</v>
      </c>
    </row>
    <row r="32" spans="1:2">
      <c r="A32" s="34">
        <v>40574</v>
      </c>
      <c r="B32" s="35">
        <v>62.541666666666664</v>
      </c>
    </row>
    <row r="33" spans="1:5">
      <c r="A33" s="34">
        <v>40575</v>
      </c>
      <c r="B33" s="35">
        <v>59.130434782608695</v>
      </c>
    </row>
    <row r="34" spans="1:5">
      <c r="A34" s="34">
        <v>40576</v>
      </c>
      <c r="B34" s="35">
        <v>63.583333333333336</v>
      </c>
    </row>
    <row r="35" spans="1:5">
      <c r="A35" s="34">
        <v>40577</v>
      </c>
      <c r="B35" s="35">
        <v>67.391304347826093</v>
      </c>
    </row>
    <row r="36" spans="1:5">
      <c r="A36" s="34">
        <v>40578</v>
      </c>
      <c r="B36" s="35">
        <v>74.260869565217391</v>
      </c>
    </row>
    <row r="37" spans="1:5">
      <c r="A37" s="34">
        <v>40579</v>
      </c>
      <c r="B37" s="35">
        <v>41.875</v>
      </c>
    </row>
    <row r="38" spans="1:5">
      <c r="A38" s="34">
        <v>40580</v>
      </c>
      <c r="B38" s="35">
        <v>67.625</v>
      </c>
    </row>
    <row r="39" spans="1:5">
      <c r="A39" s="34">
        <v>40581</v>
      </c>
      <c r="B39" s="35">
        <v>71.333333333333329</v>
      </c>
    </row>
    <row r="40" spans="1:5">
      <c r="A40" s="34">
        <v>40582</v>
      </c>
      <c r="B40" s="35">
        <v>63.75</v>
      </c>
    </row>
    <row r="41" spans="1:5">
      <c r="A41" s="34">
        <v>40583</v>
      </c>
      <c r="B41" s="35">
        <v>69.782608695652172</v>
      </c>
    </row>
    <row r="42" spans="1:5">
      <c r="A42" s="34">
        <v>40584</v>
      </c>
      <c r="B42" s="35">
        <v>66.869565217391298</v>
      </c>
    </row>
    <row r="43" spans="1:5">
      <c r="A43" s="34">
        <v>40585</v>
      </c>
      <c r="B43" s="35">
        <v>79.36363636363636</v>
      </c>
    </row>
    <row r="44" spans="1:5">
      <c r="A44" s="34">
        <v>40586</v>
      </c>
      <c r="B44" s="35">
        <v>61.333333333333336</v>
      </c>
    </row>
    <row r="45" spans="1:5">
      <c r="A45" s="34">
        <v>40587</v>
      </c>
      <c r="B45" s="35">
        <v>69.086956521739125</v>
      </c>
    </row>
    <row r="46" spans="1:5">
      <c r="A46" s="34">
        <v>40588</v>
      </c>
      <c r="B46" s="35">
        <v>18.875</v>
      </c>
      <c r="C46" s="35">
        <v>18.875</v>
      </c>
      <c r="D46" s="36">
        <v>18.875</v>
      </c>
      <c r="E46" s="36">
        <v>18.875</v>
      </c>
    </row>
    <row r="47" spans="1:5">
      <c r="A47" s="34">
        <v>40589</v>
      </c>
      <c r="C47" s="35">
        <f t="shared" ref="C47:C58" si="0">_xlfn.FORECAST.ETS(A47,$B$2:$B$46,$A$2:$A$46,1,1)</f>
        <v>61.270134143024279</v>
      </c>
      <c r="D47" s="36">
        <f t="shared" ref="D47:D58" si="1">C47-_xlfn.FORECAST.ETS.CONFINT(A47,$B$2:$B$46,$A$2:$A$46,0.95,1,1)</f>
        <v>31.858655883675784</v>
      </c>
      <c r="E47" s="36">
        <f t="shared" ref="E47:E58" si="2">C47+_xlfn.FORECAST.ETS.CONFINT(A47,$B$2:$B$46,$A$2:$A$46,0.95,1,1)</f>
        <v>90.681612402372778</v>
      </c>
    </row>
    <row r="48" spans="1:5">
      <c r="A48" s="34">
        <v>40590</v>
      </c>
      <c r="C48" s="35">
        <f t="shared" si="0"/>
        <v>61.525827765725516</v>
      </c>
      <c r="D48" s="36">
        <f t="shared" si="1"/>
        <v>31.878109408718345</v>
      </c>
      <c r="E48" s="36">
        <f t="shared" si="2"/>
        <v>91.173546122732688</v>
      </c>
    </row>
    <row r="49" spans="1:5">
      <c r="A49" s="34">
        <v>40591</v>
      </c>
      <c r="C49" s="35">
        <f t="shared" si="0"/>
        <v>61.781521388426746</v>
      </c>
      <c r="D49" s="36">
        <f t="shared" si="1"/>
        <v>31.895739851191895</v>
      </c>
      <c r="E49" s="36">
        <f t="shared" si="2"/>
        <v>91.667302925661602</v>
      </c>
    </row>
    <row r="50" spans="1:5">
      <c r="A50" s="34">
        <v>40592</v>
      </c>
      <c r="C50" s="35">
        <f t="shared" si="0"/>
        <v>62.037215011127984</v>
      </c>
      <c r="D50" s="36">
        <f t="shared" si="1"/>
        <v>31.911561716718598</v>
      </c>
      <c r="E50" s="36">
        <f t="shared" si="2"/>
        <v>92.162868305537373</v>
      </c>
    </row>
    <row r="51" spans="1:5">
      <c r="A51" s="34">
        <v>40593</v>
      </c>
      <c r="C51" s="35">
        <f t="shared" si="0"/>
        <v>62.292908633829221</v>
      </c>
      <c r="D51" s="36">
        <f t="shared" si="1"/>
        <v>31.925589377473688</v>
      </c>
      <c r="E51" s="36">
        <f t="shared" si="2"/>
        <v>92.660227890184757</v>
      </c>
    </row>
    <row r="52" spans="1:5">
      <c r="A52" s="34">
        <v>40594</v>
      </c>
      <c r="C52" s="35">
        <f t="shared" si="0"/>
        <v>62.548602256530458</v>
      </c>
      <c r="D52" s="36">
        <f t="shared" si="1"/>
        <v>31.937837068955986</v>
      </c>
      <c r="E52" s="36">
        <f t="shared" si="2"/>
        <v>93.15936744410493</v>
      </c>
    </row>
    <row r="53" spans="1:5">
      <c r="A53" s="34">
        <v>40595</v>
      </c>
      <c r="C53" s="35">
        <f t="shared" si="0"/>
        <v>62.804295879231688</v>
      </c>
      <c r="D53" s="36">
        <f t="shared" si="1"/>
        <v>31.948318887095059</v>
      </c>
      <c r="E53" s="36">
        <f t="shared" si="2"/>
        <v>93.660272871368321</v>
      </c>
    </row>
    <row r="54" spans="1:5">
      <c r="A54" s="34">
        <v>40596</v>
      </c>
      <c r="C54" s="35">
        <f t="shared" si="0"/>
        <v>63.059989501932925</v>
      </c>
      <c r="D54" s="36">
        <f t="shared" si="1"/>
        <v>31.95704878567814</v>
      </c>
      <c r="E54" s="36">
        <f t="shared" si="2"/>
        <v>94.162930218187711</v>
      </c>
    </row>
    <row r="55" spans="1:5">
      <c r="A55" s="34">
        <v>40597</v>
      </c>
      <c r="C55" s="35">
        <f t="shared" si="0"/>
        <v>63.315683124634162</v>
      </c>
      <c r="D55" s="36">
        <f t="shared" si="1"/>
        <v>31.964040574080091</v>
      </c>
      <c r="E55" s="36">
        <f t="shared" si="2"/>
        <v>94.667325675188238</v>
      </c>
    </row>
    <row r="56" spans="1:5">
      <c r="A56" s="34">
        <v>40598</v>
      </c>
      <c r="C56" s="35">
        <f t="shared" si="0"/>
        <v>63.5713767473354</v>
      </c>
      <c r="D56" s="36">
        <f t="shared" si="1"/>
        <v>31.969307915280588</v>
      </c>
      <c r="E56" s="36">
        <f t="shared" si="2"/>
        <v>95.173445579390204</v>
      </c>
    </row>
    <row r="57" spans="1:5">
      <c r="A57" s="34">
        <v>40599</v>
      </c>
      <c r="C57" s="35">
        <f t="shared" si="0"/>
        <v>63.827070370036637</v>
      </c>
      <c r="D57" s="36">
        <f t="shared" si="1"/>
        <v>31.972864324152855</v>
      </c>
      <c r="E57" s="36">
        <f t="shared" si="2"/>
        <v>95.681276415920422</v>
      </c>
    </row>
    <row r="58" spans="1:5">
      <c r="A58" s="34">
        <v>40600</v>
      </c>
      <c r="C58" s="35">
        <f t="shared" si="0"/>
        <v>64.082763992737867</v>
      </c>
      <c r="D58" s="36">
        <f t="shared" si="1"/>
        <v>31.974723166009028</v>
      </c>
      <c r="E58" s="36">
        <f t="shared" si="2"/>
        <v>96.190804819466706</v>
      </c>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1"/>
  <sheetViews>
    <sheetView workbookViewId="0"/>
  </sheetViews>
  <sheetFormatPr defaultRowHeight="14.5"/>
  <cols>
    <col min="4" max="4" width="13.81640625" bestFit="1" customWidth="1"/>
    <col min="6" max="6" width="9.54296875" customWidth="1"/>
    <col min="7" max="7" width="9.90625" customWidth="1"/>
  </cols>
  <sheetData>
    <row r="1" spans="1:7">
      <c r="A1" t="s">
        <v>30</v>
      </c>
      <c r="B1" t="s">
        <v>12</v>
      </c>
      <c r="C1" t="s">
        <v>126</v>
      </c>
      <c r="D1" t="s">
        <v>127</v>
      </c>
      <c r="F1" s="39" t="s">
        <v>134</v>
      </c>
      <c r="G1" s="39" t="s">
        <v>12</v>
      </c>
    </row>
    <row r="2" spans="1:7">
      <c r="A2">
        <f>'FINAL RESULT'!B2</f>
        <v>40544</v>
      </c>
      <c r="B2">
        <f>'FINAL RESULT'!M2</f>
        <v>16</v>
      </c>
      <c r="C2">
        <f>(B2-AVERAGE($B$2:$B$1001))/_xlfn.STDEV.S($B$2:$B$1001)</f>
        <v>-0.82972515686744586</v>
      </c>
      <c r="D2" t="str">
        <f>IF(ABS(C2)&gt;=2,"Anomaly","Normal")</f>
        <v>Normal</v>
      </c>
      <c r="F2" s="39" t="s">
        <v>135</v>
      </c>
      <c r="G2" s="40">
        <f>COUNTIF(D2:D1001,"Anomaly")</f>
        <v>0</v>
      </c>
    </row>
    <row r="3" spans="1:7">
      <c r="A3">
        <f>'FINAL RESULT'!B3</f>
        <v>40544</v>
      </c>
      <c r="B3">
        <f>'FINAL RESULT'!M3</f>
        <v>40</v>
      </c>
      <c r="F3" s="39" t="s">
        <v>136</v>
      </c>
      <c r="G3" s="40">
        <f>COUNTIF(D2:D1001,"Normal")</f>
        <v>1</v>
      </c>
    </row>
    <row r="4" spans="1:7">
      <c r="A4">
        <f>'FINAL RESULT'!B4</f>
        <v>40544</v>
      </c>
      <c r="B4">
        <f>'FINAL RESULT'!M4</f>
        <v>32</v>
      </c>
    </row>
    <row r="5" spans="1:7">
      <c r="A5">
        <f>'FINAL RESULT'!B5</f>
        <v>40544</v>
      </c>
      <c r="B5">
        <f>'FINAL RESULT'!M5</f>
        <v>13</v>
      </c>
    </row>
    <row r="6" spans="1:7">
      <c r="A6">
        <f>'FINAL RESULT'!B6</f>
        <v>40544</v>
      </c>
      <c r="B6">
        <f>'FINAL RESULT'!M6</f>
        <v>1</v>
      </c>
    </row>
    <row r="7" spans="1:7">
      <c r="A7">
        <f>'FINAL RESULT'!B7</f>
        <v>40544</v>
      </c>
      <c r="B7">
        <f>'FINAL RESULT'!M7</f>
        <v>1</v>
      </c>
    </row>
    <row r="8" spans="1:7">
      <c r="A8">
        <f>'FINAL RESULT'!B8</f>
        <v>40544</v>
      </c>
      <c r="B8">
        <f>'FINAL RESULT'!M8</f>
        <v>2</v>
      </c>
    </row>
    <row r="9" spans="1:7">
      <c r="A9">
        <f>'FINAL RESULT'!B9</f>
        <v>40544</v>
      </c>
      <c r="B9">
        <f>'FINAL RESULT'!M9</f>
        <v>3</v>
      </c>
    </row>
    <row r="10" spans="1:7">
      <c r="A10">
        <f>'FINAL RESULT'!B10</f>
        <v>40544</v>
      </c>
      <c r="B10">
        <f>'FINAL RESULT'!M10</f>
        <v>8</v>
      </c>
    </row>
    <row r="11" spans="1:7">
      <c r="A11">
        <f>'FINAL RESULT'!B11</f>
        <v>40544</v>
      </c>
      <c r="B11">
        <f>'FINAL RESULT'!M11</f>
        <v>14</v>
      </c>
    </row>
    <row r="12" spans="1:7">
      <c r="A12">
        <f>'FINAL RESULT'!B12</f>
        <v>40544</v>
      </c>
      <c r="B12">
        <f>'FINAL RESULT'!M12</f>
        <v>36</v>
      </c>
    </row>
    <row r="13" spans="1:7">
      <c r="A13">
        <f>'FINAL RESULT'!B13</f>
        <v>40544</v>
      </c>
      <c r="B13">
        <f>'FINAL RESULT'!M13</f>
        <v>56</v>
      </c>
    </row>
    <row r="14" spans="1:7">
      <c r="A14">
        <f>'FINAL RESULT'!B14</f>
        <v>40544</v>
      </c>
      <c r="B14">
        <f>'FINAL RESULT'!M14</f>
        <v>84</v>
      </c>
    </row>
    <row r="15" spans="1:7">
      <c r="A15">
        <f>'FINAL RESULT'!B15</f>
        <v>40544</v>
      </c>
      <c r="B15">
        <f>'FINAL RESULT'!M15</f>
        <v>94</v>
      </c>
    </row>
    <row r="16" spans="1:7">
      <c r="A16">
        <f>'FINAL RESULT'!B16</f>
        <v>40544</v>
      </c>
      <c r="B16">
        <f>'FINAL RESULT'!M16</f>
        <v>106</v>
      </c>
    </row>
    <row r="17" spans="1:2">
      <c r="A17">
        <f>'FINAL RESULT'!B17</f>
        <v>40544</v>
      </c>
      <c r="B17">
        <f>'FINAL RESULT'!M17</f>
        <v>110</v>
      </c>
    </row>
    <row r="18" spans="1:2">
      <c r="A18">
        <f>'FINAL RESULT'!B18</f>
        <v>40544</v>
      </c>
      <c r="B18">
        <f>'FINAL RESULT'!M18</f>
        <v>93</v>
      </c>
    </row>
    <row r="19" spans="1:2">
      <c r="A19">
        <f>'FINAL RESULT'!B19</f>
        <v>40544</v>
      </c>
      <c r="B19">
        <f>'FINAL RESULT'!M19</f>
        <v>67</v>
      </c>
    </row>
    <row r="20" spans="1:2">
      <c r="A20">
        <f>'FINAL RESULT'!B20</f>
        <v>40544</v>
      </c>
      <c r="B20">
        <f>'FINAL RESULT'!M20</f>
        <v>35</v>
      </c>
    </row>
    <row r="21" spans="1:2">
      <c r="A21">
        <f>'FINAL RESULT'!B21</f>
        <v>40544</v>
      </c>
      <c r="B21">
        <f>'FINAL RESULT'!M21</f>
        <v>37</v>
      </c>
    </row>
    <row r="22" spans="1:2">
      <c r="A22">
        <f>'FINAL RESULT'!B22</f>
        <v>40544</v>
      </c>
      <c r="B22">
        <f>'FINAL RESULT'!M22</f>
        <v>36</v>
      </c>
    </row>
    <row r="23" spans="1:2">
      <c r="A23">
        <f>'FINAL RESULT'!B23</f>
        <v>40544</v>
      </c>
      <c r="B23">
        <f>'FINAL RESULT'!M23</f>
        <v>34</v>
      </c>
    </row>
    <row r="24" spans="1:2">
      <c r="A24">
        <f>'FINAL RESULT'!B24</f>
        <v>40544</v>
      </c>
      <c r="B24">
        <f>'FINAL RESULT'!M24</f>
        <v>28</v>
      </c>
    </row>
    <row r="25" spans="1:2">
      <c r="A25">
        <f>'FINAL RESULT'!B25</f>
        <v>40544</v>
      </c>
      <c r="B25">
        <f>'FINAL RESULT'!M25</f>
        <v>39</v>
      </c>
    </row>
    <row r="26" spans="1:2">
      <c r="A26">
        <f>'FINAL RESULT'!B26</f>
        <v>40545</v>
      </c>
      <c r="B26">
        <f>'FINAL RESULT'!M26</f>
        <v>17</v>
      </c>
    </row>
    <row r="27" spans="1:2">
      <c r="A27">
        <f>'FINAL RESULT'!B27</f>
        <v>40545</v>
      </c>
      <c r="B27">
        <f>'FINAL RESULT'!M27</f>
        <v>17</v>
      </c>
    </row>
    <row r="28" spans="1:2">
      <c r="A28">
        <f>'FINAL RESULT'!B28</f>
        <v>40545</v>
      </c>
      <c r="B28">
        <f>'FINAL RESULT'!M28</f>
        <v>9</v>
      </c>
    </row>
    <row r="29" spans="1:2">
      <c r="A29">
        <f>'FINAL RESULT'!B29</f>
        <v>40545</v>
      </c>
      <c r="B29">
        <f>'FINAL RESULT'!M29</f>
        <v>6</v>
      </c>
    </row>
    <row r="30" spans="1:2">
      <c r="A30">
        <f>'FINAL RESULT'!B30</f>
        <v>40545</v>
      </c>
      <c r="B30">
        <f>'FINAL RESULT'!M30</f>
        <v>3</v>
      </c>
    </row>
    <row r="31" spans="1:2">
      <c r="A31">
        <f>'FINAL RESULT'!B31</f>
        <v>40545</v>
      </c>
      <c r="B31">
        <f>'FINAL RESULT'!M31</f>
        <v>2</v>
      </c>
    </row>
    <row r="32" spans="1:2">
      <c r="A32">
        <f>'FINAL RESULT'!B32</f>
        <v>40545</v>
      </c>
      <c r="B32">
        <f>'FINAL RESULT'!M32</f>
        <v>1</v>
      </c>
    </row>
    <row r="33" spans="1:2">
      <c r="A33">
        <f>'FINAL RESULT'!B33</f>
        <v>40545</v>
      </c>
      <c r="B33">
        <f>'FINAL RESULT'!M33</f>
        <v>8</v>
      </c>
    </row>
    <row r="34" spans="1:2">
      <c r="A34">
        <f>'FINAL RESULT'!B34</f>
        <v>40545</v>
      </c>
      <c r="B34">
        <f>'FINAL RESULT'!M34</f>
        <v>20</v>
      </c>
    </row>
    <row r="35" spans="1:2">
      <c r="A35">
        <f>'FINAL RESULT'!B35</f>
        <v>40545</v>
      </c>
      <c r="B35">
        <f>'FINAL RESULT'!M35</f>
        <v>53</v>
      </c>
    </row>
    <row r="36" spans="1:2">
      <c r="A36">
        <f>'FINAL RESULT'!B36</f>
        <v>40545</v>
      </c>
      <c r="B36">
        <f>'FINAL RESULT'!M36</f>
        <v>70</v>
      </c>
    </row>
    <row r="37" spans="1:2">
      <c r="A37">
        <f>'FINAL RESULT'!B37</f>
        <v>40545</v>
      </c>
      <c r="B37">
        <f>'FINAL RESULT'!M37</f>
        <v>93</v>
      </c>
    </row>
    <row r="38" spans="1:2">
      <c r="A38">
        <f>'FINAL RESULT'!B38</f>
        <v>40545</v>
      </c>
      <c r="B38">
        <f>'FINAL RESULT'!M38</f>
        <v>75</v>
      </c>
    </row>
    <row r="39" spans="1:2">
      <c r="A39">
        <f>'FINAL RESULT'!B39</f>
        <v>40545</v>
      </c>
      <c r="B39">
        <f>'FINAL RESULT'!M39</f>
        <v>59</v>
      </c>
    </row>
    <row r="40" spans="1:2">
      <c r="A40">
        <f>'FINAL RESULT'!B40</f>
        <v>40545</v>
      </c>
      <c r="B40">
        <f>'FINAL RESULT'!M40</f>
        <v>74</v>
      </c>
    </row>
    <row r="41" spans="1:2">
      <c r="A41">
        <f>'FINAL RESULT'!B41</f>
        <v>40545</v>
      </c>
      <c r="B41">
        <f>'FINAL RESULT'!M41</f>
        <v>76</v>
      </c>
    </row>
    <row r="42" spans="1:2">
      <c r="A42">
        <f>'FINAL RESULT'!B42</f>
        <v>40545</v>
      </c>
      <c r="B42">
        <f>'FINAL RESULT'!M42</f>
        <v>65</v>
      </c>
    </row>
    <row r="43" spans="1:2">
      <c r="A43">
        <f>'FINAL RESULT'!B43</f>
        <v>40545</v>
      </c>
      <c r="B43">
        <f>'FINAL RESULT'!M43</f>
        <v>53</v>
      </c>
    </row>
    <row r="44" spans="1:2">
      <c r="A44">
        <f>'FINAL RESULT'!B44</f>
        <v>40545</v>
      </c>
      <c r="B44">
        <f>'FINAL RESULT'!M44</f>
        <v>30</v>
      </c>
    </row>
    <row r="45" spans="1:2">
      <c r="A45">
        <f>'FINAL RESULT'!B45</f>
        <v>40545</v>
      </c>
      <c r="B45">
        <f>'FINAL RESULT'!M45</f>
        <v>22</v>
      </c>
    </row>
    <row r="46" spans="1:2">
      <c r="A46">
        <f>'FINAL RESULT'!B46</f>
        <v>40545</v>
      </c>
      <c r="B46">
        <f>'FINAL RESULT'!M46</f>
        <v>31</v>
      </c>
    </row>
    <row r="47" spans="1:2">
      <c r="A47">
        <f>'FINAL RESULT'!B47</f>
        <v>40545</v>
      </c>
      <c r="B47">
        <f>'FINAL RESULT'!M47</f>
        <v>9</v>
      </c>
    </row>
    <row r="48" spans="1:2">
      <c r="A48">
        <f>'FINAL RESULT'!B48</f>
        <v>40545</v>
      </c>
      <c r="B48">
        <f>'FINAL RESULT'!M48</f>
        <v>8</v>
      </c>
    </row>
    <row r="49" spans="1:2">
      <c r="A49">
        <f>'FINAL RESULT'!B49</f>
        <v>40546</v>
      </c>
      <c r="B49">
        <f>'FINAL RESULT'!M49</f>
        <v>5</v>
      </c>
    </row>
    <row r="50" spans="1:2">
      <c r="A50">
        <f>'FINAL RESULT'!B50</f>
        <v>40546</v>
      </c>
      <c r="B50">
        <f>'FINAL RESULT'!M50</f>
        <v>2</v>
      </c>
    </row>
    <row r="51" spans="1:2">
      <c r="A51">
        <f>'FINAL RESULT'!B51</f>
        <v>40546</v>
      </c>
      <c r="B51">
        <f>'FINAL RESULT'!M51</f>
        <v>1</v>
      </c>
    </row>
    <row r="52" spans="1:2">
      <c r="A52">
        <f>'FINAL RESULT'!B52</f>
        <v>40546</v>
      </c>
      <c r="B52">
        <f>'FINAL RESULT'!M52</f>
        <v>3</v>
      </c>
    </row>
    <row r="53" spans="1:2">
      <c r="A53">
        <f>'FINAL RESULT'!B53</f>
        <v>40546</v>
      </c>
      <c r="B53">
        <f>'FINAL RESULT'!M53</f>
        <v>30</v>
      </c>
    </row>
    <row r="54" spans="1:2">
      <c r="A54">
        <f>'FINAL RESULT'!B54</f>
        <v>40546</v>
      </c>
      <c r="B54">
        <f>'FINAL RESULT'!M54</f>
        <v>64</v>
      </c>
    </row>
    <row r="55" spans="1:2">
      <c r="A55">
        <f>'FINAL RESULT'!B55</f>
        <v>40546</v>
      </c>
      <c r="B55">
        <f>'FINAL RESULT'!M55</f>
        <v>154</v>
      </c>
    </row>
    <row r="56" spans="1:2">
      <c r="A56">
        <f>'FINAL RESULT'!B56</f>
        <v>40546</v>
      </c>
      <c r="B56">
        <f>'FINAL RESULT'!M56</f>
        <v>88</v>
      </c>
    </row>
    <row r="57" spans="1:2">
      <c r="A57">
        <f>'FINAL RESULT'!B57</f>
        <v>40546</v>
      </c>
      <c r="B57">
        <f>'FINAL RESULT'!M57</f>
        <v>44</v>
      </c>
    </row>
    <row r="58" spans="1:2">
      <c r="A58">
        <f>'FINAL RESULT'!B58</f>
        <v>40546</v>
      </c>
      <c r="B58">
        <f>'FINAL RESULT'!M58</f>
        <v>51</v>
      </c>
    </row>
    <row r="59" spans="1:2">
      <c r="A59">
        <f>'FINAL RESULT'!B59</f>
        <v>40546</v>
      </c>
      <c r="B59">
        <f>'FINAL RESULT'!M59</f>
        <v>61</v>
      </c>
    </row>
    <row r="60" spans="1:2">
      <c r="A60">
        <f>'FINAL RESULT'!B60</f>
        <v>40546</v>
      </c>
      <c r="B60">
        <f>'FINAL RESULT'!M60</f>
        <v>61</v>
      </c>
    </row>
    <row r="61" spans="1:2">
      <c r="A61">
        <f>'FINAL RESULT'!B61</f>
        <v>40546</v>
      </c>
      <c r="B61">
        <f>'FINAL RESULT'!M61</f>
        <v>77</v>
      </c>
    </row>
    <row r="62" spans="1:2">
      <c r="A62">
        <f>'FINAL RESULT'!B62</f>
        <v>40546</v>
      </c>
      <c r="B62">
        <f>'FINAL RESULT'!M62</f>
        <v>72</v>
      </c>
    </row>
    <row r="63" spans="1:2">
      <c r="A63">
        <f>'FINAL RESULT'!B63</f>
        <v>40546</v>
      </c>
      <c r="B63">
        <f>'FINAL RESULT'!M63</f>
        <v>76</v>
      </c>
    </row>
    <row r="64" spans="1:2">
      <c r="A64">
        <f>'FINAL RESULT'!B64</f>
        <v>40546</v>
      </c>
      <c r="B64">
        <f>'FINAL RESULT'!M64</f>
        <v>157</v>
      </c>
    </row>
    <row r="65" spans="1:2">
      <c r="A65">
        <f>'FINAL RESULT'!B65</f>
        <v>40546</v>
      </c>
      <c r="B65">
        <f>'FINAL RESULT'!M65</f>
        <v>157</v>
      </c>
    </row>
    <row r="66" spans="1:2">
      <c r="A66">
        <f>'FINAL RESULT'!B66</f>
        <v>40546</v>
      </c>
      <c r="B66">
        <f>'FINAL RESULT'!M66</f>
        <v>110</v>
      </c>
    </row>
    <row r="67" spans="1:2">
      <c r="A67">
        <f>'FINAL RESULT'!B67</f>
        <v>40546</v>
      </c>
      <c r="B67">
        <f>'FINAL RESULT'!M67</f>
        <v>52</v>
      </c>
    </row>
    <row r="68" spans="1:2">
      <c r="A68">
        <f>'FINAL RESULT'!B68</f>
        <v>40546</v>
      </c>
      <c r="B68">
        <f>'FINAL RESULT'!M68</f>
        <v>52</v>
      </c>
    </row>
    <row r="69" spans="1:2">
      <c r="A69">
        <f>'FINAL RESULT'!B69</f>
        <v>40546</v>
      </c>
      <c r="B69">
        <f>'FINAL RESULT'!M69</f>
        <v>20</v>
      </c>
    </row>
    <row r="70" spans="1:2">
      <c r="A70">
        <f>'FINAL RESULT'!B70</f>
        <v>40546</v>
      </c>
      <c r="B70">
        <f>'FINAL RESULT'!M70</f>
        <v>12</v>
      </c>
    </row>
    <row r="71" spans="1:2">
      <c r="A71">
        <f>'FINAL RESULT'!B71</f>
        <v>40547</v>
      </c>
      <c r="B71">
        <f>'FINAL RESULT'!M71</f>
        <v>5</v>
      </c>
    </row>
    <row r="72" spans="1:2">
      <c r="A72">
        <f>'FINAL RESULT'!B72</f>
        <v>40547</v>
      </c>
      <c r="B72">
        <f>'FINAL RESULT'!M72</f>
        <v>2</v>
      </c>
    </row>
    <row r="73" spans="1:2">
      <c r="A73">
        <f>'FINAL RESULT'!B73</f>
        <v>40547</v>
      </c>
      <c r="B73">
        <f>'FINAL RESULT'!M73</f>
        <v>1</v>
      </c>
    </row>
    <row r="74" spans="1:2">
      <c r="A74">
        <f>'FINAL RESULT'!B74</f>
        <v>40547</v>
      </c>
      <c r="B74">
        <f>'FINAL RESULT'!M74</f>
        <v>2</v>
      </c>
    </row>
    <row r="75" spans="1:2">
      <c r="A75">
        <f>'FINAL RESULT'!B75</f>
        <v>40547</v>
      </c>
      <c r="B75">
        <f>'FINAL RESULT'!M75</f>
        <v>4</v>
      </c>
    </row>
    <row r="76" spans="1:2">
      <c r="A76">
        <f>'FINAL RESULT'!B76</f>
        <v>40547</v>
      </c>
      <c r="B76">
        <f>'FINAL RESULT'!M76</f>
        <v>36</v>
      </c>
    </row>
    <row r="77" spans="1:2">
      <c r="A77">
        <f>'FINAL RESULT'!B77</f>
        <v>40547</v>
      </c>
      <c r="B77">
        <f>'FINAL RESULT'!M77</f>
        <v>94</v>
      </c>
    </row>
    <row r="78" spans="1:2">
      <c r="A78">
        <f>'FINAL RESULT'!B78</f>
        <v>40547</v>
      </c>
      <c r="B78">
        <f>'FINAL RESULT'!M78</f>
        <v>179</v>
      </c>
    </row>
    <row r="79" spans="1:2">
      <c r="A79">
        <f>'FINAL RESULT'!B79</f>
        <v>40547</v>
      </c>
      <c r="B79">
        <f>'FINAL RESULT'!M79</f>
        <v>100</v>
      </c>
    </row>
    <row r="80" spans="1:2">
      <c r="A80">
        <f>'FINAL RESULT'!B80</f>
        <v>40547</v>
      </c>
      <c r="B80">
        <f>'FINAL RESULT'!M80</f>
        <v>42</v>
      </c>
    </row>
    <row r="81" spans="1:2">
      <c r="A81">
        <f>'FINAL RESULT'!B81</f>
        <v>40547</v>
      </c>
      <c r="B81">
        <f>'FINAL RESULT'!M81</f>
        <v>57</v>
      </c>
    </row>
    <row r="82" spans="1:2">
      <c r="A82">
        <f>'FINAL RESULT'!B82</f>
        <v>40547</v>
      </c>
      <c r="B82">
        <f>'FINAL RESULT'!M82</f>
        <v>78</v>
      </c>
    </row>
    <row r="83" spans="1:2">
      <c r="A83">
        <f>'FINAL RESULT'!B83</f>
        <v>40547</v>
      </c>
      <c r="B83">
        <f>'FINAL RESULT'!M83</f>
        <v>97</v>
      </c>
    </row>
    <row r="84" spans="1:2">
      <c r="A84">
        <f>'FINAL RESULT'!B84</f>
        <v>40547</v>
      </c>
      <c r="B84">
        <f>'FINAL RESULT'!M84</f>
        <v>63</v>
      </c>
    </row>
    <row r="85" spans="1:2">
      <c r="A85">
        <f>'FINAL RESULT'!B85</f>
        <v>40547</v>
      </c>
      <c r="B85">
        <f>'FINAL RESULT'!M85</f>
        <v>65</v>
      </c>
    </row>
    <row r="86" spans="1:2">
      <c r="A86">
        <f>'FINAL RESULT'!B86</f>
        <v>40547</v>
      </c>
      <c r="B86">
        <f>'FINAL RESULT'!M86</f>
        <v>83</v>
      </c>
    </row>
    <row r="87" spans="1:2">
      <c r="A87">
        <f>'FINAL RESULT'!B87</f>
        <v>40547</v>
      </c>
      <c r="B87">
        <f>'FINAL RESULT'!M87</f>
        <v>212</v>
      </c>
    </row>
    <row r="88" spans="1:2">
      <c r="A88">
        <f>'FINAL RESULT'!B88</f>
        <v>40547</v>
      </c>
      <c r="B88">
        <f>'FINAL RESULT'!M88</f>
        <v>182</v>
      </c>
    </row>
    <row r="89" spans="1:2">
      <c r="A89">
        <f>'FINAL RESULT'!B89</f>
        <v>40547</v>
      </c>
      <c r="B89">
        <f>'FINAL RESULT'!M89</f>
        <v>112</v>
      </c>
    </row>
    <row r="90" spans="1:2">
      <c r="A90">
        <f>'FINAL RESULT'!B90</f>
        <v>40547</v>
      </c>
      <c r="B90">
        <f>'FINAL RESULT'!M90</f>
        <v>54</v>
      </c>
    </row>
    <row r="91" spans="1:2">
      <c r="A91">
        <f>'FINAL RESULT'!B91</f>
        <v>40547</v>
      </c>
      <c r="B91">
        <f>'FINAL RESULT'!M91</f>
        <v>48</v>
      </c>
    </row>
    <row r="92" spans="1:2">
      <c r="A92">
        <f>'FINAL RESULT'!B92</f>
        <v>40547</v>
      </c>
      <c r="B92">
        <f>'FINAL RESULT'!M92</f>
        <v>35</v>
      </c>
    </row>
    <row r="93" spans="1:2">
      <c r="A93">
        <f>'FINAL RESULT'!B93</f>
        <v>40547</v>
      </c>
      <c r="B93">
        <f>'FINAL RESULT'!M93</f>
        <v>11</v>
      </c>
    </row>
    <row r="94" spans="1:2">
      <c r="A94">
        <f>'FINAL RESULT'!B94</f>
        <v>40548</v>
      </c>
      <c r="B94">
        <f>'FINAL RESULT'!M94</f>
        <v>6</v>
      </c>
    </row>
    <row r="95" spans="1:2">
      <c r="A95">
        <f>'FINAL RESULT'!B95</f>
        <v>40548</v>
      </c>
      <c r="B95">
        <f>'FINAL RESULT'!M95</f>
        <v>6</v>
      </c>
    </row>
    <row r="96" spans="1:2">
      <c r="A96">
        <f>'FINAL RESULT'!B96</f>
        <v>40548</v>
      </c>
      <c r="B96">
        <f>'FINAL RESULT'!M96</f>
        <v>2</v>
      </c>
    </row>
    <row r="97" spans="1:2">
      <c r="A97">
        <f>'FINAL RESULT'!B97</f>
        <v>40548</v>
      </c>
      <c r="B97">
        <f>'FINAL RESULT'!M97</f>
        <v>2</v>
      </c>
    </row>
    <row r="98" spans="1:2">
      <c r="A98">
        <f>'FINAL RESULT'!B98</f>
        <v>40548</v>
      </c>
      <c r="B98">
        <f>'FINAL RESULT'!M98</f>
        <v>3</v>
      </c>
    </row>
    <row r="99" spans="1:2">
      <c r="A99">
        <f>'FINAL RESULT'!B99</f>
        <v>40548</v>
      </c>
      <c r="B99">
        <f>'FINAL RESULT'!M99</f>
        <v>33</v>
      </c>
    </row>
    <row r="100" spans="1:2">
      <c r="A100">
        <f>'FINAL RESULT'!B100</f>
        <v>40548</v>
      </c>
      <c r="B100">
        <f>'FINAL RESULT'!M100</f>
        <v>88</v>
      </c>
    </row>
    <row r="101" spans="1:2">
      <c r="A101">
        <f>'FINAL RESULT'!B101</f>
        <v>40548</v>
      </c>
      <c r="B101">
        <f>'FINAL RESULT'!M101</f>
        <v>195</v>
      </c>
    </row>
    <row r="102" spans="1:2">
      <c r="A102">
        <f>'FINAL RESULT'!B102</f>
        <v>40548</v>
      </c>
      <c r="B102">
        <f>'FINAL RESULT'!M102</f>
        <v>115</v>
      </c>
    </row>
    <row r="103" spans="1:2">
      <c r="A103">
        <f>'FINAL RESULT'!B103</f>
        <v>40548</v>
      </c>
      <c r="B103">
        <f>'FINAL RESULT'!M103</f>
        <v>57</v>
      </c>
    </row>
    <row r="104" spans="1:2">
      <c r="A104">
        <f>'FINAL RESULT'!B104</f>
        <v>40548</v>
      </c>
      <c r="B104">
        <f>'FINAL RESULT'!M104</f>
        <v>46</v>
      </c>
    </row>
    <row r="105" spans="1:2">
      <c r="A105">
        <f>'FINAL RESULT'!B105</f>
        <v>40548</v>
      </c>
      <c r="B105">
        <f>'FINAL RESULT'!M105</f>
        <v>79</v>
      </c>
    </row>
    <row r="106" spans="1:2">
      <c r="A106">
        <f>'FINAL RESULT'!B106</f>
        <v>40548</v>
      </c>
      <c r="B106">
        <f>'FINAL RESULT'!M106</f>
        <v>71</v>
      </c>
    </row>
    <row r="107" spans="1:2">
      <c r="A107">
        <f>'FINAL RESULT'!B107</f>
        <v>40548</v>
      </c>
      <c r="B107">
        <f>'FINAL RESULT'!M107</f>
        <v>62</v>
      </c>
    </row>
    <row r="108" spans="1:2">
      <c r="A108">
        <f>'FINAL RESULT'!B108</f>
        <v>40548</v>
      </c>
      <c r="B108">
        <f>'FINAL RESULT'!M108</f>
        <v>62</v>
      </c>
    </row>
    <row r="109" spans="1:2">
      <c r="A109">
        <f>'FINAL RESULT'!B109</f>
        <v>40548</v>
      </c>
      <c r="B109">
        <f>'FINAL RESULT'!M109</f>
        <v>89</v>
      </c>
    </row>
    <row r="110" spans="1:2">
      <c r="A110">
        <f>'FINAL RESULT'!B110</f>
        <v>40548</v>
      </c>
      <c r="B110">
        <f>'FINAL RESULT'!M110</f>
        <v>190</v>
      </c>
    </row>
    <row r="111" spans="1:2">
      <c r="A111">
        <f>'FINAL RESULT'!B111</f>
        <v>40548</v>
      </c>
      <c r="B111">
        <f>'FINAL RESULT'!M111</f>
        <v>169</v>
      </c>
    </row>
    <row r="112" spans="1:2">
      <c r="A112">
        <f>'FINAL RESULT'!B112</f>
        <v>40548</v>
      </c>
      <c r="B112">
        <f>'FINAL RESULT'!M112</f>
        <v>132</v>
      </c>
    </row>
    <row r="113" spans="1:2">
      <c r="A113">
        <f>'FINAL RESULT'!B113</f>
        <v>40548</v>
      </c>
      <c r="B113">
        <f>'FINAL RESULT'!M113</f>
        <v>89</v>
      </c>
    </row>
    <row r="114" spans="1:2">
      <c r="A114">
        <f>'FINAL RESULT'!B114</f>
        <v>40548</v>
      </c>
      <c r="B114">
        <f>'FINAL RESULT'!M114</f>
        <v>43</v>
      </c>
    </row>
    <row r="115" spans="1:2">
      <c r="A115">
        <f>'FINAL RESULT'!B115</f>
        <v>40548</v>
      </c>
      <c r="B115">
        <f>'FINAL RESULT'!M115</f>
        <v>42</v>
      </c>
    </row>
    <row r="116" spans="1:2">
      <c r="A116">
        <f>'FINAL RESULT'!B116</f>
        <v>40548</v>
      </c>
      <c r="B116">
        <f>'FINAL RESULT'!M116</f>
        <v>19</v>
      </c>
    </row>
    <row r="117" spans="1:2">
      <c r="A117">
        <f>'FINAL RESULT'!B117</f>
        <v>40549</v>
      </c>
      <c r="B117">
        <f>'FINAL RESULT'!M117</f>
        <v>11</v>
      </c>
    </row>
    <row r="118" spans="1:2">
      <c r="A118">
        <f>'FINAL RESULT'!B118</f>
        <v>40549</v>
      </c>
      <c r="B118">
        <f>'FINAL RESULT'!M118</f>
        <v>4</v>
      </c>
    </row>
    <row r="119" spans="1:2">
      <c r="A119">
        <f>'FINAL RESULT'!B119</f>
        <v>40549</v>
      </c>
      <c r="B119">
        <f>'FINAL RESULT'!M119</f>
        <v>2</v>
      </c>
    </row>
    <row r="120" spans="1:2">
      <c r="A120">
        <f>'FINAL RESULT'!B120</f>
        <v>40549</v>
      </c>
      <c r="B120">
        <f>'FINAL RESULT'!M120</f>
        <v>1</v>
      </c>
    </row>
    <row r="121" spans="1:2">
      <c r="A121">
        <f>'FINAL RESULT'!B121</f>
        <v>40549</v>
      </c>
      <c r="B121">
        <f>'FINAL RESULT'!M121</f>
        <v>4</v>
      </c>
    </row>
    <row r="122" spans="1:2">
      <c r="A122">
        <f>'FINAL RESULT'!B122</f>
        <v>40549</v>
      </c>
      <c r="B122">
        <f>'FINAL RESULT'!M122</f>
        <v>36</v>
      </c>
    </row>
    <row r="123" spans="1:2">
      <c r="A123">
        <f>'FINAL RESULT'!B123</f>
        <v>40549</v>
      </c>
      <c r="B123">
        <f>'FINAL RESULT'!M123</f>
        <v>95</v>
      </c>
    </row>
    <row r="124" spans="1:2">
      <c r="A124">
        <f>'FINAL RESULT'!B124</f>
        <v>40549</v>
      </c>
      <c r="B124">
        <f>'FINAL RESULT'!M124</f>
        <v>219</v>
      </c>
    </row>
    <row r="125" spans="1:2">
      <c r="A125">
        <f>'FINAL RESULT'!B125</f>
        <v>40549</v>
      </c>
      <c r="B125">
        <f>'FINAL RESULT'!M125</f>
        <v>122</v>
      </c>
    </row>
    <row r="126" spans="1:2">
      <c r="A126">
        <f>'FINAL RESULT'!B126</f>
        <v>40549</v>
      </c>
      <c r="B126">
        <f>'FINAL RESULT'!M126</f>
        <v>45</v>
      </c>
    </row>
    <row r="127" spans="1:2">
      <c r="A127">
        <f>'FINAL RESULT'!B127</f>
        <v>40549</v>
      </c>
      <c r="B127">
        <f>'FINAL RESULT'!M127</f>
        <v>59</v>
      </c>
    </row>
    <row r="128" spans="1:2">
      <c r="A128">
        <f>'FINAL RESULT'!B128</f>
        <v>40549</v>
      </c>
      <c r="B128">
        <f>'FINAL RESULT'!M128</f>
        <v>84</v>
      </c>
    </row>
    <row r="129" spans="1:2">
      <c r="A129">
        <f>'FINAL RESULT'!B129</f>
        <v>40549</v>
      </c>
      <c r="B129">
        <f>'FINAL RESULT'!M129</f>
        <v>67</v>
      </c>
    </row>
    <row r="130" spans="1:2">
      <c r="A130">
        <f>'FINAL RESULT'!B130</f>
        <v>40549</v>
      </c>
      <c r="B130">
        <f>'FINAL RESULT'!M130</f>
        <v>70</v>
      </c>
    </row>
    <row r="131" spans="1:2">
      <c r="A131">
        <f>'FINAL RESULT'!B131</f>
        <v>40549</v>
      </c>
      <c r="B131">
        <f>'FINAL RESULT'!M131</f>
        <v>62</v>
      </c>
    </row>
    <row r="132" spans="1:2">
      <c r="A132">
        <f>'FINAL RESULT'!B132</f>
        <v>40549</v>
      </c>
      <c r="B132">
        <f>'FINAL RESULT'!M132</f>
        <v>86</v>
      </c>
    </row>
    <row r="133" spans="1:2">
      <c r="A133">
        <f>'FINAL RESULT'!B133</f>
        <v>40549</v>
      </c>
      <c r="B133">
        <f>'FINAL RESULT'!M133</f>
        <v>172</v>
      </c>
    </row>
    <row r="134" spans="1:2">
      <c r="A134">
        <f>'FINAL RESULT'!B134</f>
        <v>40549</v>
      </c>
      <c r="B134">
        <f>'FINAL RESULT'!M134</f>
        <v>163</v>
      </c>
    </row>
    <row r="135" spans="1:2">
      <c r="A135">
        <f>'FINAL RESULT'!B135</f>
        <v>40549</v>
      </c>
      <c r="B135">
        <f>'FINAL RESULT'!M135</f>
        <v>112</v>
      </c>
    </row>
    <row r="136" spans="1:2">
      <c r="A136">
        <f>'FINAL RESULT'!B136</f>
        <v>40549</v>
      </c>
      <c r="B136">
        <f>'FINAL RESULT'!M136</f>
        <v>69</v>
      </c>
    </row>
    <row r="137" spans="1:2">
      <c r="A137">
        <f>'FINAL RESULT'!B137</f>
        <v>40549</v>
      </c>
      <c r="B137">
        <f>'FINAL RESULT'!M137</f>
        <v>48</v>
      </c>
    </row>
    <row r="138" spans="1:2">
      <c r="A138">
        <f>'FINAL RESULT'!B138</f>
        <v>40549</v>
      </c>
      <c r="B138">
        <f>'FINAL RESULT'!M138</f>
        <v>52</v>
      </c>
    </row>
    <row r="139" spans="1:2">
      <c r="A139">
        <f>'FINAL RESULT'!B139</f>
        <v>40549</v>
      </c>
      <c r="B139">
        <f>'FINAL RESULT'!M139</f>
        <v>23</v>
      </c>
    </row>
    <row r="140" spans="1:2">
      <c r="A140">
        <f>'FINAL RESULT'!B140</f>
        <v>40550</v>
      </c>
      <c r="B140">
        <f>'FINAL RESULT'!M140</f>
        <v>17</v>
      </c>
    </row>
    <row r="141" spans="1:2">
      <c r="A141">
        <f>'FINAL RESULT'!B141</f>
        <v>40550</v>
      </c>
      <c r="B141">
        <f>'FINAL RESULT'!M141</f>
        <v>7</v>
      </c>
    </row>
    <row r="142" spans="1:2">
      <c r="A142">
        <f>'FINAL RESULT'!B142</f>
        <v>40550</v>
      </c>
      <c r="B142">
        <f>'FINAL RESULT'!M142</f>
        <v>1</v>
      </c>
    </row>
    <row r="143" spans="1:2">
      <c r="A143">
        <f>'FINAL RESULT'!B143</f>
        <v>40550</v>
      </c>
      <c r="B143">
        <f>'FINAL RESULT'!M143</f>
        <v>1</v>
      </c>
    </row>
    <row r="144" spans="1:2">
      <c r="A144">
        <f>'FINAL RESULT'!B144</f>
        <v>40550</v>
      </c>
      <c r="B144">
        <f>'FINAL RESULT'!M144</f>
        <v>5</v>
      </c>
    </row>
    <row r="145" spans="1:2">
      <c r="A145">
        <f>'FINAL RESULT'!B145</f>
        <v>40550</v>
      </c>
      <c r="B145">
        <f>'FINAL RESULT'!M145</f>
        <v>34</v>
      </c>
    </row>
    <row r="146" spans="1:2">
      <c r="A146">
        <f>'FINAL RESULT'!B146</f>
        <v>40550</v>
      </c>
      <c r="B146">
        <f>'FINAL RESULT'!M146</f>
        <v>84</v>
      </c>
    </row>
    <row r="147" spans="1:2">
      <c r="A147">
        <f>'FINAL RESULT'!B147</f>
        <v>40550</v>
      </c>
      <c r="B147">
        <f>'FINAL RESULT'!M147</f>
        <v>210</v>
      </c>
    </row>
    <row r="148" spans="1:2">
      <c r="A148">
        <f>'FINAL RESULT'!B148</f>
        <v>40550</v>
      </c>
      <c r="B148">
        <f>'FINAL RESULT'!M148</f>
        <v>134</v>
      </c>
    </row>
    <row r="149" spans="1:2">
      <c r="A149">
        <f>'FINAL RESULT'!B149</f>
        <v>40550</v>
      </c>
      <c r="B149">
        <f>'FINAL RESULT'!M149</f>
        <v>63</v>
      </c>
    </row>
    <row r="150" spans="1:2">
      <c r="A150">
        <f>'FINAL RESULT'!B150</f>
        <v>40550</v>
      </c>
      <c r="B150">
        <f>'FINAL RESULT'!M150</f>
        <v>67</v>
      </c>
    </row>
    <row r="151" spans="1:2">
      <c r="A151">
        <f>'FINAL RESULT'!B151</f>
        <v>40550</v>
      </c>
      <c r="B151">
        <f>'FINAL RESULT'!M151</f>
        <v>59</v>
      </c>
    </row>
    <row r="152" spans="1:2">
      <c r="A152">
        <f>'FINAL RESULT'!B152</f>
        <v>40550</v>
      </c>
      <c r="B152">
        <f>'FINAL RESULT'!M152</f>
        <v>73</v>
      </c>
    </row>
    <row r="153" spans="1:2">
      <c r="A153">
        <f>'FINAL RESULT'!B153</f>
        <v>40550</v>
      </c>
      <c r="B153">
        <f>'FINAL RESULT'!M153</f>
        <v>50</v>
      </c>
    </row>
    <row r="154" spans="1:2">
      <c r="A154">
        <f>'FINAL RESULT'!B154</f>
        <v>40550</v>
      </c>
      <c r="B154">
        <f>'FINAL RESULT'!M154</f>
        <v>72</v>
      </c>
    </row>
    <row r="155" spans="1:2">
      <c r="A155">
        <f>'FINAL RESULT'!B155</f>
        <v>40550</v>
      </c>
      <c r="B155">
        <f>'FINAL RESULT'!M155</f>
        <v>87</v>
      </c>
    </row>
    <row r="156" spans="1:2">
      <c r="A156">
        <f>'FINAL RESULT'!B156</f>
        <v>40550</v>
      </c>
      <c r="B156">
        <f>'FINAL RESULT'!M156</f>
        <v>187</v>
      </c>
    </row>
    <row r="157" spans="1:2">
      <c r="A157">
        <f>'FINAL RESULT'!B157</f>
        <v>40550</v>
      </c>
      <c r="B157">
        <f>'FINAL RESULT'!M157</f>
        <v>123</v>
      </c>
    </row>
    <row r="158" spans="1:2">
      <c r="A158">
        <f>'FINAL RESULT'!B158</f>
        <v>40550</v>
      </c>
      <c r="B158">
        <f>'FINAL RESULT'!M158</f>
        <v>95</v>
      </c>
    </row>
    <row r="159" spans="1:2">
      <c r="A159">
        <f>'FINAL RESULT'!B159</f>
        <v>40550</v>
      </c>
      <c r="B159">
        <f>'FINAL RESULT'!M159</f>
        <v>51</v>
      </c>
    </row>
    <row r="160" spans="1:2">
      <c r="A160">
        <f>'FINAL RESULT'!B160</f>
        <v>40550</v>
      </c>
      <c r="B160">
        <f>'FINAL RESULT'!M160</f>
        <v>39</v>
      </c>
    </row>
    <row r="161" spans="1:2">
      <c r="A161">
        <f>'FINAL RESULT'!B161</f>
        <v>40550</v>
      </c>
      <c r="B161">
        <f>'FINAL RESULT'!M161</f>
        <v>36</v>
      </c>
    </row>
    <row r="162" spans="1:2">
      <c r="A162">
        <f>'FINAL RESULT'!B162</f>
        <v>40550</v>
      </c>
      <c r="B162">
        <f>'FINAL RESULT'!M162</f>
        <v>15</v>
      </c>
    </row>
    <row r="163" spans="1:2">
      <c r="A163">
        <f>'FINAL RESULT'!B163</f>
        <v>40551</v>
      </c>
      <c r="B163">
        <f>'FINAL RESULT'!M163</f>
        <v>25</v>
      </c>
    </row>
    <row r="164" spans="1:2">
      <c r="A164">
        <f>'FINAL RESULT'!B164</f>
        <v>40551</v>
      </c>
      <c r="B164">
        <f>'FINAL RESULT'!M164</f>
        <v>16</v>
      </c>
    </row>
    <row r="165" spans="1:2">
      <c r="A165">
        <f>'FINAL RESULT'!B165</f>
        <v>40551</v>
      </c>
      <c r="B165">
        <f>'FINAL RESULT'!M165</f>
        <v>16</v>
      </c>
    </row>
    <row r="166" spans="1:2">
      <c r="A166">
        <f>'FINAL RESULT'!B166</f>
        <v>40551</v>
      </c>
      <c r="B166">
        <f>'FINAL RESULT'!M166</f>
        <v>7</v>
      </c>
    </row>
    <row r="167" spans="1:2">
      <c r="A167">
        <f>'FINAL RESULT'!B167</f>
        <v>40551</v>
      </c>
      <c r="B167">
        <f>'FINAL RESULT'!M167</f>
        <v>1</v>
      </c>
    </row>
    <row r="168" spans="1:2">
      <c r="A168">
        <f>'FINAL RESULT'!B168</f>
        <v>40551</v>
      </c>
      <c r="B168">
        <f>'FINAL RESULT'!M168</f>
        <v>5</v>
      </c>
    </row>
    <row r="169" spans="1:2">
      <c r="A169">
        <f>'FINAL RESULT'!B169</f>
        <v>40551</v>
      </c>
      <c r="B169">
        <f>'FINAL RESULT'!M169</f>
        <v>2</v>
      </c>
    </row>
    <row r="170" spans="1:2">
      <c r="A170">
        <f>'FINAL RESULT'!B170</f>
        <v>40551</v>
      </c>
      <c r="B170">
        <f>'FINAL RESULT'!M170</f>
        <v>9</v>
      </c>
    </row>
    <row r="171" spans="1:2">
      <c r="A171">
        <f>'FINAL RESULT'!B171</f>
        <v>40551</v>
      </c>
      <c r="B171">
        <f>'FINAL RESULT'!M171</f>
        <v>15</v>
      </c>
    </row>
    <row r="172" spans="1:2">
      <c r="A172">
        <f>'FINAL RESULT'!B172</f>
        <v>40551</v>
      </c>
      <c r="B172">
        <f>'FINAL RESULT'!M172</f>
        <v>20</v>
      </c>
    </row>
    <row r="173" spans="1:2">
      <c r="A173">
        <f>'FINAL RESULT'!B173</f>
        <v>40551</v>
      </c>
      <c r="B173">
        <f>'FINAL RESULT'!M173</f>
        <v>61</v>
      </c>
    </row>
    <row r="174" spans="1:2">
      <c r="A174">
        <f>'FINAL RESULT'!B174</f>
        <v>40551</v>
      </c>
      <c r="B174">
        <f>'FINAL RESULT'!M174</f>
        <v>62</v>
      </c>
    </row>
    <row r="175" spans="1:2">
      <c r="A175">
        <f>'FINAL RESULT'!B175</f>
        <v>40551</v>
      </c>
      <c r="B175">
        <f>'FINAL RESULT'!M175</f>
        <v>98</v>
      </c>
    </row>
    <row r="176" spans="1:2">
      <c r="A176">
        <f>'FINAL RESULT'!B176</f>
        <v>40551</v>
      </c>
      <c r="B176">
        <f>'FINAL RESULT'!M176</f>
        <v>102</v>
      </c>
    </row>
    <row r="177" spans="1:2">
      <c r="A177">
        <f>'FINAL RESULT'!B177</f>
        <v>40551</v>
      </c>
      <c r="B177">
        <f>'FINAL RESULT'!M177</f>
        <v>95</v>
      </c>
    </row>
    <row r="178" spans="1:2">
      <c r="A178">
        <f>'FINAL RESULT'!B178</f>
        <v>40551</v>
      </c>
      <c r="B178">
        <f>'FINAL RESULT'!M178</f>
        <v>74</v>
      </c>
    </row>
    <row r="179" spans="1:2">
      <c r="A179">
        <f>'FINAL RESULT'!B179</f>
        <v>40551</v>
      </c>
      <c r="B179">
        <f>'FINAL RESULT'!M179</f>
        <v>76</v>
      </c>
    </row>
    <row r="180" spans="1:2">
      <c r="A180">
        <f>'FINAL RESULT'!B180</f>
        <v>40551</v>
      </c>
      <c r="B180">
        <f>'FINAL RESULT'!M180</f>
        <v>69</v>
      </c>
    </row>
    <row r="181" spans="1:2">
      <c r="A181">
        <f>'FINAL RESULT'!B181</f>
        <v>40551</v>
      </c>
      <c r="B181">
        <f>'FINAL RESULT'!M181</f>
        <v>55</v>
      </c>
    </row>
    <row r="182" spans="1:2">
      <c r="A182">
        <f>'FINAL RESULT'!B182</f>
        <v>40551</v>
      </c>
      <c r="B182">
        <f>'FINAL RESULT'!M182</f>
        <v>30</v>
      </c>
    </row>
    <row r="183" spans="1:2">
      <c r="A183">
        <f>'FINAL RESULT'!B183</f>
        <v>40551</v>
      </c>
      <c r="B183">
        <f>'FINAL RESULT'!M183</f>
        <v>28</v>
      </c>
    </row>
    <row r="184" spans="1:2">
      <c r="A184">
        <f>'FINAL RESULT'!B184</f>
        <v>40551</v>
      </c>
      <c r="B184">
        <f>'FINAL RESULT'!M184</f>
        <v>37</v>
      </c>
    </row>
    <row r="185" spans="1:2">
      <c r="A185">
        <f>'FINAL RESULT'!B185</f>
        <v>40551</v>
      </c>
      <c r="B185">
        <f>'FINAL RESULT'!M185</f>
        <v>34</v>
      </c>
    </row>
    <row r="186" spans="1:2">
      <c r="A186">
        <f>'FINAL RESULT'!B186</f>
        <v>40551</v>
      </c>
      <c r="B186">
        <f>'FINAL RESULT'!M186</f>
        <v>22</v>
      </c>
    </row>
    <row r="187" spans="1:2">
      <c r="A187">
        <f>'FINAL RESULT'!B187</f>
        <v>40552</v>
      </c>
      <c r="B187">
        <f>'FINAL RESULT'!M187</f>
        <v>25</v>
      </c>
    </row>
    <row r="188" spans="1:2">
      <c r="A188">
        <f>'FINAL RESULT'!B188</f>
        <v>40552</v>
      </c>
      <c r="B188">
        <f>'FINAL RESULT'!M188</f>
        <v>12</v>
      </c>
    </row>
    <row r="189" spans="1:2">
      <c r="A189">
        <f>'FINAL RESULT'!B189</f>
        <v>40552</v>
      </c>
      <c r="B189">
        <f>'FINAL RESULT'!M189</f>
        <v>11</v>
      </c>
    </row>
    <row r="190" spans="1:2">
      <c r="A190">
        <f>'FINAL RESULT'!B190</f>
        <v>40552</v>
      </c>
      <c r="B190">
        <f>'FINAL RESULT'!M190</f>
        <v>4</v>
      </c>
    </row>
    <row r="191" spans="1:2">
      <c r="A191">
        <f>'FINAL RESULT'!B191</f>
        <v>40552</v>
      </c>
      <c r="B191">
        <f>'FINAL RESULT'!M191</f>
        <v>1</v>
      </c>
    </row>
    <row r="192" spans="1:2">
      <c r="A192">
        <f>'FINAL RESULT'!B192</f>
        <v>40552</v>
      </c>
      <c r="B192">
        <f>'FINAL RESULT'!M192</f>
        <v>1</v>
      </c>
    </row>
    <row r="193" spans="1:2">
      <c r="A193">
        <f>'FINAL RESULT'!B193</f>
        <v>40552</v>
      </c>
      <c r="B193">
        <f>'FINAL RESULT'!M193</f>
        <v>1</v>
      </c>
    </row>
    <row r="194" spans="1:2">
      <c r="A194">
        <f>'FINAL RESULT'!B194</f>
        <v>40552</v>
      </c>
      <c r="B194">
        <f>'FINAL RESULT'!M194</f>
        <v>6</v>
      </c>
    </row>
    <row r="195" spans="1:2">
      <c r="A195">
        <f>'FINAL RESULT'!B195</f>
        <v>40552</v>
      </c>
      <c r="B195">
        <f>'FINAL RESULT'!M195</f>
        <v>10</v>
      </c>
    </row>
    <row r="196" spans="1:2">
      <c r="A196">
        <f>'FINAL RESULT'!B196</f>
        <v>40552</v>
      </c>
      <c r="B196">
        <f>'FINAL RESULT'!M196</f>
        <v>19</v>
      </c>
    </row>
    <row r="197" spans="1:2">
      <c r="A197">
        <f>'FINAL RESULT'!B197</f>
        <v>40552</v>
      </c>
      <c r="B197">
        <f>'FINAL RESULT'!M197</f>
        <v>49</v>
      </c>
    </row>
    <row r="198" spans="1:2">
      <c r="A198">
        <f>'FINAL RESULT'!B198</f>
        <v>40552</v>
      </c>
      <c r="B198">
        <f>'FINAL RESULT'!M198</f>
        <v>49</v>
      </c>
    </row>
    <row r="199" spans="1:2">
      <c r="A199">
        <f>'FINAL RESULT'!B199</f>
        <v>40552</v>
      </c>
      <c r="B199">
        <f>'FINAL RESULT'!M199</f>
        <v>83</v>
      </c>
    </row>
    <row r="200" spans="1:2">
      <c r="A200">
        <f>'FINAL RESULT'!B200</f>
        <v>40552</v>
      </c>
      <c r="B200">
        <f>'FINAL RESULT'!M200</f>
        <v>75</v>
      </c>
    </row>
    <row r="201" spans="1:2">
      <c r="A201">
        <f>'FINAL RESULT'!B201</f>
        <v>40552</v>
      </c>
      <c r="B201">
        <f>'FINAL RESULT'!M201</f>
        <v>72</v>
      </c>
    </row>
    <row r="202" spans="1:2">
      <c r="A202">
        <f>'FINAL RESULT'!B202</f>
        <v>40552</v>
      </c>
      <c r="B202">
        <f>'FINAL RESULT'!M202</f>
        <v>82</v>
      </c>
    </row>
    <row r="203" spans="1:2">
      <c r="A203">
        <f>'FINAL RESULT'!B203</f>
        <v>40552</v>
      </c>
      <c r="B203">
        <f>'FINAL RESULT'!M203</f>
        <v>92</v>
      </c>
    </row>
    <row r="204" spans="1:2">
      <c r="A204">
        <f>'FINAL RESULT'!B204</f>
        <v>40552</v>
      </c>
      <c r="B204">
        <f>'FINAL RESULT'!M204</f>
        <v>62</v>
      </c>
    </row>
    <row r="205" spans="1:2">
      <c r="A205">
        <f>'FINAL RESULT'!B205</f>
        <v>40552</v>
      </c>
      <c r="B205">
        <f>'FINAL RESULT'!M205</f>
        <v>48</v>
      </c>
    </row>
    <row r="206" spans="1:2">
      <c r="A206">
        <f>'FINAL RESULT'!B206</f>
        <v>40552</v>
      </c>
      <c r="B206">
        <f>'FINAL RESULT'!M206</f>
        <v>41</v>
      </c>
    </row>
    <row r="207" spans="1:2">
      <c r="A207">
        <f>'FINAL RESULT'!B207</f>
        <v>40552</v>
      </c>
      <c r="B207">
        <f>'FINAL RESULT'!M207</f>
        <v>38</v>
      </c>
    </row>
    <row r="208" spans="1:2">
      <c r="A208">
        <f>'FINAL RESULT'!B208</f>
        <v>40552</v>
      </c>
      <c r="B208">
        <f>'FINAL RESULT'!M208</f>
        <v>20</v>
      </c>
    </row>
    <row r="209" spans="1:2">
      <c r="A209">
        <f>'FINAL RESULT'!B209</f>
        <v>40552</v>
      </c>
      <c r="B209">
        <f>'FINAL RESULT'!M209</f>
        <v>15</v>
      </c>
    </row>
    <row r="210" spans="1:2">
      <c r="A210">
        <f>'FINAL RESULT'!B210</f>
        <v>40552</v>
      </c>
      <c r="B210">
        <f>'FINAL RESULT'!M210</f>
        <v>6</v>
      </c>
    </row>
    <row r="211" spans="1:2">
      <c r="A211">
        <f>'FINAL RESULT'!B211</f>
        <v>40553</v>
      </c>
      <c r="B211">
        <f>'FINAL RESULT'!M211</f>
        <v>5</v>
      </c>
    </row>
    <row r="212" spans="1:2">
      <c r="A212">
        <f>'FINAL RESULT'!B212</f>
        <v>40553</v>
      </c>
      <c r="B212">
        <f>'FINAL RESULT'!M212</f>
        <v>1</v>
      </c>
    </row>
    <row r="213" spans="1:2">
      <c r="A213">
        <f>'FINAL RESULT'!B213</f>
        <v>40553</v>
      </c>
      <c r="B213">
        <f>'FINAL RESULT'!M213</f>
        <v>3</v>
      </c>
    </row>
    <row r="214" spans="1:2">
      <c r="A214">
        <f>'FINAL RESULT'!B214</f>
        <v>40553</v>
      </c>
      <c r="B214">
        <f>'FINAL RESULT'!M214</f>
        <v>1</v>
      </c>
    </row>
    <row r="215" spans="1:2">
      <c r="A215">
        <f>'FINAL RESULT'!B215</f>
        <v>40553</v>
      </c>
      <c r="B215">
        <f>'FINAL RESULT'!M215</f>
        <v>3</v>
      </c>
    </row>
    <row r="216" spans="1:2">
      <c r="A216">
        <f>'FINAL RESULT'!B216</f>
        <v>40553</v>
      </c>
      <c r="B216">
        <f>'FINAL RESULT'!M216</f>
        <v>3</v>
      </c>
    </row>
    <row r="217" spans="1:2">
      <c r="A217">
        <f>'FINAL RESULT'!B217</f>
        <v>40553</v>
      </c>
      <c r="B217">
        <f>'FINAL RESULT'!M217</f>
        <v>31</v>
      </c>
    </row>
    <row r="218" spans="1:2">
      <c r="A218">
        <f>'FINAL RESULT'!B218</f>
        <v>40553</v>
      </c>
      <c r="B218">
        <f>'FINAL RESULT'!M218</f>
        <v>77</v>
      </c>
    </row>
    <row r="219" spans="1:2">
      <c r="A219">
        <f>'FINAL RESULT'!B219</f>
        <v>40553</v>
      </c>
      <c r="B219">
        <f>'FINAL RESULT'!M219</f>
        <v>188</v>
      </c>
    </row>
    <row r="220" spans="1:2">
      <c r="A220">
        <f>'FINAL RESULT'!B220</f>
        <v>40553</v>
      </c>
      <c r="B220">
        <f>'FINAL RESULT'!M220</f>
        <v>94</v>
      </c>
    </row>
    <row r="221" spans="1:2">
      <c r="A221">
        <f>'FINAL RESULT'!B221</f>
        <v>40553</v>
      </c>
      <c r="B221">
        <f>'FINAL RESULT'!M221</f>
        <v>31</v>
      </c>
    </row>
    <row r="222" spans="1:2">
      <c r="A222">
        <f>'FINAL RESULT'!B222</f>
        <v>40553</v>
      </c>
      <c r="B222">
        <f>'FINAL RESULT'!M222</f>
        <v>30</v>
      </c>
    </row>
    <row r="223" spans="1:2">
      <c r="A223">
        <f>'FINAL RESULT'!B223</f>
        <v>40553</v>
      </c>
      <c r="B223">
        <f>'FINAL RESULT'!M223</f>
        <v>52</v>
      </c>
    </row>
    <row r="224" spans="1:2">
      <c r="A224">
        <f>'FINAL RESULT'!B224</f>
        <v>40553</v>
      </c>
      <c r="B224">
        <f>'FINAL RESULT'!M224</f>
        <v>54</v>
      </c>
    </row>
    <row r="225" spans="1:2">
      <c r="A225">
        <f>'FINAL RESULT'!B225</f>
        <v>40553</v>
      </c>
      <c r="B225">
        <f>'FINAL RESULT'!M225</f>
        <v>47</v>
      </c>
    </row>
    <row r="226" spans="1:2">
      <c r="A226">
        <f>'FINAL RESULT'!B226</f>
        <v>40553</v>
      </c>
      <c r="B226">
        <f>'FINAL RESULT'!M226</f>
        <v>45</v>
      </c>
    </row>
    <row r="227" spans="1:2">
      <c r="A227">
        <f>'FINAL RESULT'!B227</f>
        <v>40553</v>
      </c>
      <c r="B227">
        <f>'FINAL RESULT'!M227</f>
        <v>74</v>
      </c>
    </row>
    <row r="228" spans="1:2">
      <c r="A228">
        <f>'FINAL RESULT'!B228</f>
        <v>40553</v>
      </c>
      <c r="B228">
        <f>'FINAL RESULT'!M228</f>
        <v>178</v>
      </c>
    </row>
    <row r="229" spans="1:2">
      <c r="A229">
        <f>'FINAL RESULT'!B229</f>
        <v>40553</v>
      </c>
      <c r="B229">
        <f>'FINAL RESULT'!M229</f>
        <v>155</v>
      </c>
    </row>
    <row r="230" spans="1:2">
      <c r="A230">
        <f>'FINAL RESULT'!B230</f>
        <v>40553</v>
      </c>
      <c r="B230">
        <f>'FINAL RESULT'!M230</f>
        <v>95</v>
      </c>
    </row>
    <row r="231" spans="1:2">
      <c r="A231">
        <f>'FINAL RESULT'!B231</f>
        <v>40553</v>
      </c>
      <c r="B231">
        <f>'FINAL RESULT'!M231</f>
        <v>74</v>
      </c>
    </row>
    <row r="232" spans="1:2">
      <c r="A232">
        <f>'FINAL RESULT'!B232</f>
        <v>40553</v>
      </c>
      <c r="B232">
        <f>'FINAL RESULT'!M232</f>
        <v>38</v>
      </c>
    </row>
    <row r="233" spans="1:2">
      <c r="A233">
        <f>'FINAL RESULT'!B233</f>
        <v>40553</v>
      </c>
      <c r="B233">
        <f>'FINAL RESULT'!M233</f>
        <v>24</v>
      </c>
    </row>
    <row r="234" spans="1:2">
      <c r="A234">
        <f>'FINAL RESULT'!B234</f>
        <v>40553</v>
      </c>
      <c r="B234">
        <f>'FINAL RESULT'!M234</f>
        <v>18</v>
      </c>
    </row>
    <row r="235" spans="1:2">
      <c r="A235">
        <f>'FINAL RESULT'!B235</f>
        <v>40554</v>
      </c>
      <c r="B235">
        <f>'FINAL RESULT'!M235</f>
        <v>12</v>
      </c>
    </row>
    <row r="236" spans="1:2">
      <c r="A236">
        <f>'FINAL RESULT'!B236</f>
        <v>40554</v>
      </c>
      <c r="B236">
        <f>'FINAL RESULT'!M236</f>
        <v>3</v>
      </c>
    </row>
    <row r="237" spans="1:2">
      <c r="A237">
        <f>'FINAL RESULT'!B237</f>
        <v>40554</v>
      </c>
      <c r="B237">
        <f>'FINAL RESULT'!M237</f>
        <v>3</v>
      </c>
    </row>
    <row r="238" spans="1:2">
      <c r="A238">
        <f>'FINAL RESULT'!B238</f>
        <v>40554</v>
      </c>
      <c r="B238">
        <f>'FINAL RESULT'!M238</f>
        <v>6</v>
      </c>
    </row>
    <row r="239" spans="1:2">
      <c r="A239">
        <f>'FINAL RESULT'!B239</f>
        <v>40554</v>
      </c>
      <c r="B239">
        <f>'FINAL RESULT'!M239</f>
        <v>27</v>
      </c>
    </row>
    <row r="240" spans="1:2">
      <c r="A240">
        <f>'FINAL RESULT'!B240</f>
        <v>40554</v>
      </c>
      <c r="B240">
        <f>'FINAL RESULT'!M240</f>
        <v>99</v>
      </c>
    </row>
    <row r="241" spans="1:2">
      <c r="A241">
        <f>'FINAL RESULT'!B241</f>
        <v>40554</v>
      </c>
      <c r="B241">
        <f>'FINAL RESULT'!M241</f>
        <v>217</v>
      </c>
    </row>
    <row r="242" spans="1:2">
      <c r="A242">
        <f>'FINAL RESULT'!B242</f>
        <v>40554</v>
      </c>
      <c r="B242">
        <f>'FINAL RESULT'!M242</f>
        <v>130</v>
      </c>
    </row>
    <row r="243" spans="1:2">
      <c r="A243">
        <f>'FINAL RESULT'!B243</f>
        <v>40554</v>
      </c>
      <c r="B243">
        <f>'FINAL RESULT'!M243</f>
        <v>54</v>
      </c>
    </row>
    <row r="244" spans="1:2">
      <c r="A244">
        <f>'FINAL RESULT'!B244</f>
        <v>40554</v>
      </c>
      <c r="B244">
        <f>'FINAL RESULT'!M244</f>
        <v>35</v>
      </c>
    </row>
    <row r="245" spans="1:2">
      <c r="A245">
        <f>'FINAL RESULT'!B245</f>
        <v>40554</v>
      </c>
      <c r="B245">
        <f>'FINAL RESULT'!M245</f>
        <v>57</v>
      </c>
    </row>
    <row r="246" spans="1:2">
      <c r="A246">
        <f>'FINAL RESULT'!B246</f>
        <v>40554</v>
      </c>
      <c r="B246">
        <f>'FINAL RESULT'!M246</f>
        <v>52</v>
      </c>
    </row>
    <row r="247" spans="1:2">
      <c r="A247">
        <f>'FINAL RESULT'!B247</f>
        <v>40554</v>
      </c>
      <c r="B247">
        <f>'FINAL RESULT'!M247</f>
        <v>63</v>
      </c>
    </row>
    <row r="248" spans="1:2">
      <c r="A248">
        <f>'FINAL RESULT'!B248</f>
        <v>40554</v>
      </c>
      <c r="B248">
        <f>'FINAL RESULT'!M248</f>
        <v>47</v>
      </c>
    </row>
    <row r="249" spans="1:2">
      <c r="A249">
        <f>'FINAL RESULT'!B249</f>
        <v>40554</v>
      </c>
      <c r="B249">
        <f>'FINAL RESULT'!M249</f>
        <v>76</v>
      </c>
    </row>
    <row r="250" spans="1:2">
      <c r="A250">
        <f>'FINAL RESULT'!B250</f>
        <v>40554</v>
      </c>
      <c r="B250">
        <f>'FINAL RESULT'!M250</f>
        <v>136</v>
      </c>
    </row>
    <row r="251" spans="1:2">
      <c r="A251">
        <f>'FINAL RESULT'!B251</f>
        <v>40554</v>
      </c>
      <c r="B251">
        <f>'FINAL RESULT'!M251</f>
        <v>95</v>
      </c>
    </row>
    <row r="252" spans="1:2">
      <c r="A252">
        <f>'FINAL RESULT'!B252</f>
        <v>40554</v>
      </c>
      <c r="B252">
        <f>'FINAL RESULT'!M252</f>
        <v>51</v>
      </c>
    </row>
    <row r="253" spans="1:2">
      <c r="A253">
        <f>'FINAL RESULT'!B253</f>
        <v>40554</v>
      </c>
      <c r="B253">
        <f>'FINAL RESULT'!M253</f>
        <v>32</v>
      </c>
    </row>
    <row r="254" spans="1:2">
      <c r="A254">
        <f>'FINAL RESULT'!B254</f>
        <v>40554</v>
      </c>
      <c r="B254">
        <f>'FINAL RESULT'!M254</f>
        <v>20</v>
      </c>
    </row>
    <row r="255" spans="1:2">
      <c r="A255">
        <f>'FINAL RESULT'!B255</f>
        <v>40554</v>
      </c>
      <c r="B255">
        <f>'FINAL RESULT'!M255</f>
        <v>29</v>
      </c>
    </row>
    <row r="256" spans="1:2">
      <c r="A256">
        <f>'FINAL RESULT'!B256</f>
        <v>40554</v>
      </c>
      <c r="B256">
        <f>'FINAL RESULT'!M256</f>
        <v>19</v>
      </c>
    </row>
    <row r="257" spans="1:2">
      <c r="A257">
        <f>'FINAL RESULT'!B257</f>
        <v>40555</v>
      </c>
      <c r="B257">
        <f>'FINAL RESULT'!M257</f>
        <v>7</v>
      </c>
    </row>
    <row r="258" spans="1:2">
      <c r="A258">
        <f>'FINAL RESULT'!B258</f>
        <v>40555</v>
      </c>
      <c r="B258">
        <f>'FINAL RESULT'!M258</f>
        <v>6</v>
      </c>
    </row>
    <row r="259" spans="1:2">
      <c r="A259">
        <f>'FINAL RESULT'!B259</f>
        <v>40555</v>
      </c>
      <c r="B259">
        <f>'FINAL RESULT'!M259</f>
        <v>1</v>
      </c>
    </row>
    <row r="260" spans="1:2">
      <c r="A260">
        <f>'FINAL RESULT'!B260</f>
        <v>40555</v>
      </c>
      <c r="B260">
        <f>'FINAL RESULT'!M260</f>
        <v>5</v>
      </c>
    </row>
    <row r="261" spans="1:2">
      <c r="A261">
        <f>'FINAL RESULT'!B261</f>
        <v>40555</v>
      </c>
      <c r="B261">
        <f>'FINAL RESULT'!M261</f>
        <v>16</v>
      </c>
    </row>
    <row r="262" spans="1:2">
      <c r="A262">
        <f>'FINAL RESULT'!B262</f>
        <v>40555</v>
      </c>
      <c r="B262">
        <f>'FINAL RESULT'!M262</f>
        <v>54</v>
      </c>
    </row>
    <row r="263" spans="1:2">
      <c r="A263">
        <f>'FINAL RESULT'!B263</f>
        <v>40555</v>
      </c>
      <c r="B263">
        <f>'FINAL RESULT'!M263</f>
        <v>128</v>
      </c>
    </row>
    <row r="264" spans="1:2">
      <c r="A264">
        <f>'FINAL RESULT'!B264</f>
        <v>40555</v>
      </c>
      <c r="B264">
        <f>'FINAL RESULT'!M264</f>
        <v>81</v>
      </c>
    </row>
    <row r="265" spans="1:2">
      <c r="A265">
        <f>'FINAL RESULT'!B265</f>
        <v>40555</v>
      </c>
      <c r="B265">
        <f>'FINAL RESULT'!M265</f>
        <v>39</v>
      </c>
    </row>
    <row r="266" spans="1:2">
      <c r="A266">
        <f>'FINAL RESULT'!B266</f>
        <v>40555</v>
      </c>
      <c r="B266">
        <f>'FINAL RESULT'!M266</f>
        <v>35</v>
      </c>
    </row>
    <row r="267" spans="1:2">
      <c r="A267">
        <f>'FINAL RESULT'!B267</f>
        <v>40555</v>
      </c>
      <c r="B267">
        <f>'FINAL RESULT'!M267</f>
        <v>55</v>
      </c>
    </row>
    <row r="268" spans="1:2">
      <c r="A268">
        <f>'FINAL RESULT'!B268</f>
        <v>40555</v>
      </c>
      <c r="B268">
        <f>'FINAL RESULT'!M268</f>
        <v>49</v>
      </c>
    </row>
    <row r="269" spans="1:2">
      <c r="A269">
        <f>'FINAL RESULT'!B269</f>
        <v>40555</v>
      </c>
      <c r="B269">
        <f>'FINAL RESULT'!M269</f>
        <v>44</v>
      </c>
    </row>
    <row r="270" spans="1:2">
      <c r="A270">
        <f>'FINAL RESULT'!B270</f>
        <v>40555</v>
      </c>
      <c r="B270">
        <f>'FINAL RESULT'!M270</f>
        <v>49</v>
      </c>
    </row>
    <row r="271" spans="1:2">
      <c r="A271">
        <f>'FINAL RESULT'!B271</f>
        <v>40555</v>
      </c>
      <c r="B271">
        <f>'FINAL RESULT'!M271</f>
        <v>68</v>
      </c>
    </row>
    <row r="272" spans="1:2">
      <c r="A272">
        <f>'FINAL RESULT'!B272</f>
        <v>40555</v>
      </c>
      <c r="B272">
        <f>'FINAL RESULT'!M272</f>
        <v>139</v>
      </c>
    </row>
    <row r="273" spans="1:2">
      <c r="A273">
        <f>'FINAL RESULT'!B273</f>
        <v>40555</v>
      </c>
      <c r="B273">
        <f>'FINAL RESULT'!M273</f>
        <v>137</v>
      </c>
    </row>
    <row r="274" spans="1:2">
      <c r="A274">
        <f>'FINAL RESULT'!B274</f>
        <v>40555</v>
      </c>
      <c r="B274">
        <f>'FINAL RESULT'!M274</f>
        <v>83</v>
      </c>
    </row>
    <row r="275" spans="1:2">
      <c r="A275">
        <f>'FINAL RESULT'!B275</f>
        <v>40555</v>
      </c>
      <c r="B275">
        <f>'FINAL RESULT'!M275</f>
        <v>56</v>
      </c>
    </row>
    <row r="276" spans="1:2">
      <c r="A276">
        <f>'FINAL RESULT'!B276</f>
        <v>40555</v>
      </c>
      <c r="B276">
        <f>'FINAL RESULT'!M276</f>
        <v>57</v>
      </c>
    </row>
    <row r="277" spans="1:2">
      <c r="A277">
        <f>'FINAL RESULT'!B277</f>
        <v>40555</v>
      </c>
      <c r="B277">
        <f>'FINAL RESULT'!M277</f>
        <v>33</v>
      </c>
    </row>
    <row r="278" spans="1:2">
      <c r="A278">
        <f>'FINAL RESULT'!B278</f>
        <v>40555</v>
      </c>
      <c r="B278">
        <f>'FINAL RESULT'!M278</f>
        <v>20</v>
      </c>
    </row>
    <row r="279" spans="1:2">
      <c r="A279">
        <f>'FINAL RESULT'!B279</f>
        <v>40556</v>
      </c>
      <c r="B279">
        <f>'FINAL RESULT'!M279</f>
        <v>7</v>
      </c>
    </row>
    <row r="280" spans="1:2">
      <c r="A280">
        <f>'FINAL RESULT'!B280</f>
        <v>40556</v>
      </c>
      <c r="B280">
        <f>'FINAL RESULT'!M280</f>
        <v>2</v>
      </c>
    </row>
    <row r="281" spans="1:2">
      <c r="A281">
        <f>'FINAL RESULT'!B281</f>
        <v>40556</v>
      </c>
      <c r="B281">
        <f>'FINAL RESULT'!M281</f>
        <v>2</v>
      </c>
    </row>
    <row r="282" spans="1:2">
      <c r="A282">
        <f>'FINAL RESULT'!B282</f>
        <v>40556</v>
      </c>
      <c r="B282">
        <f>'FINAL RESULT'!M282</f>
        <v>3</v>
      </c>
    </row>
    <row r="283" spans="1:2">
      <c r="A283">
        <f>'FINAL RESULT'!B283</f>
        <v>40556</v>
      </c>
      <c r="B283">
        <f>'FINAL RESULT'!M283</f>
        <v>4</v>
      </c>
    </row>
    <row r="284" spans="1:2">
      <c r="A284">
        <f>'FINAL RESULT'!B284</f>
        <v>40556</v>
      </c>
      <c r="B284">
        <f>'FINAL RESULT'!M284</f>
        <v>3</v>
      </c>
    </row>
    <row r="285" spans="1:2">
      <c r="A285">
        <f>'FINAL RESULT'!B285</f>
        <v>40556</v>
      </c>
      <c r="B285">
        <f>'FINAL RESULT'!M285</f>
        <v>28</v>
      </c>
    </row>
    <row r="286" spans="1:2">
      <c r="A286">
        <f>'FINAL RESULT'!B286</f>
        <v>40556</v>
      </c>
      <c r="B286">
        <f>'FINAL RESULT'!M286</f>
        <v>72</v>
      </c>
    </row>
    <row r="287" spans="1:2">
      <c r="A287">
        <f>'FINAL RESULT'!B287</f>
        <v>40556</v>
      </c>
      <c r="B287">
        <f>'FINAL RESULT'!M287</f>
        <v>202</v>
      </c>
    </row>
    <row r="288" spans="1:2">
      <c r="A288">
        <f>'FINAL RESULT'!B288</f>
        <v>40556</v>
      </c>
      <c r="B288">
        <f>'FINAL RESULT'!M288</f>
        <v>139</v>
      </c>
    </row>
    <row r="289" spans="1:2">
      <c r="A289">
        <f>'FINAL RESULT'!B289</f>
        <v>40556</v>
      </c>
      <c r="B289">
        <f>'FINAL RESULT'!M289</f>
        <v>38</v>
      </c>
    </row>
    <row r="290" spans="1:2">
      <c r="A290">
        <f>'FINAL RESULT'!B290</f>
        <v>40556</v>
      </c>
      <c r="B290">
        <f>'FINAL RESULT'!M290</f>
        <v>37</v>
      </c>
    </row>
    <row r="291" spans="1:2">
      <c r="A291">
        <f>'FINAL RESULT'!B291</f>
        <v>40556</v>
      </c>
      <c r="B291">
        <f>'FINAL RESULT'!M291</f>
        <v>52</v>
      </c>
    </row>
    <row r="292" spans="1:2">
      <c r="A292">
        <f>'FINAL RESULT'!B292</f>
        <v>40556</v>
      </c>
      <c r="B292">
        <f>'FINAL RESULT'!M292</f>
        <v>83</v>
      </c>
    </row>
    <row r="293" spans="1:2">
      <c r="A293">
        <f>'FINAL RESULT'!B293</f>
        <v>40556</v>
      </c>
      <c r="B293">
        <f>'FINAL RESULT'!M293</f>
        <v>42</v>
      </c>
    </row>
    <row r="294" spans="1:2">
      <c r="A294">
        <f>'FINAL RESULT'!B294</f>
        <v>40556</v>
      </c>
      <c r="B294">
        <f>'FINAL RESULT'!M294</f>
        <v>60</v>
      </c>
    </row>
    <row r="295" spans="1:2">
      <c r="A295">
        <f>'FINAL RESULT'!B295</f>
        <v>40556</v>
      </c>
      <c r="B295">
        <f>'FINAL RESULT'!M295</f>
        <v>78</v>
      </c>
    </row>
    <row r="296" spans="1:2">
      <c r="A296">
        <f>'FINAL RESULT'!B296</f>
        <v>40556</v>
      </c>
      <c r="B296">
        <f>'FINAL RESULT'!M296</f>
        <v>162</v>
      </c>
    </row>
    <row r="297" spans="1:2">
      <c r="A297">
        <f>'FINAL RESULT'!B297</f>
        <v>40556</v>
      </c>
      <c r="B297">
        <f>'FINAL RESULT'!M297</f>
        <v>144</v>
      </c>
    </row>
    <row r="298" spans="1:2">
      <c r="A298">
        <f>'FINAL RESULT'!B298</f>
        <v>40556</v>
      </c>
      <c r="B298">
        <f>'FINAL RESULT'!M298</f>
        <v>99</v>
      </c>
    </row>
    <row r="299" spans="1:2">
      <c r="A299">
        <f>'FINAL RESULT'!B299</f>
        <v>40556</v>
      </c>
      <c r="B299">
        <f>'FINAL RESULT'!M299</f>
        <v>64</v>
      </c>
    </row>
    <row r="300" spans="1:2">
      <c r="A300">
        <f>'FINAL RESULT'!B300</f>
        <v>40556</v>
      </c>
      <c r="B300">
        <f>'FINAL RESULT'!M300</f>
        <v>40</v>
      </c>
    </row>
    <row r="301" spans="1:2">
      <c r="A301">
        <f>'FINAL RESULT'!B301</f>
        <v>40556</v>
      </c>
      <c r="B301">
        <f>'FINAL RESULT'!M301</f>
        <v>30</v>
      </c>
    </row>
    <row r="302" spans="1:2">
      <c r="A302">
        <f>'FINAL RESULT'!B302</f>
        <v>40556</v>
      </c>
      <c r="B302">
        <f>'FINAL RESULT'!M302</f>
        <v>15</v>
      </c>
    </row>
    <row r="303" spans="1:2">
      <c r="A303">
        <f>'FINAL RESULT'!B303</f>
        <v>40557</v>
      </c>
      <c r="B303">
        <f>'FINAL RESULT'!M303</f>
        <v>14</v>
      </c>
    </row>
    <row r="304" spans="1:2">
      <c r="A304">
        <f>'FINAL RESULT'!B304</f>
        <v>40557</v>
      </c>
      <c r="B304">
        <f>'FINAL RESULT'!M304</f>
        <v>5</v>
      </c>
    </row>
    <row r="305" spans="1:2">
      <c r="A305">
        <f>'FINAL RESULT'!B305</f>
        <v>40557</v>
      </c>
      <c r="B305">
        <f>'FINAL RESULT'!M305</f>
        <v>1</v>
      </c>
    </row>
    <row r="306" spans="1:2">
      <c r="A306">
        <f>'FINAL RESULT'!B306</f>
        <v>40557</v>
      </c>
      <c r="B306">
        <f>'FINAL RESULT'!M306</f>
        <v>1</v>
      </c>
    </row>
    <row r="307" spans="1:2">
      <c r="A307">
        <f>'FINAL RESULT'!B307</f>
        <v>40557</v>
      </c>
      <c r="B307">
        <f>'FINAL RESULT'!M307</f>
        <v>8</v>
      </c>
    </row>
    <row r="308" spans="1:2">
      <c r="A308">
        <f>'FINAL RESULT'!B308</f>
        <v>40557</v>
      </c>
      <c r="B308">
        <f>'FINAL RESULT'!M308</f>
        <v>17</v>
      </c>
    </row>
    <row r="309" spans="1:2">
      <c r="A309">
        <f>'FINAL RESULT'!B309</f>
        <v>40557</v>
      </c>
      <c r="B309">
        <f>'FINAL RESULT'!M309</f>
        <v>70</v>
      </c>
    </row>
    <row r="310" spans="1:2">
      <c r="A310">
        <f>'FINAL RESULT'!B310</f>
        <v>40557</v>
      </c>
      <c r="B310">
        <f>'FINAL RESULT'!M310</f>
        <v>158</v>
      </c>
    </row>
    <row r="311" spans="1:2">
      <c r="A311">
        <f>'FINAL RESULT'!B311</f>
        <v>40557</v>
      </c>
      <c r="B311">
        <f>'FINAL RESULT'!M311</f>
        <v>117</v>
      </c>
    </row>
    <row r="312" spans="1:2">
      <c r="A312">
        <f>'FINAL RESULT'!B312</f>
        <v>40557</v>
      </c>
      <c r="B312">
        <f>'FINAL RESULT'!M312</f>
        <v>44</v>
      </c>
    </row>
    <row r="313" spans="1:2">
      <c r="A313">
        <f>'FINAL RESULT'!B313</f>
        <v>40557</v>
      </c>
      <c r="B313">
        <f>'FINAL RESULT'!M313</f>
        <v>53</v>
      </c>
    </row>
    <row r="314" spans="1:2">
      <c r="A314">
        <f>'FINAL RESULT'!B314</f>
        <v>40557</v>
      </c>
      <c r="B314">
        <f>'FINAL RESULT'!M314</f>
        <v>61</v>
      </c>
    </row>
    <row r="315" spans="1:2">
      <c r="A315">
        <f>'FINAL RESULT'!B315</f>
        <v>40557</v>
      </c>
      <c r="B315">
        <f>'FINAL RESULT'!M315</f>
        <v>77</v>
      </c>
    </row>
    <row r="316" spans="1:2">
      <c r="A316">
        <f>'FINAL RESULT'!B316</f>
        <v>40557</v>
      </c>
      <c r="B316">
        <f>'FINAL RESULT'!M316</f>
        <v>64</v>
      </c>
    </row>
    <row r="317" spans="1:2">
      <c r="A317">
        <f>'FINAL RESULT'!B317</f>
        <v>40557</v>
      </c>
      <c r="B317">
        <f>'FINAL RESULT'!M317</f>
        <v>68</v>
      </c>
    </row>
    <row r="318" spans="1:2">
      <c r="A318">
        <f>'FINAL RESULT'!B318</f>
        <v>40557</v>
      </c>
      <c r="B318">
        <f>'FINAL RESULT'!M318</f>
        <v>90</v>
      </c>
    </row>
    <row r="319" spans="1:2">
      <c r="A319">
        <f>'FINAL RESULT'!B319</f>
        <v>40557</v>
      </c>
      <c r="B319">
        <f>'FINAL RESULT'!M319</f>
        <v>159</v>
      </c>
    </row>
    <row r="320" spans="1:2">
      <c r="A320">
        <f>'FINAL RESULT'!B320</f>
        <v>40557</v>
      </c>
      <c r="B320">
        <f>'FINAL RESULT'!M320</f>
        <v>139</v>
      </c>
    </row>
    <row r="321" spans="1:2">
      <c r="A321">
        <f>'FINAL RESULT'!B321</f>
        <v>40557</v>
      </c>
      <c r="B321">
        <f>'FINAL RESULT'!M321</f>
        <v>92</v>
      </c>
    </row>
    <row r="322" spans="1:2">
      <c r="A322">
        <f>'FINAL RESULT'!B322</f>
        <v>40557</v>
      </c>
      <c r="B322">
        <f>'FINAL RESULT'!M322</f>
        <v>68</v>
      </c>
    </row>
    <row r="323" spans="1:2">
      <c r="A323">
        <f>'FINAL RESULT'!B323</f>
        <v>40557</v>
      </c>
      <c r="B323">
        <f>'FINAL RESULT'!M323</f>
        <v>52</v>
      </c>
    </row>
    <row r="324" spans="1:2">
      <c r="A324">
        <f>'FINAL RESULT'!B324</f>
        <v>40557</v>
      </c>
      <c r="B324">
        <f>'FINAL RESULT'!M324</f>
        <v>36</v>
      </c>
    </row>
    <row r="325" spans="1:2">
      <c r="A325">
        <f>'FINAL RESULT'!B325</f>
        <v>40557</v>
      </c>
      <c r="B325">
        <f>'FINAL RESULT'!M325</f>
        <v>27</v>
      </c>
    </row>
    <row r="326" spans="1:2">
      <c r="A326">
        <f>'FINAL RESULT'!B326</f>
        <v>40558</v>
      </c>
      <c r="B326">
        <f>'FINAL RESULT'!M326</f>
        <v>28</v>
      </c>
    </row>
    <row r="327" spans="1:2">
      <c r="A327">
        <f>'FINAL RESULT'!B327</f>
        <v>40558</v>
      </c>
      <c r="B327">
        <f>'FINAL RESULT'!M327</f>
        <v>20</v>
      </c>
    </row>
    <row r="328" spans="1:2">
      <c r="A328">
        <f>'FINAL RESULT'!B328</f>
        <v>40558</v>
      </c>
      <c r="B328">
        <f>'FINAL RESULT'!M328</f>
        <v>12</v>
      </c>
    </row>
    <row r="329" spans="1:2">
      <c r="A329">
        <f>'FINAL RESULT'!B329</f>
        <v>40558</v>
      </c>
      <c r="B329">
        <f>'FINAL RESULT'!M329</f>
        <v>8</v>
      </c>
    </row>
    <row r="330" spans="1:2">
      <c r="A330">
        <f>'FINAL RESULT'!B330</f>
        <v>40558</v>
      </c>
      <c r="B330">
        <f>'FINAL RESULT'!M330</f>
        <v>5</v>
      </c>
    </row>
    <row r="331" spans="1:2">
      <c r="A331">
        <f>'FINAL RESULT'!B331</f>
        <v>40558</v>
      </c>
      <c r="B331">
        <f>'FINAL RESULT'!M331</f>
        <v>1</v>
      </c>
    </row>
    <row r="332" spans="1:2">
      <c r="A332">
        <f>'FINAL RESULT'!B332</f>
        <v>40558</v>
      </c>
      <c r="B332">
        <f>'FINAL RESULT'!M332</f>
        <v>3</v>
      </c>
    </row>
    <row r="333" spans="1:2">
      <c r="A333">
        <f>'FINAL RESULT'!B333</f>
        <v>40558</v>
      </c>
      <c r="B333">
        <f>'FINAL RESULT'!M333</f>
        <v>10</v>
      </c>
    </row>
    <row r="334" spans="1:2">
      <c r="A334">
        <f>'FINAL RESULT'!B334</f>
        <v>40558</v>
      </c>
      <c r="B334">
        <f>'FINAL RESULT'!M334</f>
        <v>23</v>
      </c>
    </row>
    <row r="335" spans="1:2">
      <c r="A335">
        <f>'FINAL RESULT'!B335</f>
        <v>40558</v>
      </c>
      <c r="B335">
        <f>'FINAL RESULT'!M335</f>
        <v>33</v>
      </c>
    </row>
    <row r="336" spans="1:2">
      <c r="A336">
        <f>'FINAL RESULT'!B336</f>
        <v>40558</v>
      </c>
      <c r="B336">
        <f>'FINAL RESULT'!M336</f>
        <v>59</v>
      </c>
    </row>
    <row r="337" spans="1:2">
      <c r="A337">
        <f>'FINAL RESULT'!B337</f>
        <v>40558</v>
      </c>
      <c r="B337">
        <f>'FINAL RESULT'!M337</f>
        <v>72</v>
      </c>
    </row>
    <row r="338" spans="1:2">
      <c r="A338">
        <f>'FINAL RESULT'!B338</f>
        <v>40558</v>
      </c>
      <c r="B338">
        <f>'FINAL RESULT'!M338</f>
        <v>89</v>
      </c>
    </row>
    <row r="339" spans="1:2">
      <c r="A339">
        <f>'FINAL RESULT'!B339</f>
        <v>40558</v>
      </c>
      <c r="B339">
        <f>'FINAL RESULT'!M339</f>
        <v>101</v>
      </c>
    </row>
    <row r="340" spans="1:2">
      <c r="A340">
        <f>'FINAL RESULT'!B340</f>
        <v>40558</v>
      </c>
      <c r="B340">
        <f>'FINAL RESULT'!M340</f>
        <v>118</v>
      </c>
    </row>
    <row r="341" spans="1:2">
      <c r="A341">
        <f>'FINAL RESULT'!B341</f>
        <v>40558</v>
      </c>
      <c r="B341">
        <f>'FINAL RESULT'!M341</f>
        <v>129</v>
      </c>
    </row>
    <row r="342" spans="1:2">
      <c r="A342">
        <f>'FINAL RESULT'!B342</f>
        <v>40558</v>
      </c>
      <c r="B342">
        <f>'FINAL RESULT'!M342</f>
        <v>128</v>
      </c>
    </row>
    <row r="343" spans="1:2">
      <c r="A343">
        <f>'FINAL RESULT'!B343</f>
        <v>40558</v>
      </c>
      <c r="B343">
        <f>'FINAL RESULT'!M343</f>
        <v>83</v>
      </c>
    </row>
    <row r="344" spans="1:2">
      <c r="A344">
        <f>'FINAL RESULT'!B344</f>
        <v>40558</v>
      </c>
      <c r="B344">
        <f>'FINAL RESULT'!M344</f>
        <v>84</v>
      </c>
    </row>
    <row r="345" spans="1:2">
      <c r="A345">
        <f>'FINAL RESULT'!B345</f>
        <v>40558</v>
      </c>
      <c r="B345">
        <f>'FINAL RESULT'!M345</f>
        <v>74</v>
      </c>
    </row>
    <row r="346" spans="1:2">
      <c r="A346">
        <f>'FINAL RESULT'!B346</f>
        <v>40558</v>
      </c>
      <c r="B346">
        <f>'FINAL RESULT'!M346</f>
        <v>41</v>
      </c>
    </row>
    <row r="347" spans="1:2">
      <c r="A347">
        <f>'FINAL RESULT'!B347</f>
        <v>40558</v>
      </c>
      <c r="B347">
        <f>'FINAL RESULT'!M347</f>
        <v>57</v>
      </c>
    </row>
    <row r="348" spans="1:2">
      <c r="A348">
        <f>'FINAL RESULT'!B348</f>
        <v>40558</v>
      </c>
      <c r="B348">
        <f>'FINAL RESULT'!M348</f>
        <v>26</v>
      </c>
    </row>
    <row r="349" spans="1:2">
      <c r="A349">
        <f>'FINAL RESULT'!B349</f>
        <v>40558</v>
      </c>
      <c r="B349">
        <f>'FINAL RESULT'!M349</f>
        <v>44</v>
      </c>
    </row>
    <row r="350" spans="1:2">
      <c r="A350">
        <f>'FINAL RESULT'!B350</f>
        <v>40559</v>
      </c>
      <c r="B350">
        <f>'FINAL RESULT'!M350</f>
        <v>39</v>
      </c>
    </row>
    <row r="351" spans="1:2">
      <c r="A351">
        <f>'FINAL RESULT'!B351</f>
        <v>40559</v>
      </c>
      <c r="B351">
        <f>'FINAL RESULT'!M351</f>
        <v>23</v>
      </c>
    </row>
    <row r="352" spans="1:2">
      <c r="A352">
        <f>'FINAL RESULT'!B352</f>
        <v>40559</v>
      </c>
      <c r="B352">
        <f>'FINAL RESULT'!M352</f>
        <v>16</v>
      </c>
    </row>
    <row r="353" spans="1:2">
      <c r="A353">
        <f>'FINAL RESULT'!B353</f>
        <v>40559</v>
      </c>
      <c r="B353">
        <f>'FINAL RESULT'!M353</f>
        <v>15</v>
      </c>
    </row>
    <row r="354" spans="1:2">
      <c r="A354">
        <f>'FINAL RESULT'!B354</f>
        <v>40559</v>
      </c>
      <c r="B354">
        <f>'FINAL RESULT'!M354</f>
        <v>1</v>
      </c>
    </row>
    <row r="355" spans="1:2">
      <c r="A355">
        <f>'FINAL RESULT'!B355</f>
        <v>40559</v>
      </c>
      <c r="B355">
        <f>'FINAL RESULT'!M355</f>
        <v>2</v>
      </c>
    </row>
    <row r="356" spans="1:2">
      <c r="A356">
        <f>'FINAL RESULT'!B356</f>
        <v>40559</v>
      </c>
      <c r="B356">
        <f>'FINAL RESULT'!M356</f>
        <v>1</v>
      </c>
    </row>
    <row r="357" spans="1:2">
      <c r="A357">
        <f>'FINAL RESULT'!B357</f>
        <v>40559</v>
      </c>
      <c r="B357">
        <f>'FINAL RESULT'!M357</f>
        <v>3</v>
      </c>
    </row>
    <row r="358" spans="1:2">
      <c r="A358">
        <f>'FINAL RESULT'!B358</f>
        <v>40559</v>
      </c>
      <c r="B358">
        <f>'FINAL RESULT'!M358</f>
        <v>18</v>
      </c>
    </row>
    <row r="359" spans="1:2">
      <c r="A359">
        <f>'FINAL RESULT'!B359</f>
        <v>40559</v>
      </c>
      <c r="B359">
        <f>'FINAL RESULT'!M359</f>
        <v>32</v>
      </c>
    </row>
    <row r="360" spans="1:2">
      <c r="A360">
        <f>'FINAL RESULT'!B360</f>
        <v>40559</v>
      </c>
      <c r="B360">
        <f>'FINAL RESULT'!M360</f>
        <v>79</v>
      </c>
    </row>
    <row r="361" spans="1:2">
      <c r="A361">
        <f>'FINAL RESULT'!B361</f>
        <v>40559</v>
      </c>
      <c r="B361">
        <f>'FINAL RESULT'!M361</f>
        <v>93</v>
      </c>
    </row>
    <row r="362" spans="1:2">
      <c r="A362">
        <f>'FINAL RESULT'!B362</f>
        <v>40559</v>
      </c>
      <c r="B362">
        <f>'FINAL RESULT'!M362</f>
        <v>104</v>
      </c>
    </row>
    <row r="363" spans="1:2">
      <c r="A363">
        <f>'FINAL RESULT'!B363</f>
        <v>40559</v>
      </c>
      <c r="B363">
        <f>'FINAL RESULT'!M363</f>
        <v>118</v>
      </c>
    </row>
    <row r="364" spans="1:2">
      <c r="A364">
        <f>'FINAL RESULT'!B364</f>
        <v>40559</v>
      </c>
      <c r="B364">
        <f>'FINAL RESULT'!M364</f>
        <v>91</v>
      </c>
    </row>
    <row r="365" spans="1:2">
      <c r="A365">
        <f>'FINAL RESULT'!B365</f>
        <v>40559</v>
      </c>
      <c r="B365">
        <f>'FINAL RESULT'!M365</f>
        <v>113</v>
      </c>
    </row>
    <row r="366" spans="1:2">
      <c r="A366">
        <f>'FINAL RESULT'!B366</f>
        <v>40559</v>
      </c>
      <c r="B366">
        <f>'FINAL RESULT'!M366</f>
        <v>99</v>
      </c>
    </row>
    <row r="367" spans="1:2">
      <c r="A367">
        <f>'FINAL RESULT'!B367</f>
        <v>40559</v>
      </c>
      <c r="B367">
        <f>'FINAL RESULT'!M367</f>
        <v>105</v>
      </c>
    </row>
    <row r="368" spans="1:2">
      <c r="A368">
        <f>'FINAL RESULT'!B368</f>
        <v>40559</v>
      </c>
      <c r="B368">
        <f>'FINAL RESULT'!M368</f>
        <v>67</v>
      </c>
    </row>
    <row r="369" spans="1:2">
      <c r="A369">
        <f>'FINAL RESULT'!B369</f>
        <v>40559</v>
      </c>
      <c r="B369">
        <f>'FINAL RESULT'!M369</f>
        <v>61</v>
      </c>
    </row>
    <row r="370" spans="1:2">
      <c r="A370">
        <f>'FINAL RESULT'!B370</f>
        <v>40559</v>
      </c>
      <c r="B370">
        <f>'FINAL RESULT'!M370</f>
        <v>57</v>
      </c>
    </row>
    <row r="371" spans="1:2">
      <c r="A371">
        <f>'FINAL RESULT'!B371</f>
        <v>40559</v>
      </c>
      <c r="B371">
        <f>'FINAL RESULT'!M371</f>
        <v>28</v>
      </c>
    </row>
    <row r="372" spans="1:2">
      <c r="A372">
        <f>'FINAL RESULT'!B372</f>
        <v>40559</v>
      </c>
      <c r="B372">
        <f>'FINAL RESULT'!M372</f>
        <v>21</v>
      </c>
    </row>
    <row r="373" spans="1:2">
      <c r="A373">
        <f>'FINAL RESULT'!B373</f>
        <v>40559</v>
      </c>
      <c r="B373">
        <f>'FINAL RESULT'!M373</f>
        <v>18</v>
      </c>
    </row>
    <row r="374" spans="1:2">
      <c r="A374">
        <f>'FINAL RESULT'!B374</f>
        <v>40560</v>
      </c>
      <c r="B374">
        <f>'FINAL RESULT'!M374</f>
        <v>17</v>
      </c>
    </row>
    <row r="375" spans="1:2">
      <c r="A375">
        <f>'FINAL RESULT'!B375</f>
        <v>40560</v>
      </c>
      <c r="B375">
        <f>'FINAL RESULT'!M375</f>
        <v>16</v>
      </c>
    </row>
    <row r="376" spans="1:2">
      <c r="A376">
        <f>'FINAL RESULT'!B376</f>
        <v>40560</v>
      </c>
      <c r="B376">
        <f>'FINAL RESULT'!M376</f>
        <v>8</v>
      </c>
    </row>
    <row r="377" spans="1:2">
      <c r="A377">
        <f>'FINAL RESULT'!B377</f>
        <v>40560</v>
      </c>
      <c r="B377">
        <f>'FINAL RESULT'!M377</f>
        <v>2</v>
      </c>
    </row>
    <row r="378" spans="1:2">
      <c r="A378">
        <f>'FINAL RESULT'!B378</f>
        <v>40560</v>
      </c>
      <c r="B378">
        <f>'FINAL RESULT'!M378</f>
        <v>3</v>
      </c>
    </row>
    <row r="379" spans="1:2">
      <c r="A379">
        <f>'FINAL RESULT'!B379</f>
        <v>40560</v>
      </c>
      <c r="B379">
        <f>'FINAL RESULT'!M379</f>
        <v>1</v>
      </c>
    </row>
    <row r="380" spans="1:2">
      <c r="A380">
        <f>'FINAL RESULT'!B380</f>
        <v>40560</v>
      </c>
      <c r="B380">
        <f>'FINAL RESULT'!M380</f>
        <v>5</v>
      </c>
    </row>
    <row r="381" spans="1:2">
      <c r="A381">
        <f>'FINAL RESULT'!B381</f>
        <v>40560</v>
      </c>
      <c r="B381">
        <f>'FINAL RESULT'!M381</f>
        <v>13</v>
      </c>
    </row>
    <row r="382" spans="1:2">
      <c r="A382">
        <f>'FINAL RESULT'!B382</f>
        <v>40560</v>
      </c>
      <c r="B382">
        <f>'FINAL RESULT'!M382</f>
        <v>33</v>
      </c>
    </row>
    <row r="383" spans="1:2">
      <c r="A383">
        <f>'FINAL RESULT'!B383</f>
        <v>40560</v>
      </c>
      <c r="B383">
        <f>'FINAL RESULT'!M383</f>
        <v>47</v>
      </c>
    </row>
    <row r="384" spans="1:2">
      <c r="A384">
        <f>'FINAL RESULT'!B384</f>
        <v>40560</v>
      </c>
      <c r="B384">
        <f>'FINAL RESULT'!M384</f>
        <v>57</v>
      </c>
    </row>
    <row r="385" spans="1:2">
      <c r="A385">
        <f>'FINAL RESULT'!B385</f>
        <v>40560</v>
      </c>
      <c r="B385">
        <f>'FINAL RESULT'!M385</f>
        <v>64</v>
      </c>
    </row>
    <row r="386" spans="1:2">
      <c r="A386">
        <f>'FINAL RESULT'!B386</f>
        <v>40560</v>
      </c>
      <c r="B386">
        <f>'FINAL RESULT'!M386</f>
        <v>80</v>
      </c>
    </row>
    <row r="387" spans="1:2">
      <c r="A387">
        <f>'FINAL RESULT'!B387</f>
        <v>40560</v>
      </c>
      <c r="B387">
        <f>'FINAL RESULT'!M387</f>
        <v>93</v>
      </c>
    </row>
    <row r="388" spans="1:2">
      <c r="A388">
        <f>'FINAL RESULT'!B388</f>
        <v>40560</v>
      </c>
      <c r="B388">
        <f>'FINAL RESULT'!M388</f>
        <v>86</v>
      </c>
    </row>
    <row r="389" spans="1:2">
      <c r="A389">
        <f>'FINAL RESULT'!B389</f>
        <v>40560</v>
      </c>
      <c r="B389">
        <f>'FINAL RESULT'!M389</f>
        <v>93</v>
      </c>
    </row>
    <row r="390" spans="1:2">
      <c r="A390">
        <f>'FINAL RESULT'!B390</f>
        <v>40560</v>
      </c>
      <c r="B390">
        <f>'FINAL RESULT'!M390</f>
        <v>82</v>
      </c>
    </row>
    <row r="391" spans="1:2">
      <c r="A391">
        <f>'FINAL RESULT'!B391</f>
        <v>40560</v>
      </c>
      <c r="B391">
        <f>'FINAL RESULT'!M391</f>
        <v>71</v>
      </c>
    </row>
    <row r="392" spans="1:2">
      <c r="A392">
        <f>'FINAL RESULT'!B392</f>
        <v>40560</v>
      </c>
      <c r="B392">
        <f>'FINAL RESULT'!M392</f>
        <v>92</v>
      </c>
    </row>
    <row r="393" spans="1:2">
      <c r="A393">
        <f>'FINAL RESULT'!B393</f>
        <v>40560</v>
      </c>
      <c r="B393">
        <f>'FINAL RESULT'!M393</f>
        <v>60</v>
      </c>
    </row>
    <row r="394" spans="1:2">
      <c r="A394">
        <f>'FINAL RESULT'!B394</f>
        <v>40560</v>
      </c>
      <c r="B394">
        <f>'FINAL RESULT'!M394</f>
        <v>33</v>
      </c>
    </row>
    <row r="395" spans="1:2">
      <c r="A395">
        <f>'FINAL RESULT'!B395</f>
        <v>40560</v>
      </c>
      <c r="B395">
        <f>'FINAL RESULT'!M395</f>
        <v>27</v>
      </c>
    </row>
    <row r="396" spans="1:2">
      <c r="A396">
        <f>'FINAL RESULT'!B396</f>
        <v>40560</v>
      </c>
      <c r="B396">
        <f>'FINAL RESULT'!M396</f>
        <v>13</v>
      </c>
    </row>
    <row r="397" spans="1:2">
      <c r="A397">
        <f>'FINAL RESULT'!B397</f>
        <v>40560</v>
      </c>
      <c r="B397">
        <f>'FINAL RESULT'!M397</f>
        <v>4</v>
      </c>
    </row>
    <row r="398" spans="1:2">
      <c r="A398">
        <f>'FINAL RESULT'!B398</f>
        <v>40561</v>
      </c>
      <c r="B398">
        <f>'FINAL RESULT'!M398</f>
        <v>3</v>
      </c>
    </row>
    <row r="399" spans="1:2">
      <c r="A399">
        <f>'FINAL RESULT'!B399</f>
        <v>40561</v>
      </c>
      <c r="B399">
        <f>'FINAL RESULT'!M399</f>
        <v>22</v>
      </c>
    </row>
    <row r="400" spans="1:2">
      <c r="A400">
        <f>'FINAL RESULT'!B400</f>
        <v>40561</v>
      </c>
      <c r="B400">
        <f>'FINAL RESULT'!M400</f>
        <v>28</v>
      </c>
    </row>
    <row r="401" spans="1:2">
      <c r="A401">
        <f>'FINAL RESULT'!B401</f>
        <v>40561</v>
      </c>
      <c r="B401">
        <f>'FINAL RESULT'!M401</f>
        <v>35</v>
      </c>
    </row>
    <row r="402" spans="1:2">
      <c r="A402">
        <f>'FINAL RESULT'!B402</f>
        <v>40561</v>
      </c>
      <c r="B402">
        <f>'FINAL RESULT'!M402</f>
        <v>61</v>
      </c>
    </row>
    <row r="403" spans="1:2">
      <c r="A403">
        <f>'FINAL RESULT'!B403</f>
        <v>40561</v>
      </c>
      <c r="B403">
        <f>'FINAL RESULT'!M403</f>
        <v>125</v>
      </c>
    </row>
    <row r="404" spans="1:2">
      <c r="A404">
        <f>'FINAL RESULT'!B404</f>
        <v>40561</v>
      </c>
      <c r="B404">
        <f>'FINAL RESULT'!M404</f>
        <v>133</v>
      </c>
    </row>
    <row r="405" spans="1:2">
      <c r="A405">
        <f>'FINAL RESULT'!B405</f>
        <v>40561</v>
      </c>
      <c r="B405">
        <f>'FINAL RESULT'!M405</f>
        <v>99</v>
      </c>
    </row>
    <row r="406" spans="1:2">
      <c r="A406">
        <f>'FINAL RESULT'!B406</f>
        <v>40561</v>
      </c>
      <c r="B406">
        <f>'FINAL RESULT'!M406</f>
        <v>83</v>
      </c>
    </row>
    <row r="407" spans="1:2">
      <c r="A407">
        <f>'FINAL RESULT'!B407</f>
        <v>40561</v>
      </c>
      <c r="B407">
        <f>'FINAL RESULT'!M407</f>
        <v>41</v>
      </c>
    </row>
    <row r="408" spans="1:2">
      <c r="A408">
        <f>'FINAL RESULT'!B408</f>
        <v>40561</v>
      </c>
      <c r="B408">
        <f>'FINAL RESULT'!M408</f>
        <v>33</v>
      </c>
    </row>
    <row r="409" spans="1:2">
      <c r="A409">
        <f>'FINAL RESULT'!B409</f>
        <v>40561</v>
      </c>
      <c r="B409">
        <f>'FINAL RESULT'!M409</f>
        <v>20</v>
      </c>
    </row>
    <row r="410" spans="1:2">
      <c r="A410">
        <f>'FINAL RESULT'!B410</f>
        <v>40562</v>
      </c>
      <c r="B410">
        <f>'FINAL RESULT'!M410</f>
        <v>3</v>
      </c>
    </row>
    <row r="411" spans="1:2">
      <c r="A411">
        <f>'FINAL RESULT'!B411</f>
        <v>40562</v>
      </c>
      <c r="B411">
        <f>'FINAL RESULT'!M411</f>
        <v>7</v>
      </c>
    </row>
    <row r="412" spans="1:2">
      <c r="A412">
        <f>'FINAL RESULT'!B412</f>
        <v>40562</v>
      </c>
      <c r="B412">
        <f>'FINAL RESULT'!M412</f>
        <v>3</v>
      </c>
    </row>
    <row r="413" spans="1:2">
      <c r="A413">
        <f>'FINAL RESULT'!B413</f>
        <v>40562</v>
      </c>
      <c r="B413">
        <f>'FINAL RESULT'!M413</f>
        <v>2</v>
      </c>
    </row>
    <row r="414" spans="1:2">
      <c r="A414">
        <f>'FINAL RESULT'!B414</f>
        <v>40562</v>
      </c>
      <c r="B414">
        <f>'FINAL RESULT'!M414</f>
        <v>7</v>
      </c>
    </row>
    <row r="415" spans="1:2">
      <c r="A415">
        <f>'FINAL RESULT'!B415</f>
        <v>40562</v>
      </c>
      <c r="B415">
        <f>'FINAL RESULT'!M415</f>
        <v>32</v>
      </c>
    </row>
    <row r="416" spans="1:2">
      <c r="A416">
        <f>'FINAL RESULT'!B416</f>
        <v>40562</v>
      </c>
      <c r="B416">
        <f>'FINAL RESULT'!M416</f>
        <v>90</v>
      </c>
    </row>
    <row r="417" spans="1:2">
      <c r="A417">
        <f>'FINAL RESULT'!B417</f>
        <v>40562</v>
      </c>
      <c r="B417">
        <f>'FINAL RESULT'!M417</f>
        <v>197</v>
      </c>
    </row>
    <row r="418" spans="1:2">
      <c r="A418">
        <f>'FINAL RESULT'!B418</f>
        <v>40562</v>
      </c>
      <c r="B418">
        <f>'FINAL RESULT'!M418</f>
        <v>109</v>
      </c>
    </row>
    <row r="419" spans="1:2">
      <c r="A419">
        <f>'FINAL RESULT'!B419</f>
        <v>40562</v>
      </c>
      <c r="B419">
        <f>'FINAL RESULT'!M419</f>
        <v>47</v>
      </c>
    </row>
    <row r="420" spans="1:2">
      <c r="A420">
        <f>'FINAL RESULT'!B420</f>
        <v>40562</v>
      </c>
      <c r="B420">
        <f>'FINAL RESULT'!M420</f>
        <v>52</v>
      </c>
    </row>
    <row r="421" spans="1:2">
      <c r="A421">
        <f>'FINAL RESULT'!B421</f>
        <v>40562</v>
      </c>
      <c r="B421">
        <f>'FINAL RESULT'!M421</f>
        <v>70</v>
      </c>
    </row>
    <row r="422" spans="1:2">
      <c r="A422">
        <f>'FINAL RESULT'!B422</f>
        <v>40562</v>
      </c>
      <c r="B422">
        <f>'FINAL RESULT'!M422</f>
        <v>78</v>
      </c>
    </row>
    <row r="423" spans="1:2">
      <c r="A423">
        <f>'FINAL RESULT'!B423</f>
        <v>40562</v>
      </c>
      <c r="B423">
        <f>'FINAL RESULT'!M423</f>
        <v>75</v>
      </c>
    </row>
    <row r="424" spans="1:2">
      <c r="A424">
        <f>'FINAL RESULT'!B424</f>
        <v>40562</v>
      </c>
      <c r="B424">
        <f>'FINAL RESULT'!M424</f>
        <v>82</v>
      </c>
    </row>
    <row r="425" spans="1:2">
      <c r="A425">
        <f>'FINAL RESULT'!B425</f>
        <v>40562</v>
      </c>
      <c r="B425">
        <f>'FINAL RESULT'!M425</f>
        <v>104</v>
      </c>
    </row>
    <row r="426" spans="1:2">
      <c r="A426">
        <f>'FINAL RESULT'!B426</f>
        <v>40562</v>
      </c>
      <c r="B426">
        <f>'FINAL RESULT'!M426</f>
        <v>197</v>
      </c>
    </row>
    <row r="427" spans="1:2">
      <c r="A427">
        <f>'FINAL RESULT'!B427</f>
        <v>40562</v>
      </c>
      <c r="B427">
        <f>'FINAL RESULT'!M427</f>
        <v>161</v>
      </c>
    </row>
    <row r="428" spans="1:2">
      <c r="A428">
        <f>'FINAL RESULT'!B428</f>
        <v>40562</v>
      </c>
      <c r="B428">
        <f>'FINAL RESULT'!M428</f>
        <v>112</v>
      </c>
    </row>
    <row r="429" spans="1:2">
      <c r="A429">
        <f>'FINAL RESULT'!B429</f>
        <v>40562</v>
      </c>
      <c r="B429">
        <f>'FINAL RESULT'!M429</f>
        <v>76</v>
      </c>
    </row>
    <row r="430" spans="1:2">
      <c r="A430">
        <f>'FINAL RESULT'!B430</f>
        <v>40562</v>
      </c>
      <c r="B430">
        <f>'FINAL RESULT'!M430</f>
        <v>59</v>
      </c>
    </row>
    <row r="431" spans="1:2">
      <c r="A431">
        <f>'FINAL RESULT'!B431</f>
        <v>40562</v>
      </c>
      <c r="B431">
        <f>'FINAL RESULT'!M431</f>
        <v>59</v>
      </c>
    </row>
    <row r="432" spans="1:2">
      <c r="A432">
        <f>'FINAL RESULT'!B432</f>
        <v>40562</v>
      </c>
      <c r="B432">
        <f>'FINAL RESULT'!M432</f>
        <v>28</v>
      </c>
    </row>
    <row r="433" spans="1:2">
      <c r="A433">
        <f>'FINAL RESULT'!B433</f>
        <v>40563</v>
      </c>
      <c r="B433">
        <f>'FINAL RESULT'!M433</f>
        <v>13</v>
      </c>
    </row>
    <row r="434" spans="1:2">
      <c r="A434">
        <f>'FINAL RESULT'!B434</f>
        <v>40563</v>
      </c>
      <c r="B434">
        <f>'FINAL RESULT'!M434</f>
        <v>5</v>
      </c>
    </row>
    <row r="435" spans="1:2">
      <c r="A435">
        <f>'FINAL RESULT'!B435</f>
        <v>40563</v>
      </c>
      <c r="B435">
        <f>'FINAL RESULT'!M435</f>
        <v>2</v>
      </c>
    </row>
    <row r="436" spans="1:2">
      <c r="A436">
        <f>'FINAL RESULT'!B436</f>
        <v>40563</v>
      </c>
      <c r="B436">
        <f>'FINAL RESULT'!M436</f>
        <v>1</v>
      </c>
    </row>
    <row r="437" spans="1:2">
      <c r="A437">
        <f>'FINAL RESULT'!B437</f>
        <v>40563</v>
      </c>
      <c r="B437">
        <f>'FINAL RESULT'!M437</f>
        <v>1</v>
      </c>
    </row>
    <row r="438" spans="1:2">
      <c r="A438">
        <f>'FINAL RESULT'!B438</f>
        <v>40563</v>
      </c>
      <c r="B438">
        <f>'FINAL RESULT'!M438</f>
        <v>6</v>
      </c>
    </row>
    <row r="439" spans="1:2">
      <c r="A439">
        <f>'FINAL RESULT'!B439</f>
        <v>40563</v>
      </c>
      <c r="B439">
        <f>'FINAL RESULT'!M439</f>
        <v>35</v>
      </c>
    </row>
    <row r="440" spans="1:2">
      <c r="A440">
        <f>'FINAL RESULT'!B440</f>
        <v>40563</v>
      </c>
      <c r="B440">
        <f>'FINAL RESULT'!M440</f>
        <v>101</v>
      </c>
    </row>
    <row r="441" spans="1:2">
      <c r="A441">
        <f>'FINAL RESULT'!B441</f>
        <v>40563</v>
      </c>
      <c r="B441">
        <f>'FINAL RESULT'!M441</f>
        <v>249</v>
      </c>
    </row>
    <row r="442" spans="1:2">
      <c r="A442">
        <f>'FINAL RESULT'!B442</f>
        <v>40563</v>
      </c>
      <c r="B442">
        <f>'FINAL RESULT'!M442</f>
        <v>143</v>
      </c>
    </row>
    <row r="443" spans="1:2">
      <c r="A443">
        <f>'FINAL RESULT'!B443</f>
        <v>40563</v>
      </c>
      <c r="B443">
        <f>'FINAL RESULT'!M443</f>
        <v>57</v>
      </c>
    </row>
    <row r="444" spans="1:2">
      <c r="A444">
        <f>'FINAL RESULT'!B444</f>
        <v>40563</v>
      </c>
      <c r="B444">
        <f>'FINAL RESULT'!M444</f>
        <v>68</v>
      </c>
    </row>
    <row r="445" spans="1:2">
      <c r="A445">
        <f>'FINAL RESULT'!B445</f>
        <v>40563</v>
      </c>
      <c r="B445">
        <f>'FINAL RESULT'!M445</f>
        <v>84</v>
      </c>
    </row>
    <row r="446" spans="1:2">
      <c r="A446">
        <f>'FINAL RESULT'!B446</f>
        <v>40563</v>
      </c>
      <c r="B446">
        <f>'FINAL RESULT'!M446</f>
        <v>98</v>
      </c>
    </row>
    <row r="447" spans="1:2">
      <c r="A447">
        <f>'FINAL RESULT'!B447</f>
        <v>40563</v>
      </c>
      <c r="B447">
        <f>'FINAL RESULT'!M447</f>
        <v>81</v>
      </c>
    </row>
    <row r="448" spans="1:2">
      <c r="A448">
        <f>'FINAL RESULT'!B448</f>
        <v>40563</v>
      </c>
      <c r="B448">
        <f>'FINAL RESULT'!M448</f>
        <v>70</v>
      </c>
    </row>
    <row r="449" spans="1:2">
      <c r="A449">
        <f>'FINAL RESULT'!B449</f>
        <v>40563</v>
      </c>
      <c r="B449">
        <f>'FINAL RESULT'!M449</f>
        <v>91</v>
      </c>
    </row>
    <row r="450" spans="1:2">
      <c r="A450">
        <f>'FINAL RESULT'!B450</f>
        <v>40563</v>
      </c>
      <c r="B450">
        <f>'FINAL RESULT'!M450</f>
        <v>215</v>
      </c>
    </row>
    <row r="451" spans="1:2">
      <c r="A451">
        <f>'FINAL RESULT'!B451</f>
        <v>40563</v>
      </c>
      <c r="B451">
        <f>'FINAL RESULT'!M451</f>
        <v>185</v>
      </c>
    </row>
    <row r="452" spans="1:2">
      <c r="A452">
        <f>'FINAL RESULT'!B452</f>
        <v>40563</v>
      </c>
      <c r="B452">
        <f>'FINAL RESULT'!M452</f>
        <v>152</v>
      </c>
    </row>
    <row r="453" spans="1:2">
      <c r="A453">
        <f>'FINAL RESULT'!B453</f>
        <v>40563</v>
      </c>
      <c r="B453">
        <f>'FINAL RESULT'!M453</f>
        <v>126</v>
      </c>
    </row>
    <row r="454" spans="1:2">
      <c r="A454">
        <f>'FINAL RESULT'!B454</f>
        <v>40563</v>
      </c>
      <c r="B454">
        <f>'FINAL RESULT'!M454</f>
        <v>57</v>
      </c>
    </row>
    <row r="455" spans="1:2">
      <c r="A455">
        <f>'FINAL RESULT'!B455</f>
        <v>40563</v>
      </c>
      <c r="B455">
        <f>'FINAL RESULT'!M455</f>
        <v>56</v>
      </c>
    </row>
    <row r="456" spans="1:2">
      <c r="A456">
        <f>'FINAL RESULT'!B456</f>
        <v>40563</v>
      </c>
      <c r="B456">
        <f>'FINAL RESULT'!M456</f>
        <v>31</v>
      </c>
    </row>
    <row r="457" spans="1:2">
      <c r="A457">
        <f>'FINAL RESULT'!B457</f>
        <v>40564</v>
      </c>
      <c r="B457">
        <f>'FINAL RESULT'!M457</f>
        <v>21</v>
      </c>
    </row>
    <row r="458" spans="1:2">
      <c r="A458">
        <f>'FINAL RESULT'!B458</f>
        <v>40564</v>
      </c>
      <c r="B458">
        <f>'FINAL RESULT'!M458</f>
        <v>6</v>
      </c>
    </row>
    <row r="459" spans="1:2">
      <c r="A459">
        <f>'FINAL RESULT'!B459</f>
        <v>40564</v>
      </c>
      <c r="B459">
        <f>'FINAL RESULT'!M459</f>
        <v>2</v>
      </c>
    </row>
    <row r="460" spans="1:2">
      <c r="A460">
        <f>'FINAL RESULT'!B460</f>
        <v>40564</v>
      </c>
      <c r="B460">
        <f>'FINAL RESULT'!M460</f>
        <v>1</v>
      </c>
    </row>
    <row r="461" spans="1:2">
      <c r="A461">
        <f>'FINAL RESULT'!B461</f>
        <v>40564</v>
      </c>
      <c r="B461">
        <f>'FINAL RESULT'!M461</f>
        <v>1</v>
      </c>
    </row>
    <row r="462" spans="1:2">
      <c r="A462">
        <f>'FINAL RESULT'!B462</f>
        <v>40564</v>
      </c>
      <c r="B462">
        <f>'FINAL RESULT'!M462</f>
        <v>5</v>
      </c>
    </row>
    <row r="463" spans="1:2">
      <c r="A463">
        <f>'FINAL RESULT'!B463</f>
        <v>40564</v>
      </c>
      <c r="B463">
        <f>'FINAL RESULT'!M463</f>
        <v>27</v>
      </c>
    </row>
    <row r="464" spans="1:2">
      <c r="A464">
        <f>'FINAL RESULT'!B464</f>
        <v>40564</v>
      </c>
      <c r="B464">
        <f>'FINAL RESULT'!M464</f>
        <v>68</v>
      </c>
    </row>
    <row r="465" spans="1:2">
      <c r="A465">
        <f>'FINAL RESULT'!B465</f>
        <v>40564</v>
      </c>
      <c r="B465">
        <f>'FINAL RESULT'!M465</f>
        <v>217</v>
      </c>
    </row>
    <row r="466" spans="1:2">
      <c r="A466">
        <f>'FINAL RESULT'!B466</f>
        <v>40564</v>
      </c>
      <c r="B466">
        <f>'FINAL RESULT'!M466</f>
        <v>166</v>
      </c>
    </row>
    <row r="467" spans="1:2">
      <c r="A467">
        <f>'FINAL RESULT'!B467</f>
        <v>40564</v>
      </c>
      <c r="B467">
        <f>'FINAL RESULT'!M467</f>
        <v>63</v>
      </c>
    </row>
    <row r="468" spans="1:2">
      <c r="A468">
        <f>'FINAL RESULT'!B468</f>
        <v>40564</v>
      </c>
      <c r="B468">
        <f>'FINAL RESULT'!M468</f>
        <v>59</v>
      </c>
    </row>
    <row r="469" spans="1:2">
      <c r="A469">
        <f>'FINAL RESULT'!B469</f>
        <v>40564</v>
      </c>
      <c r="B469">
        <f>'FINAL RESULT'!M469</f>
        <v>78</v>
      </c>
    </row>
    <row r="470" spans="1:2">
      <c r="A470">
        <f>'FINAL RESULT'!B470</f>
        <v>40564</v>
      </c>
      <c r="B470">
        <f>'FINAL RESULT'!M470</f>
        <v>73</v>
      </c>
    </row>
    <row r="471" spans="1:2">
      <c r="A471">
        <f>'FINAL RESULT'!B471</f>
        <v>40564</v>
      </c>
      <c r="B471">
        <f>'FINAL RESULT'!M471</f>
        <v>62</v>
      </c>
    </row>
    <row r="472" spans="1:2">
      <c r="A472">
        <f>'FINAL RESULT'!B472</f>
        <v>40564</v>
      </c>
      <c r="B472">
        <f>'FINAL RESULT'!M472</f>
        <v>65</v>
      </c>
    </row>
    <row r="473" spans="1:2">
      <c r="A473">
        <f>'FINAL RESULT'!B473</f>
        <v>40564</v>
      </c>
      <c r="B473">
        <f>'FINAL RESULT'!M473</f>
        <v>97</v>
      </c>
    </row>
    <row r="474" spans="1:2">
      <c r="A474">
        <f>'FINAL RESULT'!B474</f>
        <v>40564</v>
      </c>
      <c r="B474">
        <f>'FINAL RESULT'!M474</f>
        <v>161</v>
      </c>
    </row>
    <row r="475" spans="1:2">
      <c r="A475">
        <f>'FINAL RESULT'!B475</f>
        <v>40564</v>
      </c>
      <c r="B475">
        <f>'FINAL RESULT'!M475</f>
        <v>120</v>
      </c>
    </row>
    <row r="476" spans="1:2">
      <c r="A476">
        <f>'FINAL RESULT'!B476</f>
        <v>40564</v>
      </c>
      <c r="B476">
        <f>'FINAL RESULT'!M476</f>
        <v>96</v>
      </c>
    </row>
    <row r="477" spans="1:2">
      <c r="A477">
        <f>'FINAL RESULT'!B477</f>
        <v>40564</v>
      </c>
      <c r="B477">
        <f>'FINAL RESULT'!M477</f>
        <v>53</v>
      </c>
    </row>
    <row r="478" spans="1:2">
      <c r="A478">
        <f>'FINAL RESULT'!B478</f>
        <v>40564</v>
      </c>
      <c r="B478">
        <f>'FINAL RESULT'!M478</f>
        <v>41</v>
      </c>
    </row>
    <row r="479" spans="1:2">
      <c r="A479">
        <f>'FINAL RESULT'!B479</f>
        <v>40564</v>
      </c>
      <c r="B479">
        <f>'FINAL RESULT'!M479</f>
        <v>34</v>
      </c>
    </row>
    <row r="480" spans="1:2">
      <c r="A480">
        <f>'FINAL RESULT'!B480</f>
        <v>40564</v>
      </c>
      <c r="B480">
        <f>'FINAL RESULT'!M480</f>
        <v>27</v>
      </c>
    </row>
    <row r="481" spans="1:2">
      <c r="A481">
        <f>'FINAL RESULT'!B481</f>
        <v>40565</v>
      </c>
      <c r="B481">
        <f>'FINAL RESULT'!M481</f>
        <v>13</v>
      </c>
    </row>
    <row r="482" spans="1:2">
      <c r="A482">
        <f>'FINAL RESULT'!B482</f>
        <v>40565</v>
      </c>
      <c r="B482">
        <f>'FINAL RESULT'!M482</f>
        <v>12</v>
      </c>
    </row>
    <row r="483" spans="1:2">
      <c r="A483">
        <f>'FINAL RESULT'!B483</f>
        <v>40565</v>
      </c>
      <c r="B483">
        <f>'FINAL RESULT'!M483</f>
        <v>11</v>
      </c>
    </row>
    <row r="484" spans="1:2">
      <c r="A484">
        <f>'FINAL RESULT'!B484</f>
        <v>40565</v>
      </c>
      <c r="B484">
        <f>'FINAL RESULT'!M484</f>
        <v>7</v>
      </c>
    </row>
    <row r="485" spans="1:2">
      <c r="A485">
        <f>'FINAL RESULT'!B485</f>
        <v>40565</v>
      </c>
      <c r="B485">
        <f>'FINAL RESULT'!M485</f>
        <v>3</v>
      </c>
    </row>
    <row r="486" spans="1:2">
      <c r="A486">
        <f>'FINAL RESULT'!B486</f>
        <v>40565</v>
      </c>
      <c r="B486">
        <f>'FINAL RESULT'!M486</f>
        <v>2</v>
      </c>
    </row>
    <row r="487" spans="1:2">
      <c r="A487">
        <f>'FINAL RESULT'!B487</f>
        <v>40565</v>
      </c>
      <c r="B487">
        <f>'FINAL RESULT'!M487</f>
        <v>8</v>
      </c>
    </row>
    <row r="488" spans="1:2">
      <c r="A488">
        <f>'FINAL RESULT'!B488</f>
        <v>40565</v>
      </c>
      <c r="B488">
        <f>'FINAL RESULT'!M488</f>
        <v>27</v>
      </c>
    </row>
    <row r="489" spans="1:2">
      <c r="A489">
        <f>'FINAL RESULT'!B489</f>
        <v>40565</v>
      </c>
      <c r="B489">
        <f>'FINAL RESULT'!M489</f>
        <v>40</v>
      </c>
    </row>
    <row r="490" spans="1:2">
      <c r="A490">
        <f>'FINAL RESULT'!B490</f>
        <v>40565</v>
      </c>
      <c r="B490">
        <f>'FINAL RESULT'!M490</f>
        <v>53</v>
      </c>
    </row>
    <row r="491" spans="1:2">
      <c r="A491">
        <f>'FINAL RESULT'!B491</f>
        <v>40565</v>
      </c>
      <c r="B491">
        <f>'FINAL RESULT'!M491</f>
        <v>63</v>
      </c>
    </row>
    <row r="492" spans="1:2">
      <c r="A492">
        <f>'FINAL RESULT'!B492</f>
        <v>40565</v>
      </c>
      <c r="B492">
        <f>'FINAL RESULT'!M492</f>
        <v>70</v>
      </c>
    </row>
    <row r="493" spans="1:2">
      <c r="A493">
        <f>'FINAL RESULT'!B493</f>
        <v>40565</v>
      </c>
      <c r="B493">
        <f>'FINAL RESULT'!M493</f>
        <v>84</v>
      </c>
    </row>
    <row r="494" spans="1:2">
      <c r="A494">
        <f>'FINAL RESULT'!B494</f>
        <v>40565</v>
      </c>
      <c r="B494">
        <f>'FINAL RESULT'!M494</f>
        <v>75</v>
      </c>
    </row>
    <row r="495" spans="1:2">
      <c r="A495">
        <f>'FINAL RESULT'!B495</f>
        <v>40565</v>
      </c>
      <c r="B495">
        <f>'FINAL RESULT'!M495</f>
        <v>103</v>
      </c>
    </row>
    <row r="496" spans="1:2">
      <c r="A496">
        <f>'FINAL RESULT'!B496</f>
        <v>40565</v>
      </c>
      <c r="B496">
        <f>'FINAL RESULT'!M496</f>
        <v>83</v>
      </c>
    </row>
    <row r="497" spans="1:2">
      <c r="A497">
        <f>'FINAL RESULT'!B497</f>
        <v>40565</v>
      </c>
      <c r="B497">
        <f>'FINAL RESULT'!M497</f>
        <v>67</v>
      </c>
    </row>
    <row r="498" spans="1:2">
      <c r="A498">
        <f>'FINAL RESULT'!B498</f>
        <v>40565</v>
      </c>
      <c r="B498">
        <f>'FINAL RESULT'!M498</f>
        <v>54</v>
      </c>
    </row>
    <row r="499" spans="1:2">
      <c r="A499">
        <f>'FINAL RESULT'!B499</f>
        <v>40565</v>
      </c>
      <c r="B499">
        <f>'FINAL RESULT'!M499</f>
        <v>59</v>
      </c>
    </row>
    <row r="500" spans="1:2">
      <c r="A500">
        <f>'FINAL RESULT'!B500</f>
        <v>40565</v>
      </c>
      <c r="B500">
        <f>'FINAL RESULT'!M500</f>
        <v>45</v>
      </c>
    </row>
    <row r="501" spans="1:2">
      <c r="A501">
        <f>'FINAL RESULT'!B501</f>
        <v>40565</v>
      </c>
      <c r="B501">
        <f>'FINAL RESULT'!M501</f>
        <v>39</v>
      </c>
    </row>
    <row r="502" spans="1:2">
      <c r="A502">
        <f>'FINAL RESULT'!B502</f>
        <v>40565</v>
      </c>
      <c r="B502">
        <f>'FINAL RESULT'!M502</f>
        <v>30</v>
      </c>
    </row>
    <row r="503" spans="1:2">
      <c r="A503">
        <f>'FINAL RESULT'!B503</f>
        <v>40565</v>
      </c>
      <c r="B503">
        <f>'FINAL RESULT'!M503</f>
        <v>33</v>
      </c>
    </row>
    <row r="504" spans="1:2">
      <c r="A504">
        <f>'FINAL RESULT'!B504</f>
        <v>40566</v>
      </c>
      <c r="B504">
        <f>'FINAL RESULT'!M504</f>
        <v>22</v>
      </c>
    </row>
    <row r="505" spans="1:2">
      <c r="A505">
        <f>'FINAL RESULT'!B505</f>
        <v>40566</v>
      </c>
      <c r="B505">
        <f>'FINAL RESULT'!M505</f>
        <v>13</v>
      </c>
    </row>
    <row r="506" spans="1:2">
      <c r="A506">
        <f>'FINAL RESULT'!B506</f>
        <v>40566</v>
      </c>
      <c r="B506">
        <f>'FINAL RESULT'!M506</f>
        <v>18</v>
      </c>
    </row>
    <row r="507" spans="1:2">
      <c r="A507">
        <f>'FINAL RESULT'!B507</f>
        <v>40566</v>
      </c>
      <c r="B507">
        <f>'FINAL RESULT'!M507</f>
        <v>5</v>
      </c>
    </row>
    <row r="508" spans="1:2">
      <c r="A508">
        <f>'FINAL RESULT'!B508</f>
        <v>40566</v>
      </c>
      <c r="B508">
        <f>'FINAL RESULT'!M508</f>
        <v>3</v>
      </c>
    </row>
    <row r="509" spans="1:2">
      <c r="A509">
        <f>'FINAL RESULT'!B509</f>
        <v>40566</v>
      </c>
      <c r="B509">
        <f>'FINAL RESULT'!M509</f>
        <v>1</v>
      </c>
    </row>
    <row r="510" spans="1:2">
      <c r="A510">
        <f>'FINAL RESULT'!B510</f>
        <v>40566</v>
      </c>
      <c r="B510">
        <f>'FINAL RESULT'!M510</f>
        <v>2</v>
      </c>
    </row>
    <row r="511" spans="1:2">
      <c r="A511">
        <f>'FINAL RESULT'!B511</f>
        <v>40566</v>
      </c>
      <c r="B511">
        <f>'FINAL RESULT'!M511</f>
        <v>19</v>
      </c>
    </row>
    <row r="512" spans="1:2">
      <c r="A512">
        <f>'FINAL RESULT'!B512</f>
        <v>40566</v>
      </c>
      <c r="B512">
        <f>'FINAL RESULT'!M512</f>
        <v>28</v>
      </c>
    </row>
    <row r="513" spans="1:2">
      <c r="A513">
        <f>'FINAL RESULT'!B513</f>
        <v>40566</v>
      </c>
      <c r="B513">
        <f>'FINAL RESULT'!M513</f>
        <v>58</v>
      </c>
    </row>
    <row r="514" spans="1:2">
      <c r="A514">
        <f>'FINAL RESULT'!B514</f>
        <v>40566</v>
      </c>
      <c r="B514">
        <f>'FINAL RESULT'!M514</f>
        <v>99</v>
      </c>
    </row>
    <row r="515" spans="1:2">
      <c r="A515">
        <f>'FINAL RESULT'!B515</f>
        <v>40566</v>
      </c>
      <c r="B515">
        <f>'FINAL RESULT'!M515</f>
        <v>116</v>
      </c>
    </row>
    <row r="516" spans="1:2">
      <c r="A516">
        <f>'FINAL RESULT'!B516</f>
        <v>40566</v>
      </c>
      <c r="B516">
        <f>'FINAL RESULT'!M516</f>
        <v>87</v>
      </c>
    </row>
    <row r="517" spans="1:2">
      <c r="A517">
        <f>'FINAL RESULT'!B517</f>
        <v>40566</v>
      </c>
      <c r="B517">
        <f>'FINAL RESULT'!M517</f>
        <v>110</v>
      </c>
    </row>
    <row r="518" spans="1:2">
      <c r="A518">
        <f>'FINAL RESULT'!B518</f>
        <v>40566</v>
      </c>
      <c r="B518">
        <f>'FINAL RESULT'!M518</f>
        <v>77</v>
      </c>
    </row>
    <row r="519" spans="1:2">
      <c r="A519">
        <f>'FINAL RESULT'!B519</f>
        <v>40566</v>
      </c>
      <c r="B519">
        <f>'FINAL RESULT'!M519</f>
        <v>65</v>
      </c>
    </row>
    <row r="520" spans="1:2">
      <c r="A520">
        <f>'FINAL RESULT'!B520</f>
        <v>40566</v>
      </c>
      <c r="B520">
        <f>'FINAL RESULT'!M520</f>
        <v>55</v>
      </c>
    </row>
    <row r="521" spans="1:2">
      <c r="A521">
        <f>'FINAL RESULT'!B521</f>
        <v>40566</v>
      </c>
      <c r="B521">
        <f>'FINAL RESULT'!M521</f>
        <v>49</v>
      </c>
    </row>
    <row r="522" spans="1:2">
      <c r="A522">
        <f>'FINAL RESULT'!B522</f>
        <v>40566</v>
      </c>
      <c r="B522">
        <f>'FINAL RESULT'!M522</f>
        <v>50</v>
      </c>
    </row>
    <row r="523" spans="1:2">
      <c r="A523">
        <f>'FINAL RESULT'!B523</f>
        <v>40566</v>
      </c>
      <c r="B523">
        <f>'FINAL RESULT'!M523</f>
        <v>35</v>
      </c>
    </row>
    <row r="524" spans="1:2">
      <c r="A524">
        <f>'FINAL RESULT'!B524</f>
        <v>40566</v>
      </c>
      <c r="B524">
        <f>'FINAL RESULT'!M524</f>
        <v>25</v>
      </c>
    </row>
    <row r="525" spans="1:2">
      <c r="A525">
        <f>'FINAL RESULT'!B525</f>
        <v>40566</v>
      </c>
      <c r="B525">
        <f>'FINAL RESULT'!M525</f>
        <v>28</v>
      </c>
    </row>
    <row r="526" spans="1:2">
      <c r="A526">
        <f>'FINAL RESULT'!B526</f>
        <v>40566</v>
      </c>
      <c r="B526">
        <f>'FINAL RESULT'!M526</f>
        <v>21</v>
      </c>
    </row>
    <row r="527" spans="1:2">
      <c r="A527">
        <f>'FINAL RESULT'!B527</f>
        <v>40567</v>
      </c>
      <c r="B527">
        <f>'FINAL RESULT'!M527</f>
        <v>7</v>
      </c>
    </row>
    <row r="528" spans="1:2">
      <c r="A528">
        <f>'FINAL RESULT'!B528</f>
        <v>40567</v>
      </c>
      <c r="B528">
        <f>'FINAL RESULT'!M528</f>
        <v>1</v>
      </c>
    </row>
    <row r="529" spans="1:2">
      <c r="A529">
        <f>'FINAL RESULT'!B529</f>
        <v>40567</v>
      </c>
      <c r="B529">
        <f>'FINAL RESULT'!M529</f>
        <v>1</v>
      </c>
    </row>
    <row r="530" spans="1:2">
      <c r="A530">
        <f>'FINAL RESULT'!B530</f>
        <v>40567</v>
      </c>
      <c r="B530">
        <f>'FINAL RESULT'!M530</f>
        <v>1</v>
      </c>
    </row>
    <row r="531" spans="1:2">
      <c r="A531">
        <f>'FINAL RESULT'!B531</f>
        <v>40567</v>
      </c>
      <c r="B531">
        <f>'FINAL RESULT'!M531</f>
        <v>5</v>
      </c>
    </row>
    <row r="532" spans="1:2">
      <c r="A532">
        <f>'FINAL RESULT'!B532</f>
        <v>40567</v>
      </c>
      <c r="B532">
        <f>'FINAL RESULT'!M532</f>
        <v>15</v>
      </c>
    </row>
    <row r="533" spans="1:2">
      <c r="A533">
        <f>'FINAL RESULT'!B533</f>
        <v>40567</v>
      </c>
      <c r="B533">
        <f>'FINAL RESULT'!M533</f>
        <v>84</v>
      </c>
    </row>
    <row r="534" spans="1:2">
      <c r="A534">
        <f>'FINAL RESULT'!B534</f>
        <v>40567</v>
      </c>
      <c r="B534">
        <f>'FINAL RESULT'!M534</f>
        <v>177</v>
      </c>
    </row>
    <row r="535" spans="1:2">
      <c r="A535">
        <f>'FINAL RESULT'!B535</f>
        <v>40567</v>
      </c>
      <c r="B535">
        <f>'FINAL RESULT'!M535</f>
        <v>102</v>
      </c>
    </row>
    <row r="536" spans="1:2">
      <c r="A536">
        <f>'FINAL RESULT'!B536</f>
        <v>40567</v>
      </c>
      <c r="B536">
        <f>'FINAL RESULT'!M536</f>
        <v>40</v>
      </c>
    </row>
    <row r="537" spans="1:2">
      <c r="A537">
        <f>'FINAL RESULT'!B537</f>
        <v>40567</v>
      </c>
      <c r="B537">
        <f>'FINAL RESULT'!M537</f>
        <v>46</v>
      </c>
    </row>
    <row r="538" spans="1:2">
      <c r="A538">
        <f>'FINAL RESULT'!B538</f>
        <v>40567</v>
      </c>
      <c r="B538">
        <f>'FINAL RESULT'!M538</f>
        <v>63</v>
      </c>
    </row>
    <row r="539" spans="1:2">
      <c r="A539">
        <f>'FINAL RESULT'!B539</f>
        <v>40567</v>
      </c>
      <c r="B539">
        <f>'FINAL RESULT'!M539</f>
        <v>60</v>
      </c>
    </row>
    <row r="540" spans="1:2">
      <c r="A540">
        <f>'FINAL RESULT'!B540</f>
        <v>40567</v>
      </c>
      <c r="B540">
        <f>'FINAL RESULT'!M540</f>
        <v>45</v>
      </c>
    </row>
    <row r="541" spans="1:2">
      <c r="A541">
        <f>'FINAL RESULT'!B541</f>
        <v>40567</v>
      </c>
      <c r="B541">
        <f>'FINAL RESULT'!M541</f>
        <v>57</v>
      </c>
    </row>
    <row r="542" spans="1:2">
      <c r="A542">
        <f>'FINAL RESULT'!B542</f>
        <v>40567</v>
      </c>
      <c r="B542">
        <f>'FINAL RESULT'!M542</f>
        <v>70</v>
      </c>
    </row>
    <row r="543" spans="1:2">
      <c r="A543">
        <f>'FINAL RESULT'!B543</f>
        <v>40567</v>
      </c>
      <c r="B543">
        <f>'FINAL RESULT'!M543</f>
        <v>184</v>
      </c>
    </row>
    <row r="544" spans="1:2">
      <c r="A544">
        <f>'FINAL RESULT'!B544</f>
        <v>40567</v>
      </c>
      <c r="B544">
        <f>'FINAL RESULT'!M544</f>
        <v>153</v>
      </c>
    </row>
    <row r="545" spans="1:2">
      <c r="A545">
        <f>'FINAL RESULT'!B545</f>
        <v>40567</v>
      </c>
      <c r="B545">
        <f>'FINAL RESULT'!M545</f>
        <v>106</v>
      </c>
    </row>
    <row r="546" spans="1:2">
      <c r="A546">
        <f>'FINAL RESULT'!B546</f>
        <v>40567</v>
      </c>
      <c r="B546">
        <f>'FINAL RESULT'!M546</f>
        <v>81</v>
      </c>
    </row>
    <row r="547" spans="1:2">
      <c r="A547">
        <f>'FINAL RESULT'!B547</f>
        <v>40567</v>
      </c>
      <c r="B547">
        <f>'FINAL RESULT'!M547</f>
        <v>59</v>
      </c>
    </row>
    <row r="548" spans="1:2">
      <c r="A548">
        <f>'FINAL RESULT'!B548</f>
        <v>40567</v>
      </c>
      <c r="B548">
        <f>'FINAL RESULT'!M548</f>
        <v>35</v>
      </c>
    </row>
    <row r="549" spans="1:2">
      <c r="A549">
        <f>'FINAL RESULT'!B549</f>
        <v>40567</v>
      </c>
      <c r="B549">
        <f>'FINAL RESULT'!M549</f>
        <v>24</v>
      </c>
    </row>
    <row r="550" spans="1:2">
      <c r="A550">
        <f>'FINAL RESULT'!B550</f>
        <v>40568</v>
      </c>
      <c r="B550">
        <f>'FINAL RESULT'!M550</f>
        <v>9</v>
      </c>
    </row>
    <row r="551" spans="1:2">
      <c r="A551">
        <f>'FINAL RESULT'!B551</f>
        <v>40568</v>
      </c>
      <c r="B551">
        <f>'FINAL RESULT'!M551</f>
        <v>5</v>
      </c>
    </row>
    <row r="552" spans="1:2">
      <c r="A552">
        <f>'FINAL RESULT'!B552</f>
        <v>40568</v>
      </c>
      <c r="B552">
        <f>'FINAL RESULT'!M552</f>
        <v>2</v>
      </c>
    </row>
    <row r="553" spans="1:2">
      <c r="A553">
        <f>'FINAL RESULT'!B553</f>
        <v>40568</v>
      </c>
      <c r="B553">
        <f>'FINAL RESULT'!M553</f>
        <v>1</v>
      </c>
    </row>
    <row r="554" spans="1:2">
      <c r="A554">
        <f>'FINAL RESULT'!B554</f>
        <v>40568</v>
      </c>
      <c r="B554">
        <f>'FINAL RESULT'!M554</f>
        <v>9</v>
      </c>
    </row>
    <row r="555" spans="1:2">
      <c r="A555">
        <f>'FINAL RESULT'!B555</f>
        <v>40568</v>
      </c>
      <c r="B555">
        <f>'FINAL RESULT'!M555</f>
        <v>36</v>
      </c>
    </row>
    <row r="556" spans="1:2">
      <c r="A556">
        <f>'FINAL RESULT'!B556</f>
        <v>40568</v>
      </c>
      <c r="B556">
        <f>'FINAL RESULT'!M556</f>
        <v>108</v>
      </c>
    </row>
    <row r="557" spans="1:2">
      <c r="A557">
        <f>'FINAL RESULT'!B557</f>
        <v>40568</v>
      </c>
      <c r="B557">
        <f>'FINAL RESULT'!M557</f>
        <v>238</v>
      </c>
    </row>
    <row r="558" spans="1:2">
      <c r="A558">
        <f>'FINAL RESULT'!B558</f>
        <v>40568</v>
      </c>
      <c r="B558">
        <f>'FINAL RESULT'!M558</f>
        <v>144</v>
      </c>
    </row>
    <row r="559" spans="1:2">
      <c r="A559">
        <f>'FINAL RESULT'!B559</f>
        <v>40568</v>
      </c>
      <c r="B559">
        <f>'FINAL RESULT'!M559</f>
        <v>55</v>
      </c>
    </row>
    <row r="560" spans="1:2">
      <c r="A560">
        <f>'FINAL RESULT'!B560</f>
        <v>40568</v>
      </c>
      <c r="B560">
        <f>'FINAL RESULT'!M560</f>
        <v>61</v>
      </c>
    </row>
    <row r="561" spans="1:2">
      <c r="A561">
        <f>'FINAL RESULT'!B561</f>
        <v>40568</v>
      </c>
      <c r="B561">
        <f>'FINAL RESULT'!M561</f>
        <v>106</v>
      </c>
    </row>
    <row r="562" spans="1:2">
      <c r="A562">
        <f>'FINAL RESULT'!B562</f>
        <v>40568</v>
      </c>
      <c r="B562">
        <f>'FINAL RESULT'!M562</f>
        <v>93</v>
      </c>
    </row>
    <row r="563" spans="1:2">
      <c r="A563">
        <f>'FINAL RESULT'!B563</f>
        <v>40568</v>
      </c>
      <c r="B563">
        <f>'FINAL RESULT'!M563</f>
        <v>68</v>
      </c>
    </row>
    <row r="564" spans="1:2">
      <c r="A564">
        <f>'FINAL RESULT'!B564</f>
        <v>40568</v>
      </c>
      <c r="B564">
        <f>'FINAL RESULT'!M564</f>
        <v>84</v>
      </c>
    </row>
    <row r="565" spans="1:2">
      <c r="A565">
        <f>'FINAL RESULT'!B565</f>
        <v>40568</v>
      </c>
      <c r="B565">
        <f>'FINAL RESULT'!M565</f>
        <v>116</v>
      </c>
    </row>
    <row r="566" spans="1:2">
      <c r="A566">
        <f>'FINAL RESULT'!B566</f>
        <v>40568</v>
      </c>
      <c r="B566">
        <f>'FINAL RESULT'!M566</f>
        <v>222</v>
      </c>
    </row>
    <row r="567" spans="1:2">
      <c r="A567">
        <f>'FINAL RESULT'!B567</f>
        <v>40568</v>
      </c>
      <c r="B567">
        <f>'FINAL RESULT'!M567</f>
        <v>225</v>
      </c>
    </row>
    <row r="568" spans="1:2">
      <c r="A568">
        <f>'FINAL RESULT'!B568</f>
        <v>40568</v>
      </c>
      <c r="B568">
        <f>'FINAL RESULT'!M568</f>
        <v>146</v>
      </c>
    </row>
    <row r="569" spans="1:2">
      <c r="A569">
        <f>'FINAL RESULT'!B569</f>
        <v>40568</v>
      </c>
      <c r="B569">
        <f>'FINAL RESULT'!M569</f>
        <v>119</v>
      </c>
    </row>
    <row r="570" spans="1:2">
      <c r="A570">
        <f>'FINAL RESULT'!B570</f>
        <v>40568</v>
      </c>
      <c r="B570">
        <f>'FINAL RESULT'!M570</f>
        <v>45</v>
      </c>
    </row>
    <row r="571" spans="1:2">
      <c r="A571">
        <f>'FINAL RESULT'!B571</f>
        <v>40568</v>
      </c>
      <c r="B571">
        <f>'FINAL RESULT'!M571</f>
        <v>53</v>
      </c>
    </row>
    <row r="572" spans="1:2">
      <c r="A572">
        <f>'FINAL RESULT'!B572</f>
        <v>40568</v>
      </c>
      <c r="B572">
        <f>'FINAL RESULT'!M572</f>
        <v>40</v>
      </c>
    </row>
    <row r="573" spans="1:2">
      <c r="A573">
        <f>'FINAL RESULT'!B573</f>
        <v>40569</v>
      </c>
      <c r="B573">
        <f>'FINAL RESULT'!M573</f>
        <v>17</v>
      </c>
    </row>
    <row r="574" spans="1:2">
      <c r="A574">
        <f>'FINAL RESULT'!B574</f>
        <v>40569</v>
      </c>
      <c r="B574">
        <f>'FINAL RESULT'!M574</f>
        <v>5</v>
      </c>
    </row>
    <row r="575" spans="1:2">
      <c r="A575">
        <f>'FINAL RESULT'!B575</f>
        <v>40569</v>
      </c>
      <c r="B575">
        <f>'FINAL RESULT'!M575</f>
        <v>10</v>
      </c>
    </row>
    <row r="576" spans="1:2">
      <c r="A576">
        <f>'FINAL RESULT'!B576</f>
        <v>40569</v>
      </c>
      <c r="B576">
        <f>'FINAL RESULT'!M576</f>
        <v>1</v>
      </c>
    </row>
    <row r="577" spans="1:2">
      <c r="A577">
        <f>'FINAL RESULT'!B577</f>
        <v>40569</v>
      </c>
      <c r="B577">
        <f>'FINAL RESULT'!M577</f>
        <v>8</v>
      </c>
    </row>
    <row r="578" spans="1:2">
      <c r="A578">
        <f>'FINAL RESULT'!B578</f>
        <v>40569</v>
      </c>
      <c r="B578">
        <f>'FINAL RESULT'!M578</f>
        <v>30</v>
      </c>
    </row>
    <row r="579" spans="1:2">
      <c r="A579">
        <f>'FINAL RESULT'!B579</f>
        <v>40569</v>
      </c>
      <c r="B579">
        <f>'FINAL RESULT'!M579</f>
        <v>72</v>
      </c>
    </row>
    <row r="580" spans="1:2">
      <c r="A580">
        <f>'FINAL RESULT'!B580</f>
        <v>40569</v>
      </c>
      <c r="B580">
        <f>'FINAL RESULT'!M580</f>
        <v>58</v>
      </c>
    </row>
    <row r="581" spans="1:2">
      <c r="A581">
        <f>'FINAL RESULT'!B581</f>
        <v>40569</v>
      </c>
      <c r="B581">
        <f>'FINAL RESULT'!M581</f>
        <v>28</v>
      </c>
    </row>
    <row r="582" spans="1:2">
      <c r="A582">
        <f>'FINAL RESULT'!B582</f>
        <v>40569</v>
      </c>
      <c r="B582">
        <f>'FINAL RESULT'!M582</f>
        <v>41</v>
      </c>
    </row>
    <row r="583" spans="1:2">
      <c r="A583">
        <f>'FINAL RESULT'!B583</f>
        <v>40569</v>
      </c>
      <c r="B583">
        <f>'FINAL RESULT'!M583</f>
        <v>48</v>
      </c>
    </row>
    <row r="584" spans="1:2">
      <c r="A584">
        <f>'FINAL RESULT'!B584</f>
        <v>40569</v>
      </c>
      <c r="B584">
        <f>'FINAL RESULT'!M584</f>
        <v>47</v>
      </c>
    </row>
    <row r="585" spans="1:2">
      <c r="A585">
        <f>'FINAL RESULT'!B585</f>
        <v>40569</v>
      </c>
      <c r="B585">
        <f>'FINAL RESULT'!M585</f>
        <v>36</v>
      </c>
    </row>
    <row r="586" spans="1:2">
      <c r="A586">
        <f>'FINAL RESULT'!B586</f>
        <v>40569</v>
      </c>
      <c r="B586">
        <f>'FINAL RESULT'!M586</f>
        <v>43</v>
      </c>
    </row>
    <row r="587" spans="1:2">
      <c r="A587">
        <f>'FINAL RESULT'!B587</f>
        <v>40569</v>
      </c>
      <c r="B587">
        <f>'FINAL RESULT'!M587</f>
        <v>36</v>
      </c>
    </row>
    <row r="588" spans="1:2">
      <c r="A588">
        <f>'FINAL RESULT'!B588</f>
        <v>40569</v>
      </c>
      <c r="B588">
        <f>'FINAL RESULT'!M588</f>
        <v>26</v>
      </c>
    </row>
    <row r="589" spans="1:2">
      <c r="A589">
        <f>'FINAL RESULT'!B589</f>
        <v>40570</v>
      </c>
      <c r="B589">
        <f>'FINAL RESULT'!M589</f>
        <v>24</v>
      </c>
    </row>
    <row r="590" spans="1:2">
      <c r="A590">
        <f>'FINAL RESULT'!B590</f>
        <v>40570</v>
      </c>
      <c r="B590">
        <f>'FINAL RESULT'!M590</f>
        <v>84</v>
      </c>
    </row>
    <row r="591" spans="1:2">
      <c r="A591">
        <f>'FINAL RESULT'!B591</f>
        <v>40570</v>
      </c>
      <c r="B591">
        <f>'FINAL RESULT'!M591</f>
        <v>104</v>
      </c>
    </row>
    <row r="592" spans="1:2">
      <c r="A592">
        <f>'FINAL RESULT'!B592</f>
        <v>40570</v>
      </c>
      <c r="B592">
        <f>'FINAL RESULT'!M592</f>
        <v>79</v>
      </c>
    </row>
    <row r="593" spans="1:2">
      <c r="A593">
        <f>'FINAL RESULT'!B593</f>
        <v>40570</v>
      </c>
      <c r="B593">
        <f>'FINAL RESULT'!M593</f>
        <v>59</v>
      </c>
    </row>
    <row r="594" spans="1:2">
      <c r="A594">
        <f>'FINAL RESULT'!B594</f>
        <v>40570</v>
      </c>
      <c r="B594">
        <f>'FINAL RESULT'!M594</f>
        <v>38</v>
      </c>
    </row>
    <row r="595" spans="1:2">
      <c r="A595">
        <f>'FINAL RESULT'!B595</f>
        <v>40570</v>
      </c>
      <c r="B595">
        <f>'FINAL RESULT'!M595</f>
        <v>27</v>
      </c>
    </row>
    <row r="596" spans="1:2">
      <c r="A596">
        <f>'FINAL RESULT'!B596</f>
        <v>40570</v>
      </c>
      <c r="B596">
        <f>'FINAL RESULT'!M596</f>
        <v>16</v>
      </c>
    </row>
    <row r="597" spans="1:2">
      <c r="A597">
        <f>'FINAL RESULT'!B597</f>
        <v>40571</v>
      </c>
      <c r="B597">
        <f>'FINAL RESULT'!M597</f>
        <v>9</v>
      </c>
    </row>
    <row r="598" spans="1:2">
      <c r="A598">
        <f>'FINAL RESULT'!B598</f>
        <v>40571</v>
      </c>
      <c r="B598">
        <f>'FINAL RESULT'!M598</f>
        <v>3</v>
      </c>
    </row>
    <row r="599" spans="1:2">
      <c r="A599">
        <f>'FINAL RESULT'!B599</f>
        <v>40571</v>
      </c>
      <c r="B599">
        <f>'FINAL RESULT'!M599</f>
        <v>2</v>
      </c>
    </row>
    <row r="600" spans="1:2">
      <c r="A600">
        <f>'FINAL RESULT'!B600</f>
        <v>40571</v>
      </c>
      <c r="B600">
        <f>'FINAL RESULT'!M600</f>
        <v>1</v>
      </c>
    </row>
    <row r="601" spans="1:2">
      <c r="A601">
        <f>'FINAL RESULT'!B601</f>
        <v>40571</v>
      </c>
      <c r="B601">
        <f>'FINAL RESULT'!M601</f>
        <v>4</v>
      </c>
    </row>
    <row r="602" spans="1:2">
      <c r="A602">
        <f>'FINAL RESULT'!B602</f>
        <v>40571</v>
      </c>
      <c r="B602">
        <f>'FINAL RESULT'!M602</f>
        <v>16</v>
      </c>
    </row>
    <row r="603" spans="1:2">
      <c r="A603">
        <f>'FINAL RESULT'!B603</f>
        <v>40571</v>
      </c>
      <c r="B603">
        <f>'FINAL RESULT'!M603</f>
        <v>60</v>
      </c>
    </row>
    <row r="604" spans="1:2">
      <c r="A604">
        <f>'FINAL RESULT'!B604</f>
        <v>40571</v>
      </c>
      <c r="B604">
        <f>'FINAL RESULT'!M604</f>
        <v>157</v>
      </c>
    </row>
    <row r="605" spans="1:2">
      <c r="A605">
        <f>'FINAL RESULT'!B605</f>
        <v>40571</v>
      </c>
      <c r="B605">
        <f>'FINAL RESULT'!M605</f>
        <v>101</v>
      </c>
    </row>
    <row r="606" spans="1:2">
      <c r="A606">
        <f>'FINAL RESULT'!B606</f>
        <v>40571</v>
      </c>
      <c r="B606">
        <f>'FINAL RESULT'!M606</f>
        <v>49</v>
      </c>
    </row>
    <row r="607" spans="1:2">
      <c r="A607">
        <f>'FINAL RESULT'!B607</f>
        <v>40571</v>
      </c>
      <c r="B607">
        <f>'FINAL RESULT'!M607</f>
        <v>30</v>
      </c>
    </row>
    <row r="608" spans="1:2">
      <c r="A608">
        <f>'FINAL RESULT'!B608</f>
        <v>40571</v>
      </c>
      <c r="B608">
        <f>'FINAL RESULT'!M608</f>
        <v>29</v>
      </c>
    </row>
    <row r="609" spans="1:2">
      <c r="A609">
        <f>'FINAL RESULT'!B609</f>
        <v>40571</v>
      </c>
      <c r="B609">
        <f>'FINAL RESULT'!M609</f>
        <v>31</v>
      </c>
    </row>
    <row r="610" spans="1:2">
      <c r="A610">
        <f>'FINAL RESULT'!B610</f>
        <v>40571</v>
      </c>
      <c r="B610">
        <f>'FINAL RESULT'!M610</f>
        <v>38</v>
      </c>
    </row>
    <row r="611" spans="1:2">
      <c r="A611">
        <f>'FINAL RESULT'!B611</f>
        <v>40571</v>
      </c>
      <c r="B611">
        <f>'FINAL RESULT'!M611</f>
        <v>41</v>
      </c>
    </row>
    <row r="612" spans="1:2">
      <c r="A612">
        <f>'FINAL RESULT'!B612</f>
        <v>40572</v>
      </c>
      <c r="B612">
        <f>'FINAL RESULT'!M612</f>
        <v>20</v>
      </c>
    </row>
    <row r="613" spans="1:2">
      <c r="A613">
        <f>'FINAL RESULT'!B613</f>
        <v>40572</v>
      </c>
      <c r="B613">
        <f>'FINAL RESULT'!M613</f>
        <v>15</v>
      </c>
    </row>
    <row r="614" spans="1:2">
      <c r="A614">
        <f>'FINAL RESULT'!B614</f>
        <v>40572</v>
      </c>
      <c r="B614">
        <f>'FINAL RESULT'!M614</f>
        <v>8</v>
      </c>
    </row>
    <row r="615" spans="1:2">
      <c r="A615">
        <f>'FINAL RESULT'!B615</f>
        <v>40572</v>
      </c>
      <c r="B615">
        <f>'FINAL RESULT'!M615</f>
        <v>3</v>
      </c>
    </row>
    <row r="616" spans="1:2">
      <c r="A616">
        <f>'FINAL RESULT'!B616</f>
        <v>40572</v>
      </c>
      <c r="B616">
        <f>'FINAL RESULT'!M616</f>
        <v>2</v>
      </c>
    </row>
    <row r="617" spans="1:2">
      <c r="A617">
        <f>'FINAL RESULT'!B617</f>
        <v>40572</v>
      </c>
      <c r="B617">
        <f>'FINAL RESULT'!M617</f>
        <v>5</v>
      </c>
    </row>
    <row r="618" spans="1:2">
      <c r="A618">
        <f>'FINAL RESULT'!B618</f>
        <v>40572</v>
      </c>
      <c r="B618">
        <f>'FINAL RESULT'!M618</f>
        <v>34</v>
      </c>
    </row>
    <row r="619" spans="1:2">
      <c r="A619">
        <f>'FINAL RESULT'!B619</f>
        <v>40572</v>
      </c>
      <c r="B619">
        <f>'FINAL RESULT'!M619</f>
        <v>34</v>
      </c>
    </row>
    <row r="620" spans="1:2">
      <c r="A620">
        <f>'FINAL RESULT'!B620</f>
        <v>40572</v>
      </c>
      <c r="B620">
        <f>'FINAL RESULT'!M620</f>
        <v>55</v>
      </c>
    </row>
    <row r="621" spans="1:2">
      <c r="A621">
        <f>'FINAL RESULT'!B621</f>
        <v>40572</v>
      </c>
      <c r="B621">
        <f>'FINAL RESULT'!M621</f>
        <v>64</v>
      </c>
    </row>
    <row r="622" spans="1:2">
      <c r="A622">
        <f>'FINAL RESULT'!B622</f>
        <v>40572</v>
      </c>
      <c r="B622">
        <f>'FINAL RESULT'!M622</f>
        <v>78</v>
      </c>
    </row>
    <row r="623" spans="1:2">
      <c r="A623">
        <f>'FINAL RESULT'!B623</f>
        <v>40572</v>
      </c>
      <c r="B623">
        <f>'FINAL RESULT'!M623</f>
        <v>65</v>
      </c>
    </row>
    <row r="624" spans="1:2">
      <c r="A624">
        <f>'FINAL RESULT'!B624</f>
        <v>40572</v>
      </c>
      <c r="B624">
        <f>'FINAL RESULT'!M624</f>
        <v>99</v>
      </c>
    </row>
    <row r="625" spans="1:2">
      <c r="A625">
        <f>'FINAL RESULT'!B625</f>
        <v>40572</v>
      </c>
      <c r="B625">
        <f>'FINAL RESULT'!M625</f>
        <v>120</v>
      </c>
    </row>
    <row r="626" spans="1:2">
      <c r="A626">
        <f>'FINAL RESULT'!B626</f>
        <v>40572</v>
      </c>
      <c r="B626">
        <f>'FINAL RESULT'!M626</f>
        <v>107</v>
      </c>
    </row>
    <row r="627" spans="1:2">
      <c r="A627">
        <f>'FINAL RESULT'!B627</f>
        <v>40572</v>
      </c>
      <c r="B627">
        <f>'FINAL RESULT'!M627</f>
        <v>91</v>
      </c>
    </row>
    <row r="628" spans="1:2">
      <c r="A628">
        <f>'FINAL RESULT'!B628</f>
        <v>40572</v>
      </c>
      <c r="B628">
        <f>'FINAL RESULT'!M628</f>
        <v>68</v>
      </c>
    </row>
    <row r="629" spans="1:2">
      <c r="A629">
        <f>'FINAL RESULT'!B629</f>
        <v>40572</v>
      </c>
      <c r="B629">
        <f>'FINAL RESULT'!M629</f>
        <v>58</v>
      </c>
    </row>
    <row r="630" spans="1:2">
      <c r="A630">
        <f>'FINAL RESULT'!B630</f>
        <v>40572</v>
      </c>
      <c r="B630">
        <f>'FINAL RESULT'!M630</f>
        <v>43</v>
      </c>
    </row>
    <row r="631" spans="1:2">
      <c r="A631">
        <f>'FINAL RESULT'!B631</f>
        <v>40572</v>
      </c>
      <c r="B631">
        <f>'FINAL RESULT'!M631</f>
        <v>36</v>
      </c>
    </row>
    <row r="632" spans="1:2">
      <c r="A632">
        <f>'FINAL RESULT'!B632</f>
        <v>40572</v>
      </c>
      <c r="B632">
        <f>'FINAL RESULT'!M632</f>
        <v>32</v>
      </c>
    </row>
    <row r="633" spans="1:2">
      <c r="A633">
        <f>'FINAL RESULT'!B633</f>
        <v>40572</v>
      </c>
      <c r="B633">
        <f>'FINAL RESULT'!M633</f>
        <v>33</v>
      </c>
    </row>
    <row r="634" spans="1:2">
      <c r="A634">
        <f>'FINAL RESULT'!B634</f>
        <v>40573</v>
      </c>
      <c r="B634">
        <f>'FINAL RESULT'!M634</f>
        <v>33</v>
      </c>
    </row>
    <row r="635" spans="1:2">
      <c r="A635">
        <f>'FINAL RESULT'!B635</f>
        <v>40573</v>
      </c>
      <c r="B635">
        <f>'FINAL RESULT'!M635</f>
        <v>29</v>
      </c>
    </row>
    <row r="636" spans="1:2">
      <c r="A636">
        <f>'FINAL RESULT'!B636</f>
        <v>40573</v>
      </c>
      <c r="B636">
        <f>'FINAL RESULT'!M636</f>
        <v>11</v>
      </c>
    </row>
    <row r="637" spans="1:2">
      <c r="A637">
        <f>'FINAL RESULT'!B637</f>
        <v>40573</v>
      </c>
      <c r="B637">
        <f>'FINAL RESULT'!M637</f>
        <v>8</v>
      </c>
    </row>
    <row r="638" spans="1:2">
      <c r="A638">
        <f>'FINAL RESULT'!B638</f>
        <v>40573</v>
      </c>
      <c r="B638">
        <f>'FINAL RESULT'!M638</f>
        <v>1</v>
      </c>
    </row>
    <row r="639" spans="1:2">
      <c r="A639">
        <f>'FINAL RESULT'!B639</f>
        <v>40573</v>
      </c>
      <c r="B639">
        <f>'FINAL RESULT'!M639</f>
        <v>3</v>
      </c>
    </row>
    <row r="640" spans="1:2">
      <c r="A640">
        <f>'FINAL RESULT'!B640</f>
        <v>40573</v>
      </c>
      <c r="B640">
        <f>'FINAL RESULT'!M640</f>
        <v>3</v>
      </c>
    </row>
    <row r="641" spans="1:2">
      <c r="A641">
        <f>'FINAL RESULT'!B641</f>
        <v>40573</v>
      </c>
      <c r="B641">
        <f>'FINAL RESULT'!M641</f>
        <v>12</v>
      </c>
    </row>
    <row r="642" spans="1:2">
      <c r="A642">
        <f>'FINAL RESULT'!B642</f>
        <v>40573</v>
      </c>
      <c r="B642">
        <f>'FINAL RESULT'!M642</f>
        <v>38</v>
      </c>
    </row>
    <row r="643" spans="1:2">
      <c r="A643">
        <f>'FINAL RESULT'!B643</f>
        <v>40573</v>
      </c>
      <c r="B643">
        <f>'FINAL RESULT'!M643</f>
        <v>64</v>
      </c>
    </row>
    <row r="644" spans="1:2">
      <c r="A644">
        <f>'FINAL RESULT'!B644</f>
        <v>40573</v>
      </c>
      <c r="B644">
        <f>'FINAL RESULT'!M644</f>
        <v>59</v>
      </c>
    </row>
    <row r="645" spans="1:2">
      <c r="A645">
        <f>'FINAL RESULT'!B645</f>
        <v>40573</v>
      </c>
      <c r="B645">
        <f>'FINAL RESULT'!M645</f>
        <v>97</v>
      </c>
    </row>
    <row r="646" spans="1:2">
      <c r="A646">
        <f>'FINAL RESULT'!B646</f>
        <v>40573</v>
      </c>
      <c r="B646">
        <f>'FINAL RESULT'!M646</f>
        <v>84</v>
      </c>
    </row>
    <row r="647" spans="1:2">
      <c r="A647">
        <f>'FINAL RESULT'!B647</f>
        <v>40573</v>
      </c>
      <c r="B647">
        <f>'FINAL RESULT'!M647</f>
        <v>122</v>
      </c>
    </row>
    <row r="648" spans="1:2">
      <c r="A648">
        <f>'FINAL RESULT'!B648</f>
        <v>40573</v>
      </c>
      <c r="B648">
        <f>'FINAL RESULT'!M648</f>
        <v>109</v>
      </c>
    </row>
    <row r="649" spans="1:2">
      <c r="A649">
        <f>'FINAL RESULT'!B649</f>
        <v>40573</v>
      </c>
      <c r="B649">
        <f>'FINAL RESULT'!M649</f>
        <v>123</v>
      </c>
    </row>
    <row r="650" spans="1:2">
      <c r="A650">
        <f>'FINAL RESULT'!B650</f>
        <v>40573</v>
      </c>
      <c r="B650">
        <f>'FINAL RESULT'!M650</f>
        <v>77</v>
      </c>
    </row>
    <row r="651" spans="1:2">
      <c r="A651">
        <f>'FINAL RESULT'!B651</f>
        <v>40573</v>
      </c>
      <c r="B651">
        <f>'FINAL RESULT'!M651</f>
        <v>65</v>
      </c>
    </row>
    <row r="652" spans="1:2">
      <c r="A652">
        <f>'FINAL RESULT'!B652</f>
        <v>40573</v>
      </c>
      <c r="B652">
        <f>'FINAL RESULT'!M652</f>
        <v>55</v>
      </c>
    </row>
    <row r="653" spans="1:2">
      <c r="A653">
        <f>'FINAL RESULT'!B653</f>
        <v>40573</v>
      </c>
      <c r="B653">
        <f>'FINAL RESULT'!M653</f>
        <v>33</v>
      </c>
    </row>
    <row r="654" spans="1:2">
      <c r="A654">
        <f>'FINAL RESULT'!B654</f>
        <v>40573</v>
      </c>
      <c r="B654">
        <f>'FINAL RESULT'!M654</f>
        <v>28</v>
      </c>
    </row>
    <row r="655" spans="1:2">
      <c r="A655">
        <f>'FINAL RESULT'!B655</f>
        <v>40573</v>
      </c>
      <c r="B655">
        <f>'FINAL RESULT'!M655</f>
        <v>21</v>
      </c>
    </row>
    <row r="656" spans="1:2">
      <c r="A656">
        <f>'FINAL RESULT'!B656</f>
        <v>40573</v>
      </c>
      <c r="B656">
        <f>'FINAL RESULT'!M656</f>
        <v>21</v>
      </c>
    </row>
    <row r="657" spans="1:2">
      <c r="A657">
        <f>'FINAL RESULT'!B657</f>
        <v>40574</v>
      </c>
      <c r="B657">
        <f>'FINAL RESULT'!M657</f>
        <v>7</v>
      </c>
    </row>
    <row r="658" spans="1:2">
      <c r="A658">
        <f>'FINAL RESULT'!B658</f>
        <v>40574</v>
      </c>
      <c r="B658">
        <f>'FINAL RESULT'!M658</f>
        <v>7</v>
      </c>
    </row>
    <row r="659" spans="1:2">
      <c r="A659">
        <f>'FINAL RESULT'!B659</f>
        <v>40574</v>
      </c>
      <c r="B659">
        <f>'FINAL RESULT'!M659</f>
        <v>1</v>
      </c>
    </row>
    <row r="660" spans="1:2">
      <c r="A660">
        <f>'FINAL RESULT'!B660</f>
        <v>40574</v>
      </c>
      <c r="B660">
        <f>'FINAL RESULT'!M660</f>
        <v>2</v>
      </c>
    </row>
    <row r="661" spans="1:2">
      <c r="A661">
        <f>'FINAL RESULT'!B661</f>
        <v>40574</v>
      </c>
      <c r="B661">
        <f>'FINAL RESULT'!M661</f>
        <v>2</v>
      </c>
    </row>
    <row r="662" spans="1:2">
      <c r="A662">
        <f>'FINAL RESULT'!B662</f>
        <v>40574</v>
      </c>
      <c r="B662">
        <f>'FINAL RESULT'!M662</f>
        <v>8</v>
      </c>
    </row>
    <row r="663" spans="1:2">
      <c r="A663">
        <f>'FINAL RESULT'!B663</f>
        <v>40574</v>
      </c>
      <c r="B663">
        <f>'FINAL RESULT'!M663</f>
        <v>37</v>
      </c>
    </row>
    <row r="664" spans="1:2">
      <c r="A664">
        <f>'FINAL RESULT'!B664</f>
        <v>40574</v>
      </c>
      <c r="B664">
        <f>'FINAL RESULT'!M664</f>
        <v>72</v>
      </c>
    </row>
    <row r="665" spans="1:2">
      <c r="A665">
        <f>'FINAL RESULT'!B665</f>
        <v>40574</v>
      </c>
      <c r="B665">
        <f>'FINAL RESULT'!M665</f>
        <v>185</v>
      </c>
    </row>
    <row r="666" spans="1:2">
      <c r="A666">
        <f>'FINAL RESULT'!B666</f>
        <v>40574</v>
      </c>
      <c r="B666">
        <f>'FINAL RESULT'!M666</f>
        <v>112</v>
      </c>
    </row>
    <row r="667" spans="1:2">
      <c r="A667">
        <f>'FINAL RESULT'!B667</f>
        <v>40574</v>
      </c>
      <c r="B667">
        <f>'FINAL RESULT'!M667</f>
        <v>69</v>
      </c>
    </row>
    <row r="668" spans="1:2">
      <c r="A668">
        <f>'FINAL RESULT'!B668</f>
        <v>40574</v>
      </c>
      <c r="B668">
        <f>'FINAL RESULT'!M668</f>
        <v>48</v>
      </c>
    </row>
    <row r="669" spans="1:2">
      <c r="A669">
        <f>'FINAL RESULT'!B669</f>
        <v>40574</v>
      </c>
      <c r="B669">
        <f>'FINAL RESULT'!M669</f>
        <v>68</v>
      </c>
    </row>
    <row r="670" spans="1:2">
      <c r="A670">
        <f>'FINAL RESULT'!B670</f>
        <v>40574</v>
      </c>
      <c r="B670">
        <f>'FINAL RESULT'!M670</f>
        <v>54</v>
      </c>
    </row>
    <row r="671" spans="1:2">
      <c r="A671">
        <f>'FINAL RESULT'!B671</f>
        <v>40574</v>
      </c>
      <c r="B671">
        <f>'FINAL RESULT'!M671</f>
        <v>86</v>
      </c>
    </row>
    <row r="672" spans="1:2">
      <c r="A672">
        <f>'FINAL RESULT'!B672</f>
        <v>40574</v>
      </c>
      <c r="B672">
        <f>'FINAL RESULT'!M672</f>
        <v>44</v>
      </c>
    </row>
    <row r="673" spans="1:2">
      <c r="A673">
        <f>'FINAL RESULT'!B673</f>
        <v>40574</v>
      </c>
      <c r="B673">
        <f>'FINAL RESULT'!M673</f>
        <v>86</v>
      </c>
    </row>
    <row r="674" spans="1:2">
      <c r="A674">
        <f>'FINAL RESULT'!B674</f>
        <v>40574</v>
      </c>
      <c r="B674">
        <f>'FINAL RESULT'!M674</f>
        <v>161</v>
      </c>
    </row>
    <row r="675" spans="1:2">
      <c r="A675">
        <f>'FINAL RESULT'!B675</f>
        <v>40574</v>
      </c>
      <c r="B675">
        <f>'FINAL RESULT'!M675</f>
        <v>156</v>
      </c>
    </row>
    <row r="676" spans="1:2">
      <c r="A676">
        <f>'FINAL RESULT'!B676</f>
        <v>40574</v>
      </c>
      <c r="B676">
        <f>'FINAL RESULT'!M676</f>
        <v>111</v>
      </c>
    </row>
    <row r="677" spans="1:2">
      <c r="A677">
        <f>'FINAL RESULT'!B677</f>
        <v>40574</v>
      </c>
      <c r="B677">
        <f>'FINAL RESULT'!M677</f>
        <v>78</v>
      </c>
    </row>
    <row r="678" spans="1:2">
      <c r="A678">
        <f>'FINAL RESULT'!B678</f>
        <v>40574</v>
      </c>
      <c r="B678">
        <f>'FINAL RESULT'!M678</f>
        <v>56</v>
      </c>
    </row>
    <row r="679" spans="1:2">
      <c r="A679">
        <f>'FINAL RESULT'!B679</f>
        <v>40574</v>
      </c>
      <c r="B679">
        <f>'FINAL RESULT'!M679</f>
        <v>34</v>
      </c>
    </row>
    <row r="680" spans="1:2">
      <c r="A680">
        <f>'FINAL RESULT'!B680</f>
        <v>40574</v>
      </c>
      <c r="B680">
        <f>'FINAL RESULT'!M680</f>
        <v>17</v>
      </c>
    </row>
    <row r="681" spans="1:2">
      <c r="A681">
        <f>'FINAL RESULT'!B681</f>
        <v>40575</v>
      </c>
      <c r="B681">
        <f>'FINAL RESULT'!M681</f>
        <v>8</v>
      </c>
    </row>
    <row r="682" spans="1:2">
      <c r="A682">
        <f>'FINAL RESULT'!B682</f>
        <v>40575</v>
      </c>
      <c r="B682">
        <f>'FINAL RESULT'!M682</f>
        <v>3</v>
      </c>
    </row>
    <row r="683" spans="1:2">
      <c r="A683">
        <f>'FINAL RESULT'!B683</f>
        <v>40575</v>
      </c>
      <c r="B683">
        <f>'FINAL RESULT'!M683</f>
        <v>2</v>
      </c>
    </row>
    <row r="684" spans="1:2">
      <c r="A684">
        <f>'FINAL RESULT'!B684</f>
        <v>40575</v>
      </c>
      <c r="B684">
        <f>'FINAL RESULT'!M684</f>
        <v>2</v>
      </c>
    </row>
    <row r="685" spans="1:2">
      <c r="A685">
        <f>'FINAL RESULT'!B685</f>
        <v>40575</v>
      </c>
      <c r="B685">
        <f>'FINAL RESULT'!M685</f>
        <v>3</v>
      </c>
    </row>
    <row r="686" spans="1:2">
      <c r="A686">
        <f>'FINAL RESULT'!B686</f>
        <v>40575</v>
      </c>
      <c r="B686">
        <f>'FINAL RESULT'!M686</f>
        <v>22</v>
      </c>
    </row>
    <row r="687" spans="1:2">
      <c r="A687">
        <f>'FINAL RESULT'!B687</f>
        <v>40575</v>
      </c>
      <c r="B687">
        <f>'FINAL RESULT'!M687</f>
        <v>52</v>
      </c>
    </row>
    <row r="688" spans="1:2">
      <c r="A688">
        <f>'FINAL RESULT'!B688</f>
        <v>40575</v>
      </c>
      <c r="B688">
        <f>'FINAL RESULT'!M688</f>
        <v>135</v>
      </c>
    </row>
    <row r="689" spans="1:2">
      <c r="A689">
        <f>'FINAL RESULT'!B689</f>
        <v>40575</v>
      </c>
      <c r="B689">
        <f>'FINAL RESULT'!M689</f>
        <v>116</v>
      </c>
    </row>
    <row r="690" spans="1:2">
      <c r="A690">
        <f>'FINAL RESULT'!B690</f>
        <v>40575</v>
      </c>
      <c r="B690">
        <f>'FINAL RESULT'!M690</f>
        <v>47</v>
      </c>
    </row>
    <row r="691" spans="1:2">
      <c r="A691">
        <f>'FINAL RESULT'!B691</f>
        <v>40575</v>
      </c>
      <c r="B691">
        <f>'FINAL RESULT'!M691</f>
        <v>51</v>
      </c>
    </row>
    <row r="692" spans="1:2">
      <c r="A692">
        <f>'FINAL RESULT'!B692</f>
        <v>40575</v>
      </c>
      <c r="B692">
        <f>'FINAL RESULT'!M692</f>
        <v>55</v>
      </c>
    </row>
    <row r="693" spans="1:2">
      <c r="A693">
        <f>'FINAL RESULT'!B693</f>
        <v>40575</v>
      </c>
      <c r="B693">
        <f>'FINAL RESULT'!M693</f>
        <v>52</v>
      </c>
    </row>
    <row r="694" spans="1:2">
      <c r="A694">
        <f>'FINAL RESULT'!B694</f>
        <v>40575</v>
      </c>
      <c r="B694">
        <f>'FINAL RESULT'!M694</f>
        <v>54</v>
      </c>
    </row>
    <row r="695" spans="1:2">
      <c r="A695">
        <f>'FINAL RESULT'!B695</f>
        <v>40575</v>
      </c>
      <c r="B695">
        <f>'FINAL RESULT'!M695</f>
        <v>52</v>
      </c>
    </row>
    <row r="696" spans="1:2">
      <c r="A696">
        <f>'FINAL RESULT'!B696</f>
        <v>40575</v>
      </c>
      <c r="B696">
        <f>'FINAL RESULT'!M696</f>
        <v>64</v>
      </c>
    </row>
    <row r="697" spans="1:2">
      <c r="A697">
        <f>'FINAL RESULT'!B697</f>
        <v>40575</v>
      </c>
      <c r="B697">
        <f>'FINAL RESULT'!M697</f>
        <v>176</v>
      </c>
    </row>
    <row r="698" spans="1:2">
      <c r="A698">
        <f>'FINAL RESULT'!B698</f>
        <v>40575</v>
      </c>
      <c r="B698">
        <f>'FINAL RESULT'!M698</f>
        <v>168</v>
      </c>
    </row>
    <row r="699" spans="1:2">
      <c r="A699">
        <f>'FINAL RESULT'!B699</f>
        <v>40575</v>
      </c>
      <c r="B699">
        <f>'FINAL RESULT'!M699</f>
        <v>108</v>
      </c>
    </row>
    <row r="700" spans="1:2">
      <c r="A700">
        <f>'FINAL RESULT'!B700</f>
        <v>40575</v>
      </c>
      <c r="B700">
        <f>'FINAL RESULT'!M700</f>
        <v>74</v>
      </c>
    </row>
    <row r="701" spans="1:2">
      <c r="A701">
        <f>'FINAL RESULT'!B701</f>
        <v>40575</v>
      </c>
      <c r="B701">
        <f>'FINAL RESULT'!M701</f>
        <v>64</v>
      </c>
    </row>
    <row r="702" spans="1:2">
      <c r="A702">
        <f>'FINAL RESULT'!B702</f>
        <v>40575</v>
      </c>
      <c r="B702">
        <f>'FINAL RESULT'!M702</f>
        <v>36</v>
      </c>
    </row>
    <row r="703" spans="1:2">
      <c r="A703">
        <f>'FINAL RESULT'!B703</f>
        <v>40575</v>
      </c>
      <c r="B703">
        <f>'FINAL RESULT'!M703</f>
        <v>16</v>
      </c>
    </row>
    <row r="704" spans="1:2">
      <c r="A704">
        <f>'FINAL RESULT'!B704</f>
        <v>40576</v>
      </c>
      <c r="B704">
        <f>'FINAL RESULT'!M704</f>
        <v>2</v>
      </c>
    </row>
    <row r="705" spans="1:2">
      <c r="A705">
        <f>'FINAL RESULT'!B705</f>
        <v>40576</v>
      </c>
      <c r="B705">
        <f>'FINAL RESULT'!M705</f>
        <v>3</v>
      </c>
    </row>
    <row r="706" spans="1:2">
      <c r="A706">
        <f>'FINAL RESULT'!B706</f>
        <v>40576</v>
      </c>
      <c r="B706">
        <f>'FINAL RESULT'!M706</f>
        <v>4</v>
      </c>
    </row>
    <row r="707" spans="1:2">
      <c r="A707">
        <f>'FINAL RESULT'!B707</f>
        <v>40576</v>
      </c>
      <c r="B707">
        <f>'FINAL RESULT'!M707</f>
        <v>1</v>
      </c>
    </row>
    <row r="708" spans="1:2">
      <c r="A708">
        <f>'FINAL RESULT'!B708</f>
        <v>40576</v>
      </c>
      <c r="B708">
        <f>'FINAL RESULT'!M708</f>
        <v>1</v>
      </c>
    </row>
    <row r="709" spans="1:2">
      <c r="A709">
        <f>'FINAL RESULT'!B709</f>
        <v>40576</v>
      </c>
      <c r="B709">
        <f>'FINAL RESULT'!M709</f>
        <v>3</v>
      </c>
    </row>
    <row r="710" spans="1:2">
      <c r="A710">
        <f>'FINAL RESULT'!B710</f>
        <v>40576</v>
      </c>
      <c r="B710">
        <f>'FINAL RESULT'!M710</f>
        <v>18</v>
      </c>
    </row>
    <row r="711" spans="1:2">
      <c r="A711">
        <f>'FINAL RESULT'!B711</f>
        <v>40576</v>
      </c>
      <c r="B711">
        <f>'FINAL RESULT'!M711</f>
        <v>49</v>
      </c>
    </row>
    <row r="712" spans="1:2">
      <c r="A712">
        <f>'FINAL RESULT'!B712</f>
        <v>40576</v>
      </c>
      <c r="B712">
        <f>'FINAL RESULT'!M712</f>
        <v>155</v>
      </c>
    </row>
    <row r="713" spans="1:2">
      <c r="A713">
        <f>'FINAL RESULT'!B713</f>
        <v>40576</v>
      </c>
      <c r="B713">
        <f>'FINAL RESULT'!M713</f>
        <v>123</v>
      </c>
    </row>
    <row r="714" spans="1:2">
      <c r="A714">
        <f>'FINAL RESULT'!B714</f>
        <v>40576</v>
      </c>
      <c r="B714">
        <f>'FINAL RESULT'!M714</f>
        <v>61</v>
      </c>
    </row>
    <row r="715" spans="1:2">
      <c r="A715">
        <f>'FINAL RESULT'!B715</f>
        <v>40576</v>
      </c>
      <c r="B715">
        <f>'FINAL RESULT'!M715</f>
        <v>52</v>
      </c>
    </row>
    <row r="716" spans="1:2">
      <c r="A716">
        <f>'FINAL RESULT'!B716</f>
        <v>40576</v>
      </c>
      <c r="B716">
        <f>'FINAL RESULT'!M716</f>
        <v>64</v>
      </c>
    </row>
    <row r="717" spans="1:2">
      <c r="A717">
        <f>'FINAL RESULT'!B717</f>
        <v>40576</v>
      </c>
      <c r="B717">
        <f>'FINAL RESULT'!M717</f>
        <v>75</v>
      </c>
    </row>
    <row r="718" spans="1:2">
      <c r="A718">
        <f>'FINAL RESULT'!B718</f>
        <v>40576</v>
      </c>
      <c r="B718">
        <f>'FINAL RESULT'!M718</f>
        <v>63</v>
      </c>
    </row>
    <row r="719" spans="1:2">
      <c r="A719">
        <f>'FINAL RESULT'!B719</f>
        <v>40576</v>
      </c>
      <c r="B719">
        <f>'FINAL RESULT'!M719</f>
        <v>76</v>
      </c>
    </row>
    <row r="720" spans="1:2">
      <c r="A720">
        <f>'FINAL RESULT'!B720</f>
        <v>40576</v>
      </c>
      <c r="B720">
        <f>'FINAL RESULT'!M720</f>
        <v>103</v>
      </c>
    </row>
    <row r="721" spans="1:2">
      <c r="A721">
        <f>'FINAL RESULT'!B721</f>
        <v>40576</v>
      </c>
      <c r="B721">
        <f>'FINAL RESULT'!M721</f>
        <v>190</v>
      </c>
    </row>
    <row r="722" spans="1:2">
      <c r="A722">
        <f>'FINAL RESULT'!B722</f>
        <v>40576</v>
      </c>
      <c r="B722">
        <f>'FINAL RESULT'!M722</f>
        <v>182</v>
      </c>
    </row>
    <row r="723" spans="1:2">
      <c r="A723">
        <f>'FINAL RESULT'!B723</f>
        <v>40576</v>
      </c>
      <c r="B723">
        <f>'FINAL RESULT'!M723</f>
        <v>91</v>
      </c>
    </row>
    <row r="724" spans="1:2">
      <c r="A724">
        <f>'FINAL RESULT'!B724</f>
        <v>40576</v>
      </c>
      <c r="B724">
        <f>'FINAL RESULT'!M724</f>
        <v>75</v>
      </c>
    </row>
    <row r="725" spans="1:2">
      <c r="A725">
        <f>'FINAL RESULT'!B725</f>
        <v>40576</v>
      </c>
      <c r="B725">
        <f>'FINAL RESULT'!M725</f>
        <v>63</v>
      </c>
    </row>
    <row r="726" spans="1:2">
      <c r="A726">
        <f>'FINAL RESULT'!B726</f>
        <v>40576</v>
      </c>
      <c r="B726">
        <f>'FINAL RESULT'!M726</f>
        <v>40</v>
      </c>
    </row>
    <row r="727" spans="1:2">
      <c r="A727">
        <f>'FINAL RESULT'!B727</f>
        <v>40576</v>
      </c>
      <c r="B727">
        <f>'FINAL RESULT'!M727</f>
        <v>32</v>
      </c>
    </row>
    <row r="728" spans="1:2">
      <c r="A728">
        <f>'FINAL RESULT'!B728</f>
        <v>40577</v>
      </c>
      <c r="B728">
        <f>'FINAL RESULT'!M728</f>
        <v>12</v>
      </c>
    </row>
    <row r="729" spans="1:2">
      <c r="A729">
        <f>'FINAL RESULT'!B729</f>
        <v>40577</v>
      </c>
      <c r="B729">
        <f>'FINAL RESULT'!M729</f>
        <v>5</v>
      </c>
    </row>
    <row r="730" spans="1:2">
      <c r="A730">
        <f>'FINAL RESULT'!B730</f>
        <v>40577</v>
      </c>
      <c r="B730">
        <f>'FINAL RESULT'!M730</f>
        <v>2</v>
      </c>
    </row>
    <row r="731" spans="1:2">
      <c r="A731">
        <f>'FINAL RESULT'!B731</f>
        <v>40577</v>
      </c>
      <c r="B731">
        <f>'FINAL RESULT'!M731</f>
        <v>1</v>
      </c>
    </row>
    <row r="732" spans="1:2">
      <c r="A732">
        <f>'FINAL RESULT'!B732</f>
        <v>40577</v>
      </c>
      <c r="B732">
        <f>'FINAL RESULT'!M732</f>
        <v>2</v>
      </c>
    </row>
    <row r="733" spans="1:2">
      <c r="A733">
        <f>'FINAL RESULT'!B733</f>
        <v>40577</v>
      </c>
      <c r="B733">
        <f>'FINAL RESULT'!M733</f>
        <v>39</v>
      </c>
    </row>
    <row r="734" spans="1:2">
      <c r="A734">
        <f>'FINAL RESULT'!B734</f>
        <v>40577</v>
      </c>
      <c r="B734">
        <f>'FINAL RESULT'!M734</f>
        <v>87</v>
      </c>
    </row>
    <row r="735" spans="1:2">
      <c r="A735">
        <f>'FINAL RESULT'!B735</f>
        <v>40577</v>
      </c>
      <c r="B735">
        <f>'FINAL RESULT'!M735</f>
        <v>188</v>
      </c>
    </row>
    <row r="736" spans="1:2">
      <c r="A736">
        <f>'FINAL RESULT'!B736</f>
        <v>40577</v>
      </c>
      <c r="B736">
        <f>'FINAL RESULT'!M736</f>
        <v>133</v>
      </c>
    </row>
    <row r="737" spans="1:2">
      <c r="A737">
        <f>'FINAL RESULT'!B737</f>
        <v>40577</v>
      </c>
      <c r="B737">
        <f>'FINAL RESULT'!M737</f>
        <v>52</v>
      </c>
    </row>
    <row r="738" spans="1:2">
      <c r="A738">
        <f>'FINAL RESULT'!B738</f>
        <v>40577</v>
      </c>
      <c r="B738">
        <f>'FINAL RESULT'!M738</f>
        <v>64</v>
      </c>
    </row>
    <row r="739" spans="1:2">
      <c r="A739">
        <f>'FINAL RESULT'!B739</f>
        <v>40577</v>
      </c>
      <c r="B739">
        <f>'FINAL RESULT'!M739</f>
        <v>69</v>
      </c>
    </row>
    <row r="740" spans="1:2">
      <c r="A740">
        <f>'FINAL RESULT'!B740</f>
        <v>40577</v>
      </c>
      <c r="B740">
        <f>'FINAL RESULT'!M740</f>
        <v>51</v>
      </c>
    </row>
    <row r="741" spans="1:2">
      <c r="A741">
        <f>'FINAL RESULT'!B741</f>
        <v>40577</v>
      </c>
      <c r="B741">
        <f>'FINAL RESULT'!M741</f>
        <v>47</v>
      </c>
    </row>
    <row r="742" spans="1:2">
      <c r="A742">
        <f>'FINAL RESULT'!B742</f>
        <v>40577</v>
      </c>
      <c r="B742">
        <f>'FINAL RESULT'!M742</f>
        <v>60</v>
      </c>
    </row>
    <row r="743" spans="1:2">
      <c r="A743">
        <f>'FINAL RESULT'!B743</f>
        <v>40577</v>
      </c>
      <c r="B743">
        <f>'FINAL RESULT'!M743</f>
        <v>78</v>
      </c>
    </row>
    <row r="744" spans="1:2">
      <c r="A744">
        <f>'FINAL RESULT'!B744</f>
        <v>40577</v>
      </c>
      <c r="B744">
        <f>'FINAL RESULT'!M744</f>
        <v>175</v>
      </c>
    </row>
    <row r="745" spans="1:2">
      <c r="A745">
        <f>'FINAL RESULT'!B745</f>
        <v>40577</v>
      </c>
      <c r="B745">
        <f>'FINAL RESULT'!M745</f>
        <v>147</v>
      </c>
    </row>
    <row r="746" spans="1:2">
      <c r="A746">
        <f>'FINAL RESULT'!B746</f>
        <v>40577</v>
      </c>
      <c r="B746">
        <f>'FINAL RESULT'!M746</f>
        <v>96</v>
      </c>
    </row>
    <row r="747" spans="1:2">
      <c r="A747">
        <f>'FINAL RESULT'!B747</f>
        <v>40577</v>
      </c>
      <c r="B747">
        <f>'FINAL RESULT'!M747</f>
        <v>109</v>
      </c>
    </row>
    <row r="748" spans="1:2">
      <c r="A748">
        <f>'FINAL RESULT'!B748</f>
        <v>40577</v>
      </c>
      <c r="B748">
        <f>'FINAL RESULT'!M748</f>
        <v>54</v>
      </c>
    </row>
    <row r="749" spans="1:2">
      <c r="A749">
        <f>'FINAL RESULT'!B749</f>
        <v>40577</v>
      </c>
      <c r="B749">
        <f>'FINAL RESULT'!M749</f>
        <v>41</v>
      </c>
    </row>
    <row r="750" spans="1:2">
      <c r="A750">
        <f>'FINAL RESULT'!B750</f>
        <v>40577</v>
      </c>
      <c r="B750">
        <f>'FINAL RESULT'!M750</f>
        <v>38</v>
      </c>
    </row>
    <row r="751" spans="1:2">
      <c r="A751">
        <f>'FINAL RESULT'!B751</f>
        <v>40578</v>
      </c>
      <c r="B751">
        <f>'FINAL RESULT'!M751</f>
        <v>13</v>
      </c>
    </row>
    <row r="752" spans="1:2">
      <c r="A752">
        <f>'FINAL RESULT'!B752</f>
        <v>40578</v>
      </c>
      <c r="B752">
        <f>'FINAL RESULT'!M752</f>
        <v>7</v>
      </c>
    </row>
    <row r="753" spans="1:2">
      <c r="A753">
        <f>'FINAL RESULT'!B753</f>
        <v>40578</v>
      </c>
      <c r="B753">
        <f>'FINAL RESULT'!M753</f>
        <v>1</v>
      </c>
    </row>
    <row r="754" spans="1:2">
      <c r="A754">
        <f>'FINAL RESULT'!B754</f>
        <v>40578</v>
      </c>
      <c r="B754">
        <f>'FINAL RESULT'!M754</f>
        <v>1</v>
      </c>
    </row>
    <row r="755" spans="1:2">
      <c r="A755">
        <f>'FINAL RESULT'!B755</f>
        <v>40578</v>
      </c>
      <c r="B755">
        <f>'FINAL RESULT'!M755</f>
        <v>7</v>
      </c>
    </row>
    <row r="756" spans="1:2">
      <c r="A756">
        <f>'FINAL RESULT'!B756</f>
        <v>40578</v>
      </c>
      <c r="B756">
        <f>'FINAL RESULT'!M756</f>
        <v>28</v>
      </c>
    </row>
    <row r="757" spans="1:2">
      <c r="A757">
        <f>'FINAL RESULT'!B757</f>
        <v>40578</v>
      </c>
      <c r="B757">
        <f>'FINAL RESULT'!M757</f>
        <v>87</v>
      </c>
    </row>
    <row r="758" spans="1:2">
      <c r="A758">
        <f>'FINAL RESULT'!B758</f>
        <v>40578</v>
      </c>
      <c r="B758">
        <f>'FINAL RESULT'!M758</f>
        <v>220</v>
      </c>
    </row>
    <row r="759" spans="1:2">
      <c r="A759">
        <f>'FINAL RESULT'!B759</f>
        <v>40578</v>
      </c>
      <c r="B759">
        <f>'FINAL RESULT'!M759</f>
        <v>127</v>
      </c>
    </row>
    <row r="760" spans="1:2">
      <c r="A760">
        <f>'FINAL RESULT'!B760</f>
        <v>40578</v>
      </c>
      <c r="B760">
        <f>'FINAL RESULT'!M760</f>
        <v>51</v>
      </c>
    </row>
    <row r="761" spans="1:2">
      <c r="A761">
        <f>'FINAL RESULT'!B761</f>
        <v>40578</v>
      </c>
      <c r="B761">
        <f>'FINAL RESULT'!M761</f>
        <v>64</v>
      </c>
    </row>
    <row r="762" spans="1:2">
      <c r="A762">
        <f>'FINAL RESULT'!B762</f>
        <v>40578</v>
      </c>
      <c r="B762">
        <f>'FINAL RESULT'!M762</f>
        <v>86</v>
      </c>
    </row>
    <row r="763" spans="1:2">
      <c r="A763">
        <f>'FINAL RESULT'!B763</f>
        <v>40578</v>
      </c>
      <c r="B763">
        <f>'FINAL RESULT'!M763</f>
        <v>82</v>
      </c>
    </row>
    <row r="764" spans="1:2">
      <c r="A764">
        <f>'FINAL RESULT'!B764</f>
        <v>40578</v>
      </c>
      <c r="B764">
        <f>'FINAL RESULT'!M764</f>
        <v>91</v>
      </c>
    </row>
    <row r="765" spans="1:2">
      <c r="A765">
        <f>'FINAL RESULT'!B765</f>
        <v>40578</v>
      </c>
      <c r="B765">
        <f>'FINAL RESULT'!M765</f>
        <v>90</v>
      </c>
    </row>
    <row r="766" spans="1:2">
      <c r="A766">
        <f>'FINAL RESULT'!B766</f>
        <v>40578</v>
      </c>
      <c r="B766">
        <f>'FINAL RESULT'!M766</f>
        <v>99</v>
      </c>
    </row>
    <row r="767" spans="1:2">
      <c r="A767">
        <f>'FINAL RESULT'!B767</f>
        <v>40578</v>
      </c>
      <c r="B767">
        <f>'FINAL RESULT'!M767</f>
        <v>205</v>
      </c>
    </row>
    <row r="768" spans="1:2">
      <c r="A768">
        <f>'FINAL RESULT'!B768</f>
        <v>40578</v>
      </c>
      <c r="B768">
        <f>'FINAL RESULT'!M768</f>
        <v>155</v>
      </c>
    </row>
    <row r="769" spans="1:2">
      <c r="A769">
        <f>'FINAL RESULT'!B769</f>
        <v>40578</v>
      </c>
      <c r="B769">
        <f>'FINAL RESULT'!M769</f>
        <v>103</v>
      </c>
    </row>
    <row r="770" spans="1:2">
      <c r="A770">
        <f>'FINAL RESULT'!B770</f>
        <v>40578</v>
      </c>
      <c r="B770">
        <f>'FINAL RESULT'!M770</f>
        <v>71</v>
      </c>
    </row>
    <row r="771" spans="1:2">
      <c r="A771">
        <f>'FINAL RESULT'!B771</f>
        <v>40578</v>
      </c>
      <c r="B771">
        <f>'FINAL RESULT'!M771</f>
        <v>43</v>
      </c>
    </row>
    <row r="772" spans="1:2">
      <c r="A772">
        <f>'FINAL RESULT'!B772</f>
        <v>40578</v>
      </c>
      <c r="B772">
        <f>'FINAL RESULT'!M772</f>
        <v>46</v>
      </c>
    </row>
    <row r="773" spans="1:2">
      <c r="A773">
        <f>'FINAL RESULT'!B773</f>
        <v>40578</v>
      </c>
      <c r="B773">
        <f>'FINAL RESULT'!M773</f>
        <v>31</v>
      </c>
    </row>
    <row r="774" spans="1:2">
      <c r="A774">
        <f>'FINAL RESULT'!B774</f>
        <v>40579</v>
      </c>
      <c r="B774">
        <f>'FINAL RESULT'!M774</f>
        <v>39</v>
      </c>
    </row>
    <row r="775" spans="1:2">
      <c r="A775">
        <f>'FINAL RESULT'!B775</f>
        <v>40579</v>
      </c>
      <c r="B775">
        <f>'FINAL RESULT'!M775</f>
        <v>18</v>
      </c>
    </row>
    <row r="776" spans="1:2">
      <c r="A776">
        <f>'FINAL RESULT'!B776</f>
        <v>40579</v>
      </c>
      <c r="B776">
        <f>'FINAL RESULT'!M776</f>
        <v>17</v>
      </c>
    </row>
    <row r="777" spans="1:2">
      <c r="A777">
        <f>'FINAL RESULT'!B777</f>
        <v>40579</v>
      </c>
      <c r="B777">
        <f>'FINAL RESULT'!M777</f>
        <v>11</v>
      </c>
    </row>
    <row r="778" spans="1:2">
      <c r="A778">
        <f>'FINAL RESULT'!B778</f>
        <v>40579</v>
      </c>
      <c r="B778">
        <f>'FINAL RESULT'!M778</f>
        <v>8</v>
      </c>
    </row>
    <row r="779" spans="1:2">
      <c r="A779">
        <f>'FINAL RESULT'!B779</f>
        <v>40579</v>
      </c>
      <c r="B779">
        <f>'FINAL RESULT'!M779</f>
        <v>9</v>
      </c>
    </row>
    <row r="780" spans="1:2">
      <c r="A780">
        <f>'FINAL RESULT'!B780</f>
        <v>40579</v>
      </c>
      <c r="B780">
        <f>'FINAL RESULT'!M780</f>
        <v>4</v>
      </c>
    </row>
    <row r="781" spans="1:2">
      <c r="A781">
        <f>'FINAL RESULT'!B781</f>
        <v>40579</v>
      </c>
      <c r="B781">
        <f>'FINAL RESULT'!M781</f>
        <v>4</v>
      </c>
    </row>
    <row r="782" spans="1:2">
      <c r="A782">
        <f>'FINAL RESULT'!B782</f>
        <v>40579</v>
      </c>
      <c r="B782">
        <f>'FINAL RESULT'!M782</f>
        <v>10</v>
      </c>
    </row>
    <row r="783" spans="1:2">
      <c r="A783">
        <f>'FINAL RESULT'!B783</f>
        <v>40579</v>
      </c>
      <c r="B783">
        <f>'FINAL RESULT'!M783</f>
        <v>20</v>
      </c>
    </row>
    <row r="784" spans="1:2">
      <c r="A784">
        <f>'FINAL RESULT'!B784</f>
        <v>40579</v>
      </c>
      <c r="B784">
        <f>'FINAL RESULT'!M784</f>
        <v>34</v>
      </c>
    </row>
    <row r="785" spans="1:2">
      <c r="A785">
        <f>'FINAL RESULT'!B785</f>
        <v>40579</v>
      </c>
      <c r="B785">
        <f>'FINAL RESULT'!M785</f>
        <v>47</v>
      </c>
    </row>
    <row r="786" spans="1:2">
      <c r="A786">
        <f>'FINAL RESULT'!B786</f>
        <v>40579</v>
      </c>
      <c r="B786">
        <f>'FINAL RESULT'!M786</f>
        <v>52</v>
      </c>
    </row>
    <row r="787" spans="1:2">
      <c r="A787">
        <f>'FINAL RESULT'!B787</f>
        <v>40579</v>
      </c>
      <c r="B787">
        <f>'FINAL RESULT'!M787</f>
        <v>72</v>
      </c>
    </row>
    <row r="788" spans="1:2">
      <c r="A788">
        <f>'FINAL RESULT'!B788</f>
        <v>40579</v>
      </c>
      <c r="B788">
        <f>'FINAL RESULT'!M788</f>
        <v>55</v>
      </c>
    </row>
    <row r="789" spans="1:2">
      <c r="A789">
        <f>'FINAL RESULT'!B789</f>
        <v>40579</v>
      </c>
      <c r="B789">
        <f>'FINAL RESULT'!M789</f>
        <v>60</v>
      </c>
    </row>
    <row r="790" spans="1:2">
      <c r="A790">
        <f>'FINAL RESULT'!B790</f>
        <v>40579</v>
      </c>
      <c r="B790">
        <f>'FINAL RESULT'!M790</f>
        <v>71</v>
      </c>
    </row>
    <row r="791" spans="1:2">
      <c r="A791">
        <f>'FINAL RESULT'!B791</f>
        <v>40579</v>
      </c>
      <c r="B791">
        <f>'FINAL RESULT'!M791</f>
        <v>78</v>
      </c>
    </row>
    <row r="792" spans="1:2">
      <c r="A792">
        <f>'FINAL RESULT'!B792</f>
        <v>40579</v>
      </c>
      <c r="B792">
        <f>'FINAL RESULT'!M792</f>
        <v>83</v>
      </c>
    </row>
    <row r="793" spans="1:2">
      <c r="A793">
        <f>'FINAL RESULT'!B793</f>
        <v>40579</v>
      </c>
      <c r="B793">
        <f>'FINAL RESULT'!M793</f>
        <v>84</v>
      </c>
    </row>
    <row r="794" spans="1:2">
      <c r="A794">
        <f>'FINAL RESULT'!B794</f>
        <v>40579</v>
      </c>
      <c r="B794">
        <f>'FINAL RESULT'!M794</f>
        <v>69</v>
      </c>
    </row>
    <row r="795" spans="1:2">
      <c r="A795">
        <f>'FINAL RESULT'!B795</f>
        <v>40579</v>
      </c>
      <c r="B795">
        <f>'FINAL RESULT'!M795</f>
        <v>56</v>
      </c>
    </row>
    <row r="796" spans="1:2">
      <c r="A796">
        <f>'FINAL RESULT'!B796</f>
        <v>40579</v>
      </c>
      <c r="B796">
        <f>'FINAL RESULT'!M796</f>
        <v>45</v>
      </c>
    </row>
    <row r="797" spans="1:2">
      <c r="A797">
        <f>'FINAL RESULT'!B797</f>
        <v>40579</v>
      </c>
      <c r="B797">
        <f>'FINAL RESULT'!M797</f>
        <v>59</v>
      </c>
    </row>
    <row r="798" spans="1:2">
      <c r="A798">
        <f>'FINAL RESULT'!B798</f>
        <v>40580</v>
      </c>
      <c r="B798">
        <f>'FINAL RESULT'!M798</f>
        <v>39</v>
      </c>
    </row>
    <row r="799" spans="1:2">
      <c r="A799">
        <f>'FINAL RESULT'!B799</f>
        <v>40580</v>
      </c>
      <c r="B799">
        <f>'FINAL RESULT'!M799</f>
        <v>44</v>
      </c>
    </row>
    <row r="800" spans="1:2">
      <c r="A800">
        <f>'FINAL RESULT'!B800</f>
        <v>40580</v>
      </c>
      <c r="B800">
        <f>'FINAL RESULT'!M800</f>
        <v>20</v>
      </c>
    </row>
    <row r="801" spans="1:2">
      <c r="A801">
        <f>'FINAL RESULT'!B801</f>
        <v>40580</v>
      </c>
      <c r="B801">
        <f>'FINAL RESULT'!M801</f>
        <v>13</v>
      </c>
    </row>
    <row r="802" spans="1:2">
      <c r="A802">
        <f>'FINAL RESULT'!B802</f>
        <v>40580</v>
      </c>
      <c r="B802">
        <f>'FINAL RESULT'!M802</f>
        <v>2</v>
      </c>
    </row>
    <row r="803" spans="1:2">
      <c r="A803">
        <f>'FINAL RESULT'!B803</f>
        <v>40580</v>
      </c>
      <c r="B803">
        <f>'FINAL RESULT'!M803</f>
        <v>1</v>
      </c>
    </row>
    <row r="804" spans="1:2">
      <c r="A804">
        <f>'FINAL RESULT'!B804</f>
        <v>40580</v>
      </c>
      <c r="B804">
        <f>'FINAL RESULT'!M804</f>
        <v>1</v>
      </c>
    </row>
    <row r="805" spans="1:2">
      <c r="A805">
        <f>'FINAL RESULT'!B805</f>
        <v>40580</v>
      </c>
      <c r="B805">
        <f>'FINAL RESULT'!M805</f>
        <v>8</v>
      </c>
    </row>
    <row r="806" spans="1:2">
      <c r="A806">
        <f>'FINAL RESULT'!B806</f>
        <v>40580</v>
      </c>
      <c r="B806">
        <f>'FINAL RESULT'!M806</f>
        <v>23</v>
      </c>
    </row>
    <row r="807" spans="1:2">
      <c r="A807">
        <f>'FINAL RESULT'!B807</f>
        <v>40580</v>
      </c>
      <c r="B807">
        <f>'FINAL RESULT'!M807</f>
        <v>45</v>
      </c>
    </row>
    <row r="808" spans="1:2">
      <c r="A808">
        <f>'FINAL RESULT'!B808</f>
        <v>40580</v>
      </c>
      <c r="B808">
        <f>'FINAL RESULT'!M808</f>
        <v>89</v>
      </c>
    </row>
    <row r="809" spans="1:2">
      <c r="A809">
        <f>'FINAL RESULT'!B809</f>
        <v>40580</v>
      </c>
      <c r="B809">
        <f>'FINAL RESULT'!M809</f>
        <v>117</v>
      </c>
    </row>
    <row r="810" spans="1:2">
      <c r="A810">
        <f>'FINAL RESULT'!B810</f>
        <v>40580</v>
      </c>
      <c r="B810">
        <f>'FINAL RESULT'!M810</f>
        <v>174</v>
      </c>
    </row>
    <row r="811" spans="1:2">
      <c r="A811">
        <f>'FINAL RESULT'!B811</f>
        <v>40580</v>
      </c>
      <c r="B811">
        <f>'FINAL RESULT'!M811</f>
        <v>182</v>
      </c>
    </row>
    <row r="812" spans="1:2">
      <c r="A812">
        <f>'FINAL RESULT'!B812</f>
        <v>40580</v>
      </c>
      <c r="B812">
        <f>'FINAL RESULT'!M812</f>
        <v>161</v>
      </c>
    </row>
    <row r="813" spans="1:2">
      <c r="A813">
        <f>'FINAL RESULT'!B813</f>
        <v>40580</v>
      </c>
      <c r="B813">
        <f>'FINAL RESULT'!M813</f>
        <v>182</v>
      </c>
    </row>
    <row r="814" spans="1:2">
      <c r="A814">
        <f>'FINAL RESULT'!B814</f>
        <v>40580</v>
      </c>
      <c r="B814">
        <f>'FINAL RESULT'!M814</f>
        <v>157</v>
      </c>
    </row>
    <row r="815" spans="1:2">
      <c r="A815">
        <f>'FINAL RESULT'!B815</f>
        <v>40580</v>
      </c>
      <c r="B815">
        <f>'FINAL RESULT'!M815</f>
        <v>121</v>
      </c>
    </row>
    <row r="816" spans="1:2">
      <c r="A816">
        <f>'FINAL RESULT'!B816</f>
        <v>40580</v>
      </c>
      <c r="B816">
        <f>'FINAL RESULT'!M816</f>
        <v>78</v>
      </c>
    </row>
    <row r="817" spans="1:2">
      <c r="A817">
        <f>'FINAL RESULT'!B817</f>
        <v>40580</v>
      </c>
      <c r="B817">
        <f>'FINAL RESULT'!M817</f>
        <v>21</v>
      </c>
    </row>
    <row r="818" spans="1:2">
      <c r="A818">
        <f>'FINAL RESULT'!B818</f>
        <v>40580</v>
      </c>
      <c r="B818">
        <f>'FINAL RESULT'!M818</f>
        <v>26</v>
      </c>
    </row>
    <row r="819" spans="1:2">
      <c r="A819">
        <f>'FINAL RESULT'!B819</f>
        <v>40580</v>
      </c>
      <c r="B819">
        <f>'FINAL RESULT'!M819</f>
        <v>27</v>
      </c>
    </row>
    <row r="820" spans="1:2">
      <c r="A820">
        <f>'FINAL RESULT'!B820</f>
        <v>40580</v>
      </c>
      <c r="B820">
        <f>'FINAL RESULT'!M820</f>
        <v>62</v>
      </c>
    </row>
    <row r="821" spans="1:2">
      <c r="A821">
        <f>'FINAL RESULT'!B821</f>
        <v>40580</v>
      </c>
      <c r="B821">
        <f>'FINAL RESULT'!M821</f>
        <v>30</v>
      </c>
    </row>
    <row r="822" spans="1:2">
      <c r="A822">
        <f>'FINAL RESULT'!B822</f>
        <v>40581</v>
      </c>
      <c r="B822">
        <f>'FINAL RESULT'!M822</f>
        <v>15</v>
      </c>
    </row>
    <row r="823" spans="1:2">
      <c r="A823">
        <f>'FINAL RESULT'!B823</f>
        <v>40581</v>
      </c>
      <c r="B823">
        <f>'FINAL RESULT'!M823</f>
        <v>5</v>
      </c>
    </row>
    <row r="824" spans="1:2">
      <c r="A824">
        <f>'FINAL RESULT'!B824</f>
        <v>40581</v>
      </c>
      <c r="B824">
        <f>'FINAL RESULT'!M824</f>
        <v>3</v>
      </c>
    </row>
    <row r="825" spans="1:2">
      <c r="A825">
        <f>'FINAL RESULT'!B825</f>
        <v>40581</v>
      </c>
      <c r="B825">
        <f>'FINAL RESULT'!M825</f>
        <v>1</v>
      </c>
    </row>
    <row r="826" spans="1:2">
      <c r="A826">
        <f>'FINAL RESULT'!B826</f>
        <v>40581</v>
      </c>
      <c r="B826">
        <f>'FINAL RESULT'!M826</f>
        <v>2</v>
      </c>
    </row>
    <row r="827" spans="1:2">
      <c r="A827">
        <f>'FINAL RESULT'!B827</f>
        <v>40581</v>
      </c>
      <c r="B827">
        <f>'FINAL RESULT'!M827</f>
        <v>10</v>
      </c>
    </row>
    <row r="828" spans="1:2">
      <c r="A828">
        <f>'FINAL RESULT'!B828</f>
        <v>40581</v>
      </c>
      <c r="B828">
        <f>'FINAL RESULT'!M828</f>
        <v>30</v>
      </c>
    </row>
    <row r="829" spans="1:2">
      <c r="A829">
        <f>'FINAL RESULT'!B829</f>
        <v>40581</v>
      </c>
      <c r="B829">
        <f>'FINAL RESULT'!M829</f>
        <v>95</v>
      </c>
    </row>
    <row r="830" spans="1:2">
      <c r="A830">
        <f>'FINAL RESULT'!B830</f>
        <v>40581</v>
      </c>
      <c r="B830">
        <f>'FINAL RESULT'!M830</f>
        <v>230</v>
      </c>
    </row>
    <row r="831" spans="1:2">
      <c r="A831">
        <f>'FINAL RESULT'!B831</f>
        <v>40581</v>
      </c>
      <c r="B831">
        <f>'FINAL RESULT'!M831</f>
        <v>118</v>
      </c>
    </row>
    <row r="832" spans="1:2">
      <c r="A832">
        <f>'FINAL RESULT'!B832</f>
        <v>40581</v>
      </c>
      <c r="B832">
        <f>'FINAL RESULT'!M832</f>
        <v>55</v>
      </c>
    </row>
    <row r="833" spans="1:2">
      <c r="A833">
        <f>'FINAL RESULT'!B833</f>
        <v>40581</v>
      </c>
      <c r="B833">
        <f>'FINAL RESULT'!M833</f>
        <v>47</v>
      </c>
    </row>
    <row r="834" spans="1:2">
      <c r="A834">
        <f>'FINAL RESULT'!B834</f>
        <v>40581</v>
      </c>
      <c r="B834">
        <f>'FINAL RESULT'!M834</f>
        <v>66</v>
      </c>
    </row>
    <row r="835" spans="1:2">
      <c r="A835">
        <f>'FINAL RESULT'!B835</f>
        <v>40581</v>
      </c>
      <c r="B835">
        <f>'FINAL RESULT'!M835</f>
        <v>64</v>
      </c>
    </row>
    <row r="836" spans="1:2">
      <c r="A836">
        <f>'FINAL RESULT'!B836</f>
        <v>40581</v>
      </c>
      <c r="B836">
        <f>'FINAL RESULT'!M836</f>
        <v>60</v>
      </c>
    </row>
    <row r="837" spans="1:2">
      <c r="A837">
        <f>'FINAL RESULT'!B837</f>
        <v>40581</v>
      </c>
      <c r="B837">
        <f>'FINAL RESULT'!M837</f>
        <v>50</v>
      </c>
    </row>
    <row r="838" spans="1:2">
      <c r="A838">
        <f>'FINAL RESULT'!B838</f>
        <v>40581</v>
      </c>
      <c r="B838">
        <f>'FINAL RESULT'!M838</f>
        <v>114</v>
      </c>
    </row>
    <row r="839" spans="1:2">
      <c r="A839">
        <f>'FINAL RESULT'!B839</f>
        <v>40581</v>
      </c>
      <c r="B839">
        <f>'FINAL RESULT'!M839</f>
        <v>216</v>
      </c>
    </row>
    <row r="840" spans="1:2">
      <c r="A840">
        <f>'FINAL RESULT'!B840</f>
        <v>40581</v>
      </c>
      <c r="B840">
        <f>'FINAL RESULT'!M840</f>
        <v>175</v>
      </c>
    </row>
    <row r="841" spans="1:2">
      <c r="A841">
        <f>'FINAL RESULT'!B841</f>
        <v>40581</v>
      </c>
      <c r="B841">
        <f>'FINAL RESULT'!M841</f>
        <v>128</v>
      </c>
    </row>
    <row r="842" spans="1:2">
      <c r="A842">
        <f>'FINAL RESULT'!B842</f>
        <v>40581</v>
      </c>
      <c r="B842">
        <f>'FINAL RESULT'!M842</f>
        <v>88</v>
      </c>
    </row>
    <row r="843" spans="1:2">
      <c r="A843">
        <f>'FINAL RESULT'!B843</f>
        <v>40581</v>
      </c>
      <c r="B843">
        <f>'FINAL RESULT'!M843</f>
        <v>78</v>
      </c>
    </row>
    <row r="844" spans="1:2">
      <c r="A844">
        <f>'FINAL RESULT'!B844</f>
        <v>40581</v>
      </c>
      <c r="B844">
        <f>'FINAL RESULT'!M844</f>
        <v>37</v>
      </c>
    </row>
    <row r="845" spans="1:2">
      <c r="A845">
        <f>'FINAL RESULT'!B845</f>
        <v>40581</v>
      </c>
      <c r="B845">
        <f>'FINAL RESULT'!M845</f>
        <v>25</v>
      </c>
    </row>
    <row r="846" spans="1:2">
      <c r="A846">
        <f>'FINAL RESULT'!B846</f>
        <v>40582</v>
      </c>
      <c r="B846">
        <f>'FINAL RESULT'!M846</f>
        <v>10</v>
      </c>
    </row>
    <row r="847" spans="1:2">
      <c r="A847">
        <f>'FINAL RESULT'!B847</f>
        <v>40582</v>
      </c>
      <c r="B847">
        <f>'FINAL RESULT'!M847</f>
        <v>4</v>
      </c>
    </row>
    <row r="848" spans="1:2">
      <c r="A848">
        <f>'FINAL RESULT'!B848</f>
        <v>40582</v>
      </c>
      <c r="B848">
        <f>'FINAL RESULT'!M848</f>
        <v>2</v>
      </c>
    </row>
    <row r="849" spans="1:2">
      <c r="A849">
        <f>'FINAL RESULT'!B849</f>
        <v>40582</v>
      </c>
      <c r="B849">
        <f>'FINAL RESULT'!M849</f>
        <v>1</v>
      </c>
    </row>
    <row r="850" spans="1:2">
      <c r="A850">
        <f>'FINAL RESULT'!B850</f>
        <v>40582</v>
      </c>
      <c r="B850">
        <f>'FINAL RESULT'!M850</f>
        <v>3</v>
      </c>
    </row>
    <row r="851" spans="1:2">
      <c r="A851">
        <f>'FINAL RESULT'!B851</f>
        <v>40582</v>
      </c>
      <c r="B851">
        <f>'FINAL RESULT'!M851</f>
        <v>2</v>
      </c>
    </row>
    <row r="852" spans="1:2">
      <c r="A852">
        <f>'FINAL RESULT'!B852</f>
        <v>40582</v>
      </c>
      <c r="B852">
        <f>'FINAL RESULT'!M852</f>
        <v>39</v>
      </c>
    </row>
    <row r="853" spans="1:2">
      <c r="A853">
        <f>'FINAL RESULT'!B853</f>
        <v>40582</v>
      </c>
      <c r="B853">
        <f>'FINAL RESULT'!M853</f>
        <v>100</v>
      </c>
    </row>
    <row r="854" spans="1:2">
      <c r="A854">
        <f>'FINAL RESULT'!B854</f>
        <v>40582</v>
      </c>
      <c r="B854">
        <f>'FINAL RESULT'!M854</f>
        <v>243</v>
      </c>
    </row>
    <row r="855" spans="1:2">
      <c r="A855">
        <f>'FINAL RESULT'!B855</f>
        <v>40582</v>
      </c>
      <c r="B855">
        <f>'FINAL RESULT'!M855</f>
        <v>135</v>
      </c>
    </row>
    <row r="856" spans="1:2">
      <c r="A856">
        <f>'FINAL RESULT'!B856</f>
        <v>40582</v>
      </c>
      <c r="B856">
        <f>'FINAL RESULT'!M856</f>
        <v>48</v>
      </c>
    </row>
    <row r="857" spans="1:2">
      <c r="A857">
        <f>'FINAL RESULT'!B857</f>
        <v>40582</v>
      </c>
      <c r="B857">
        <f>'FINAL RESULT'!M857</f>
        <v>50</v>
      </c>
    </row>
    <row r="858" spans="1:2">
      <c r="A858">
        <f>'FINAL RESULT'!B858</f>
        <v>40582</v>
      </c>
      <c r="B858">
        <f>'FINAL RESULT'!M858</f>
        <v>65</v>
      </c>
    </row>
    <row r="859" spans="1:2">
      <c r="A859">
        <f>'FINAL RESULT'!B859</f>
        <v>40582</v>
      </c>
      <c r="B859">
        <f>'FINAL RESULT'!M859</f>
        <v>50</v>
      </c>
    </row>
    <row r="860" spans="1:2">
      <c r="A860">
        <f>'FINAL RESULT'!B860</f>
        <v>40582</v>
      </c>
      <c r="B860">
        <f>'FINAL RESULT'!M860</f>
        <v>64</v>
      </c>
    </row>
    <row r="861" spans="1:2">
      <c r="A861">
        <f>'FINAL RESULT'!B861</f>
        <v>40582</v>
      </c>
      <c r="B861">
        <f>'FINAL RESULT'!M861</f>
        <v>51</v>
      </c>
    </row>
    <row r="862" spans="1:2">
      <c r="A862">
        <f>'FINAL RESULT'!B862</f>
        <v>40582</v>
      </c>
      <c r="B862">
        <f>'FINAL RESULT'!M862</f>
        <v>83</v>
      </c>
    </row>
    <row r="863" spans="1:2">
      <c r="A863">
        <f>'FINAL RESULT'!B863</f>
        <v>40582</v>
      </c>
      <c r="B863">
        <f>'FINAL RESULT'!M863</f>
        <v>176</v>
      </c>
    </row>
    <row r="864" spans="1:2">
      <c r="A864">
        <f>'FINAL RESULT'!B864</f>
        <v>40582</v>
      </c>
      <c r="B864">
        <f>'FINAL RESULT'!M864</f>
        <v>152</v>
      </c>
    </row>
    <row r="865" spans="1:2">
      <c r="A865">
        <f>'FINAL RESULT'!B865</f>
        <v>40582</v>
      </c>
      <c r="B865">
        <f>'FINAL RESULT'!M865</f>
        <v>101</v>
      </c>
    </row>
    <row r="866" spans="1:2">
      <c r="A866">
        <f>'FINAL RESULT'!B866</f>
        <v>40582</v>
      </c>
      <c r="B866">
        <f>'FINAL RESULT'!M866</f>
        <v>56</v>
      </c>
    </row>
    <row r="867" spans="1:2">
      <c r="A867">
        <f>'FINAL RESULT'!B867</f>
        <v>40582</v>
      </c>
      <c r="B867">
        <f>'FINAL RESULT'!M867</f>
        <v>54</v>
      </c>
    </row>
    <row r="868" spans="1:2">
      <c r="A868">
        <f>'FINAL RESULT'!B868</f>
        <v>40582</v>
      </c>
      <c r="B868">
        <f>'FINAL RESULT'!M868</f>
        <v>29</v>
      </c>
    </row>
    <row r="869" spans="1:2">
      <c r="A869">
        <f>'FINAL RESULT'!B869</f>
        <v>40582</v>
      </c>
      <c r="B869">
        <f>'FINAL RESULT'!M869</f>
        <v>12</v>
      </c>
    </row>
    <row r="870" spans="1:2">
      <c r="A870">
        <f>'FINAL RESULT'!B870</f>
        <v>40583</v>
      </c>
      <c r="B870">
        <f>'FINAL RESULT'!M870</f>
        <v>17</v>
      </c>
    </row>
    <row r="871" spans="1:2">
      <c r="A871">
        <f>'FINAL RESULT'!B871</f>
        <v>40583</v>
      </c>
      <c r="B871">
        <f>'FINAL RESULT'!M871</f>
        <v>7</v>
      </c>
    </row>
    <row r="872" spans="1:2">
      <c r="A872">
        <f>'FINAL RESULT'!B872</f>
        <v>40583</v>
      </c>
      <c r="B872">
        <f>'FINAL RESULT'!M872</f>
        <v>3</v>
      </c>
    </row>
    <row r="873" spans="1:2">
      <c r="A873">
        <f>'FINAL RESULT'!B873</f>
        <v>40583</v>
      </c>
      <c r="B873">
        <f>'FINAL RESULT'!M873</f>
        <v>2</v>
      </c>
    </row>
    <row r="874" spans="1:2">
      <c r="A874">
        <f>'FINAL RESULT'!B874</f>
        <v>40583</v>
      </c>
      <c r="B874">
        <f>'FINAL RESULT'!M874</f>
        <v>7</v>
      </c>
    </row>
    <row r="875" spans="1:2">
      <c r="A875">
        <f>'FINAL RESULT'!B875</f>
        <v>40583</v>
      </c>
      <c r="B875">
        <f>'FINAL RESULT'!M875</f>
        <v>43</v>
      </c>
    </row>
    <row r="876" spans="1:2">
      <c r="A876">
        <f>'FINAL RESULT'!B876</f>
        <v>40583</v>
      </c>
      <c r="B876">
        <f>'FINAL RESULT'!M876</f>
        <v>99</v>
      </c>
    </row>
    <row r="877" spans="1:2">
      <c r="A877">
        <f>'FINAL RESULT'!B877</f>
        <v>40583</v>
      </c>
      <c r="B877">
        <f>'FINAL RESULT'!M877</f>
        <v>199</v>
      </c>
    </row>
    <row r="878" spans="1:2">
      <c r="A878">
        <f>'FINAL RESULT'!B878</f>
        <v>40583</v>
      </c>
      <c r="B878">
        <f>'FINAL RESULT'!M878</f>
        <v>123</v>
      </c>
    </row>
    <row r="879" spans="1:2">
      <c r="A879">
        <f>'FINAL RESULT'!B879</f>
        <v>40583</v>
      </c>
      <c r="B879">
        <f>'FINAL RESULT'!M879</f>
        <v>59</v>
      </c>
    </row>
    <row r="880" spans="1:2">
      <c r="A880">
        <f>'FINAL RESULT'!B880</f>
        <v>40583</v>
      </c>
      <c r="B880">
        <f>'FINAL RESULT'!M880</f>
        <v>41</v>
      </c>
    </row>
    <row r="881" spans="1:2">
      <c r="A881">
        <f>'FINAL RESULT'!B881</f>
        <v>40583</v>
      </c>
      <c r="B881">
        <f>'FINAL RESULT'!M881</f>
        <v>61</v>
      </c>
    </row>
    <row r="882" spans="1:2">
      <c r="A882">
        <f>'FINAL RESULT'!B882</f>
        <v>40583</v>
      </c>
      <c r="B882">
        <f>'FINAL RESULT'!M882</f>
        <v>69</v>
      </c>
    </row>
    <row r="883" spans="1:2">
      <c r="A883">
        <f>'FINAL RESULT'!B883</f>
        <v>40583</v>
      </c>
      <c r="B883">
        <f>'FINAL RESULT'!M883</f>
        <v>58</v>
      </c>
    </row>
    <row r="884" spans="1:2">
      <c r="A884">
        <f>'FINAL RESULT'!B884</f>
        <v>40583</v>
      </c>
      <c r="B884">
        <f>'FINAL RESULT'!M884</f>
        <v>64</v>
      </c>
    </row>
    <row r="885" spans="1:2">
      <c r="A885">
        <f>'FINAL RESULT'!B885</f>
        <v>40583</v>
      </c>
      <c r="B885">
        <f>'FINAL RESULT'!M885</f>
        <v>79</v>
      </c>
    </row>
    <row r="886" spans="1:2">
      <c r="A886">
        <f>'FINAL RESULT'!B886</f>
        <v>40583</v>
      </c>
      <c r="B886">
        <f>'FINAL RESULT'!M886</f>
        <v>166</v>
      </c>
    </row>
    <row r="887" spans="1:2">
      <c r="A887">
        <f>'FINAL RESULT'!B887</f>
        <v>40583</v>
      </c>
      <c r="B887">
        <f>'FINAL RESULT'!M887</f>
        <v>170</v>
      </c>
    </row>
    <row r="888" spans="1:2">
      <c r="A888">
        <f>'FINAL RESULT'!B888</f>
        <v>40583</v>
      </c>
      <c r="B888">
        <f>'FINAL RESULT'!M888</f>
        <v>88</v>
      </c>
    </row>
    <row r="889" spans="1:2">
      <c r="A889">
        <f>'FINAL RESULT'!B889</f>
        <v>40583</v>
      </c>
      <c r="B889">
        <f>'FINAL RESULT'!M889</f>
        <v>84</v>
      </c>
    </row>
    <row r="890" spans="1:2">
      <c r="A890">
        <f>'FINAL RESULT'!B890</f>
        <v>40583</v>
      </c>
      <c r="B890">
        <f>'FINAL RESULT'!M890</f>
        <v>83</v>
      </c>
    </row>
    <row r="891" spans="1:2">
      <c r="A891">
        <f>'FINAL RESULT'!B891</f>
        <v>40583</v>
      </c>
      <c r="B891">
        <f>'FINAL RESULT'!M891</f>
        <v>46</v>
      </c>
    </row>
    <row r="892" spans="1:2">
      <c r="A892">
        <f>'FINAL RESULT'!B892</f>
        <v>40583</v>
      </c>
      <c r="B892">
        <f>'FINAL RESULT'!M892</f>
        <v>37</v>
      </c>
    </row>
    <row r="893" spans="1:2">
      <c r="A893">
        <f>'FINAL RESULT'!B893</f>
        <v>40584</v>
      </c>
      <c r="B893">
        <f>'FINAL RESULT'!M893</f>
        <v>16</v>
      </c>
    </row>
    <row r="894" spans="1:2">
      <c r="A894">
        <f>'FINAL RESULT'!B894</f>
        <v>40584</v>
      </c>
      <c r="B894">
        <f>'FINAL RESULT'!M894</f>
        <v>7</v>
      </c>
    </row>
    <row r="895" spans="1:2">
      <c r="A895">
        <f>'FINAL RESULT'!B895</f>
        <v>40584</v>
      </c>
      <c r="B895">
        <f>'FINAL RESULT'!M895</f>
        <v>3</v>
      </c>
    </row>
    <row r="896" spans="1:2">
      <c r="A896">
        <f>'FINAL RESULT'!B896</f>
        <v>40584</v>
      </c>
      <c r="B896">
        <f>'FINAL RESULT'!M896</f>
        <v>1</v>
      </c>
    </row>
    <row r="897" spans="1:2">
      <c r="A897">
        <f>'FINAL RESULT'!B897</f>
        <v>40584</v>
      </c>
      <c r="B897">
        <f>'FINAL RESULT'!M897</f>
        <v>6</v>
      </c>
    </row>
    <row r="898" spans="1:2">
      <c r="A898">
        <f>'FINAL RESULT'!B898</f>
        <v>40584</v>
      </c>
      <c r="B898">
        <f>'FINAL RESULT'!M898</f>
        <v>26</v>
      </c>
    </row>
    <row r="899" spans="1:2">
      <c r="A899">
        <f>'FINAL RESULT'!B899</f>
        <v>40584</v>
      </c>
      <c r="B899">
        <f>'FINAL RESULT'!M899</f>
        <v>99</v>
      </c>
    </row>
    <row r="900" spans="1:2">
      <c r="A900">
        <f>'FINAL RESULT'!B900</f>
        <v>40584</v>
      </c>
      <c r="B900">
        <f>'FINAL RESULT'!M900</f>
        <v>178</v>
      </c>
    </row>
    <row r="901" spans="1:2">
      <c r="A901">
        <f>'FINAL RESULT'!B901</f>
        <v>40584</v>
      </c>
      <c r="B901">
        <f>'FINAL RESULT'!M901</f>
        <v>122</v>
      </c>
    </row>
    <row r="902" spans="1:2">
      <c r="A902">
        <f>'FINAL RESULT'!B902</f>
        <v>40584</v>
      </c>
      <c r="B902">
        <f>'FINAL RESULT'!M902</f>
        <v>35</v>
      </c>
    </row>
    <row r="903" spans="1:2">
      <c r="A903">
        <f>'FINAL RESULT'!B903</f>
        <v>40584</v>
      </c>
      <c r="B903">
        <f>'FINAL RESULT'!M903</f>
        <v>45</v>
      </c>
    </row>
    <row r="904" spans="1:2">
      <c r="A904">
        <f>'FINAL RESULT'!B904</f>
        <v>40584</v>
      </c>
      <c r="B904">
        <f>'FINAL RESULT'!M904</f>
        <v>69</v>
      </c>
    </row>
    <row r="905" spans="1:2">
      <c r="A905">
        <f>'FINAL RESULT'!B905</f>
        <v>40584</v>
      </c>
      <c r="B905">
        <f>'FINAL RESULT'!M905</f>
        <v>62</v>
      </c>
    </row>
    <row r="906" spans="1:2">
      <c r="A906">
        <f>'FINAL RESULT'!B906</f>
        <v>40584</v>
      </c>
      <c r="B906">
        <f>'FINAL RESULT'!M906</f>
        <v>48</v>
      </c>
    </row>
    <row r="907" spans="1:2">
      <c r="A907">
        <f>'FINAL RESULT'!B907</f>
        <v>40584</v>
      </c>
      <c r="B907">
        <f>'FINAL RESULT'!M907</f>
        <v>50</v>
      </c>
    </row>
    <row r="908" spans="1:2">
      <c r="A908">
        <f>'FINAL RESULT'!B908</f>
        <v>40584</v>
      </c>
      <c r="B908">
        <f>'FINAL RESULT'!M908</f>
        <v>80</v>
      </c>
    </row>
    <row r="909" spans="1:2">
      <c r="A909">
        <f>'FINAL RESULT'!B909</f>
        <v>40584</v>
      </c>
      <c r="B909">
        <f>'FINAL RESULT'!M909</f>
        <v>165</v>
      </c>
    </row>
    <row r="910" spans="1:2">
      <c r="A910">
        <f>'FINAL RESULT'!B910</f>
        <v>40584</v>
      </c>
      <c r="B910">
        <f>'FINAL RESULT'!M910</f>
        <v>160</v>
      </c>
    </row>
    <row r="911" spans="1:2">
      <c r="A911">
        <f>'FINAL RESULT'!B911</f>
        <v>40584</v>
      </c>
      <c r="B911">
        <f>'FINAL RESULT'!M911</f>
        <v>112</v>
      </c>
    </row>
    <row r="912" spans="1:2">
      <c r="A912">
        <f>'FINAL RESULT'!B912</f>
        <v>40584</v>
      </c>
      <c r="B912">
        <f>'FINAL RESULT'!M912</f>
        <v>97</v>
      </c>
    </row>
    <row r="913" spans="1:2">
      <c r="A913">
        <f>'FINAL RESULT'!B913</f>
        <v>40584</v>
      </c>
      <c r="B913">
        <f>'FINAL RESULT'!M913</f>
        <v>72</v>
      </c>
    </row>
    <row r="914" spans="1:2">
      <c r="A914">
        <f>'FINAL RESULT'!B914</f>
        <v>40584</v>
      </c>
      <c r="B914">
        <f>'FINAL RESULT'!M914</f>
        <v>51</v>
      </c>
    </row>
    <row r="915" spans="1:2">
      <c r="A915">
        <f>'FINAL RESULT'!B915</f>
        <v>40584</v>
      </c>
      <c r="B915">
        <f>'FINAL RESULT'!M915</f>
        <v>34</v>
      </c>
    </row>
    <row r="916" spans="1:2">
      <c r="A916">
        <f>'FINAL RESULT'!B916</f>
        <v>40585</v>
      </c>
      <c r="B916">
        <f>'FINAL RESULT'!M916</f>
        <v>14</v>
      </c>
    </row>
    <row r="917" spans="1:2">
      <c r="A917">
        <f>'FINAL RESULT'!B917</f>
        <v>40585</v>
      </c>
      <c r="B917">
        <f>'FINAL RESULT'!M917</f>
        <v>7</v>
      </c>
    </row>
    <row r="918" spans="1:2">
      <c r="A918">
        <f>'FINAL RESULT'!B918</f>
        <v>40585</v>
      </c>
      <c r="B918">
        <f>'FINAL RESULT'!M918</f>
        <v>3</v>
      </c>
    </row>
    <row r="919" spans="1:2">
      <c r="A919">
        <f>'FINAL RESULT'!B919</f>
        <v>40585</v>
      </c>
      <c r="B919">
        <f>'FINAL RESULT'!M919</f>
        <v>4</v>
      </c>
    </row>
    <row r="920" spans="1:2">
      <c r="A920">
        <f>'FINAL RESULT'!B920</f>
        <v>40585</v>
      </c>
      <c r="B920">
        <f>'FINAL RESULT'!M920</f>
        <v>24</v>
      </c>
    </row>
    <row r="921" spans="1:2">
      <c r="A921">
        <f>'FINAL RESULT'!B921</f>
        <v>40585</v>
      </c>
      <c r="B921">
        <f>'FINAL RESULT'!M921</f>
        <v>74</v>
      </c>
    </row>
    <row r="922" spans="1:2">
      <c r="A922">
        <f>'FINAL RESULT'!B922</f>
        <v>40585</v>
      </c>
      <c r="B922">
        <f>'FINAL RESULT'!M922</f>
        <v>216</v>
      </c>
    </row>
    <row r="923" spans="1:2">
      <c r="A923">
        <f>'FINAL RESULT'!B923</f>
        <v>40585</v>
      </c>
      <c r="B923">
        <f>'FINAL RESULT'!M923</f>
        <v>140</v>
      </c>
    </row>
    <row r="924" spans="1:2">
      <c r="A924">
        <f>'FINAL RESULT'!B924</f>
        <v>40585</v>
      </c>
      <c r="B924">
        <f>'FINAL RESULT'!M924</f>
        <v>44</v>
      </c>
    </row>
    <row r="925" spans="1:2">
      <c r="A925">
        <f>'FINAL RESULT'!B925</f>
        <v>40585</v>
      </c>
      <c r="B925">
        <f>'FINAL RESULT'!M925</f>
        <v>64</v>
      </c>
    </row>
    <row r="926" spans="1:2">
      <c r="A926">
        <f>'FINAL RESULT'!B926</f>
        <v>40585</v>
      </c>
      <c r="B926">
        <f>'FINAL RESULT'!M926</f>
        <v>71</v>
      </c>
    </row>
    <row r="927" spans="1:2">
      <c r="A927">
        <f>'FINAL RESULT'!B927</f>
        <v>40585</v>
      </c>
      <c r="B927">
        <f>'FINAL RESULT'!M927</f>
        <v>110</v>
      </c>
    </row>
    <row r="928" spans="1:2">
      <c r="A928">
        <f>'FINAL RESULT'!B928</f>
        <v>40585</v>
      </c>
      <c r="B928">
        <f>'FINAL RESULT'!M928</f>
        <v>84</v>
      </c>
    </row>
    <row r="929" spans="1:2">
      <c r="A929">
        <f>'FINAL RESULT'!B929</f>
        <v>40585</v>
      </c>
      <c r="B929">
        <f>'FINAL RESULT'!M929</f>
        <v>74</v>
      </c>
    </row>
    <row r="930" spans="1:2">
      <c r="A930">
        <f>'FINAL RESULT'!B930</f>
        <v>40585</v>
      </c>
      <c r="B930">
        <f>'FINAL RESULT'!M930</f>
        <v>125</v>
      </c>
    </row>
    <row r="931" spans="1:2">
      <c r="A931">
        <f>'FINAL RESULT'!B931</f>
        <v>40585</v>
      </c>
      <c r="B931">
        <f>'FINAL RESULT'!M931</f>
        <v>211</v>
      </c>
    </row>
    <row r="932" spans="1:2">
      <c r="A932">
        <f>'FINAL RESULT'!B932</f>
        <v>40585</v>
      </c>
      <c r="B932">
        <f>'FINAL RESULT'!M932</f>
        <v>174</v>
      </c>
    </row>
    <row r="933" spans="1:2">
      <c r="A933">
        <f>'FINAL RESULT'!B933</f>
        <v>40585</v>
      </c>
      <c r="B933">
        <f>'FINAL RESULT'!M933</f>
        <v>101</v>
      </c>
    </row>
    <row r="934" spans="1:2">
      <c r="A934">
        <f>'FINAL RESULT'!B934</f>
        <v>40585</v>
      </c>
      <c r="B934">
        <f>'FINAL RESULT'!M934</f>
        <v>63</v>
      </c>
    </row>
    <row r="935" spans="1:2">
      <c r="A935">
        <f>'FINAL RESULT'!B935</f>
        <v>40585</v>
      </c>
      <c r="B935">
        <f>'FINAL RESULT'!M935</f>
        <v>47</v>
      </c>
    </row>
    <row r="936" spans="1:2">
      <c r="A936">
        <f>'FINAL RESULT'!B936</f>
        <v>40585</v>
      </c>
      <c r="B936">
        <f>'FINAL RESULT'!M936</f>
        <v>43</v>
      </c>
    </row>
    <row r="937" spans="1:2">
      <c r="A937">
        <f>'FINAL RESULT'!B937</f>
        <v>40585</v>
      </c>
      <c r="B937">
        <f>'FINAL RESULT'!M937</f>
        <v>53</v>
      </c>
    </row>
    <row r="938" spans="1:2">
      <c r="A938">
        <f>'FINAL RESULT'!B938</f>
        <v>40586</v>
      </c>
      <c r="B938">
        <f>'FINAL RESULT'!M938</f>
        <v>30</v>
      </c>
    </row>
    <row r="939" spans="1:2">
      <c r="A939">
        <f>'FINAL RESULT'!B939</f>
        <v>40586</v>
      </c>
      <c r="B939">
        <f>'FINAL RESULT'!M939</f>
        <v>24</v>
      </c>
    </row>
    <row r="940" spans="1:2">
      <c r="A940">
        <f>'FINAL RESULT'!B940</f>
        <v>40586</v>
      </c>
      <c r="B940">
        <f>'FINAL RESULT'!M940</f>
        <v>15</v>
      </c>
    </row>
    <row r="941" spans="1:2">
      <c r="A941">
        <f>'FINAL RESULT'!B941</f>
        <v>40586</v>
      </c>
      <c r="B941">
        <f>'FINAL RESULT'!M941</f>
        <v>10</v>
      </c>
    </row>
    <row r="942" spans="1:2">
      <c r="A942">
        <f>'FINAL RESULT'!B942</f>
        <v>40586</v>
      </c>
      <c r="B942">
        <f>'FINAL RESULT'!M942</f>
        <v>4</v>
      </c>
    </row>
    <row r="943" spans="1:2">
      <c r="A943">
        <f>'FINAL RESULT'!B943</f>
        <v>40586</v>
      </c>
      <c r="B943">
        <f>'FINAL RESULT'!M943</f>
        <v>1</v>
      </c>
    </row>
    <row r="944" spans="1:2">
      <c r="A944">
        <f>'FINAL RESULT'!B944</f>
        <v>40586</v>
      </c>
      <c r="B944">
        <f>'FINAL RESULT'!M944</f>
        <v>2</v>
      </c>
    </row>
    <row r="945" spans="1:2">
      <c r="A945">
        <f>'FINAL RESULT'!B945</f>
        <v>40586</v>
      </c>
      <c r="B945">
        <f>'FINAL RESULT'!M945</f>
        <v>11</v>
      </c>
    </row>
    <row r="946" spans="1:2">
      <c r="A946">
        <f>'FINAL RESULT'!B946</f>
        <v>40586</v>
      </c>
      <c r="B946">
        <f>'FINAL RESULT'!M946</f>
        <v>30</v>
      </c>
    </row>
    <row r="947" spans="1:2">
      <c r="A947">
        <f>'FINAL RESULT'!B947</f>
        <v>40586</v>
      </c>
      <c r="B947">
        <f>'FINAL RESULT'!M947</f>
        <v>43</v>
      </c>
    </row>
    <row r="948" spans="1:2">
      <c r="A948">
        <f>'FINAL RESULT'!B948</f>
        <v>40586</v>
      </c>
      <c r="B948">
        <f>'FINAL RESULT'!M948</f>
        <v>84</v>
      </c>
    </row>
    <row r="949" spans="1:2">
      <c r="A949">
        <f>'FINAL RESULT'!B949</f>
        <v>40586</v>
      </c>
      <c r="B949">
        <f>'FINAL RESULT'!M949</f>
        <v>114</v>
      </c>
    </row>
    <row r="950" spans="1:2">
      <c r="A950">
        <f>'FINAL RESULT'!B950</f>
        <v>40586</v>
      </c>
      <c r="B950">
        <f>'FINAL RESULT'!M950</f>
        <v>120</v>
      </c>
    </row>
    <row r="951" spans="1:2">
      <c r="A951">
        <f>'FINAL RESULT'!B951</f>
        <v>40586</v>
      </c>
      <c r="B951">
        <f>'FINAL RESULT'!M951</f>
        <v>135</v>
      </c>
    </row>
    <row r="952" spans="1:2">
      <c r="A952">
        <f>'FINAL RESULT'!B952</f>
        <v>40586</v>
      </c>
      <c r="B952">
        <f>'FINAL RESULT'!M952</f>
        <v>120</v>
      </c>
    </row>
    <row r="953" spans="1:2">
      <c r="A953">
        <f>'FINAL RESULT'!B953</f>
        <v>40586</v>
      </c>
      <c r="B953">
        <f>'FINAL RESULT'!M953</f>
        <v>174</v>
      </c>
    </row>
    <row r="954" spans="1:2">
      <c r="A954">
        <f>'FINAL RESULT'!B954</f>
        <v>40586</v>
      </c>
      <c r="B954">
        <f>'FINAL RESULT'!M954</f>
        <v>145</v>
      </c>
    </row>
    <row r="955" spans="1:2">
      <c r="A955">
        <f>'FINAL RESULT'!B955</f>
        <v>40586</v>
      </c>
      <c r="B955">
        <f>'FINAL RESULT'!M955</f>
        <v>137</v>
      </c>
    </row>
    <row r="956" spans="1:2">
      <c r="A956">
        <f>'FINAL RESULT'!B956</f>
        <v>40586</v>
      </c>
      <c r="B956">
        <f>'FINAL RESULT'!M956</f>
        <v>64</v>
      </c>
    </row>
    <row r="957" spans="1:2">
      <c r="A957">
        <f>'FINAL RESULT'!B957</f>
        <v>40586</v>
      </c>
      <c r="B957">
        <f>'FINAL RESULT'!M957</f>
        <v>41</v>
      </c>
    </row>
    <row r="958" spans="1:2">
      <c r="A958">
        <f>'FINAL RESULT'!B958</f>
        <v>40586</v>
      </c>
      <c r="B958">
        <f>'FINAL RESULT'!M958</f>
        <v>40</v>
      </c>
    </row>
    <row r="959" spans="1:2">
      <c r="A959">
        <f>'FINAL RESULT'!B959</f>
        <v>40586</v>
      </c>
      <c r="B959">
        <f>'FINAL RESULT'!M959</f>
        <v>51</v>
      </c>
    </row>
    <row r="960" spans="1:2">
      <c r="A960">
        <f>'FINAL RESULT'!B960</f>
        <v>40586</v>
      </c>
      <c r="B960">
        <f>'FINAL RESULT'!M960</f>
        <v>45</v>
      </c>
    </row>
    <row r="961" spans="1:2">
      <c r="A961">
        <f>'FINAL RESULT'!B961</f>
        <v>40586</v>
      </c>
      <c r="B961">
        <f>'FINAL RESULT'!M961</f>
        <v>32</v>
      </c>
    </row>
    <row r="962" spans="1:2">
      <c r="A962">
        <f>'FINAL RESULT'!B962</f>
        <v>40587</v>
      </c>
      <c r="B962">
        <f>'FINAL RESULT'!M962</f>
        <v>39</v>
      </c>
    </row>
    <row r="963" spans="1:2">
      <c r="A963">
        <f>'FINAL RESULT'!B963</f>
        <v>40587</v>
      </c>
      <c r="B963">
        <f>'FINAL RESULT'!M963</f>
        <v>24</v>
      </c>
    </row>
    <row r="964" spans="1:2">
      <c r="A964">
        <f>'FINAL RESULT'!B964</f>
        <v>40587</v>
      </c>
      <c r="B964">
        <f>'FINAL RESULT'!M964</f>
        <v>20</v>
      </c>
    </row>
    <row r="965" spans="1:2">
      <c r="A965">
        <f>'FINAL RESULT'!B965</f>
        <v>40587</v>
      </c>
      <c r="B965">
        <f>'FINAL RESULT'!M965</f>
        <v>12</v>
      </c>
    </row>
    <row r="966" spans="1:2">
      <c r="A966">
        <f>'FINAL RESULT'!B966</f>
        <v>40587</v>
      </c>
      <c r="B966">
        <f>'FINAL RESULT'!M966</f>
        <v>2</v>
      </c>
    </row>
    <row r="967" spans="1:2">
      <c r="A967">
        <f>'FINAL RESULT'!B967</f>
        <v>40587</v>
      </c>
      <c r="B967">
        <f>'FINAL RESULT'!M967</f>
        <v>5</v>
      </c>
    </row>
    <row r="968" spans="1:2">
      <c r="A968">
        <f>'FINAL RESULT'!B968</f>
        <v>40587</v>
      </c>
      <c r="B968">
        <f>'FINAL RESULT'!M968</f>
        <v>3</v>
      </c>
    </row>
    <row r="969" spans="1:2">
      <c r="A969">
        <f>'FINAL RESULT'!B969</f>
        <v>40587</v>
      </c>
      <c r="B969">
        <f>'FINAL RESULT'!M969</f>
        <v>12</v>
      </c>
    </row>
    <row r="970" spans="1:2">
      <c r="A970">
        <f>'FINAL RESULT'!B970</f>
        <v>40587</v>
      </c>
      <c r="B970">
        <f>'FINAL RESULT'!M970</f>
        <v>47</v>
      </c>
    </row>
    <row r="971" spans="1:2">
      <c r="A971">
        <f>'FINAL RESULT'!B971</f>
        <v>40587</v>
      </c>
      <c r="B971">
        <f>'FINAL RESULT'!M971</f>
        <v>105</v>
      </c>
    </row>
    <row r="972" spans="1:2">
      <c r="A972">
        <f>'FINAL RESULT'!B972</f>
        <v>40587</v>
      </c>
      <c r="B972">
        <f>'FINAL RESULT'!M972</f>
        <v>112</v>
      </c>
    </row>
    <row r="973" spans="1:2">
      <c r="A973">
        <f>'FINAL RESULT'!B973</f>
        <v>40587</v>
      </c>
      <c r="B973">
        <f>'FINAL RESULT'!M973</f>
        <v>152</v>
      </c>
    </row>
    <row r="974" spans="1:2">
      <c r="A974">
        <f>'FINAL RESULT'!B974</f>
        <v>40587</v>
      </c>
      <c r="B974">
        <f>'FINAL RESULT'!M974</f>
        <v>154</v>
      </c>
    </row>
    <row r="975" spans="1:2">
      <c r="A975">
        <f>'FINAL RESULT'!B975</f>
        <v>40587</v>
      </c>
      <c r="B975">
        <f>'FINAL RESULT'!M975</f>
        <v>161</v>
      </c>
    </row>
    <row r="976" spans="1:2">
      <c r="A976">
        <f>'FINAL RESULT'!B976</f>
        <v>40587</v>
      </c>
      <c r="B976">
        <f>'FINAL RESULT'!M976</f>
        <v>162</v>
      </c>
    </row>
    <row r="977" spans="1:2">
      <c r="A977">
        <f>'FINAL RESULT'!B977</f>
        <v>40587</v>
      </c>
      <c r="B977">
        <f>'FINAL RESULT'!M977</f>
        <v>134</v>
      </c>
    </row>
    <row r="978" spans="1:2">
      <c r="A978">
        <f>'FINAL RESULT'!B978</f>
        <v>40587</v>
      </c>
      <c r="B978">
        <f>'FINAL RESULT'!M978</f>
        <v>125</v>
      </c>
    </row>
    <row r="979" spans="1:2">
      <c r="A979">
        <f>'FINAL RESULT'!B979</f>
        <v>40587</v>
      </c>
      <c r="B979">
        <f>'FINAL RESULT'!M979</f>
        <v>95</v>
      </c>
    </row>
    <row r="980" spans="1:2">
      <c r="A980">
        <f>'FINAL RESULT'!B980</f>
        <v>40587</v>
      </c>
      <c r="B980">
        <f>'FINAL RESULT'!M980</f>
        <v>61</v>
      </c>
    </row>
    <row r="981" spans="1:2">
      <c r="A981">
        <f>'FINAL RESULT'!B981</f>
        <v>40587</v>
      </c>
      <c r="B981">
        <f>'FINAL RESULT'!M981</f>
        <v>47</v>
      </c>
    </row>
    <row r="982" spans="1:2">
      <c r="A982">
        <f>'FINAL RESULT'!B982</f>
        <v>40587</v>
      </c>
      <c r="B982">
        <f>'FINAL RESULT'!M982</f>
        <v>51</v>
      </c>
    </row>
    <row r="983" spans="1:2">
      <c r="A983">
        <f>'FINAL RESULT'!B983</f>
        <v>40587</v>
      </c>
      <c r="B983">
        <f>'FINAL RESULT'!M983</f>
        <v>36</v>
      </c>
    </row>
    <row r="984" spans="1:2">
      <c r="A984">
        <f>'FINAL RESULT'!B984</f>
        <v>40587</v>
      </c>
      <c r="B984">
        <f>'FINAL RESULT'!M984</f>
        <v>30</v>
      </c>
    </row>
    <row r="985" spans="1:2">
      <c r="A985">
        <f>'FINAL RESULT'!B985</f>
        <v>40588</v>
      </c>
      <c r="B985">
        <f>'FINAL RESULT'!M985</f>
        <v>11</v>
      </c>
    </row>
    <row r="986" spans="1:2">
      <c r="A986">
        <f>'FINAL RESULT'!B986</f>
        <v>40588</v>
      </c>
      <c r="B986">
        <f>'FINAL RESULT'!M986</f>
        <v>7</v>
      </c>
    </row>
    <row r="987" spans="1:2">
      <c r="A987">
        <f>'FINAL RESULT'!B987</f>
        <v>40588</v>
      </c>
      <c r="B987">
        <f>'FINAL RESULT'!M987</f>
        <v>2</v>
      </c>
    </row>
    <row r="988" spans="1:2">
      <c r="A988">
        <f>'FINAL RESULT'!B988</f>
        <v>40588</v>
      </c>
      <c r="B988">
        <f>'FINAL RESULT'!M988</f>
        <v>2</v>
      </c>
    </row>
    <row r="989" spans="1:2">
      <c r="A989">
        <f>'FINAL RESULT'!B989</f>
        <v>40588</v>
      </c>
      <c r="B989">
        <f>'FINAL RESULT'!M989</f>
        <v>2</v>
      </c>
    </row>
    <row r="990" spans="1:2">
      <c r="A990">
        <f>'FINAL RESULT'!B990</f>
        <v>40588</v>
      </c>
      <c r="B990">
        <f>'FINAL RESULT'!M990</f>
        <v>3</v>
      </c>
    </row>
    <row r="991" spans="1:2">
      <c r="A991">
        <f>'FINAL RESULT'!B991</f>
        <v>40588</v>
      </c>
      <c r="B991">
        <f>'FINAL RESULT'!M991</f>
        <v>26</v>
      </c>
    </row>
    <row r="992" spans="1:2">
      <c r="A992">
        <f>'FINAL RESULT'!B992</f>
        <v>40588</v>
      </c>
      <c r="B992">
        <f>'FINAL RESULT'!M992</f>
        <v>98</v>
      </c>
    </row>
    <row r="993" spans="1:2">
      <c r="A993">
        <f>'FINAL RESULT'!B993</f>
        <v>40571</v>
      </c>
      <c r="B993">
        <f>'FINAL RESULT'!M993</f>
        <v>80</v>
      </c>
    </row>
    <row r="994" spans="1:2">
      <c r="A994">
        <f>'FINAL RESULT'!B994</f>
        <v>40571</v>
      </c>
      <c r="B994">
        <f>'FINAL RESULT'!M994</f>
        <v>149</v>
      </c>
    </row>
    <row r="995" spans="1:2">
      <c r="A995">
        <f>'FINAL RESULT'!B995</f>
        <v>40571</v>
      </c>
      <c r="B995">
        <f>'FINAL RESULT'!M995</f>
        <v>109</v>
      </c>
    </row>
    <row r="996" spans="1:2">
      <c r="A996">
        <f>'FINAL RESULT'!B996</f>
        <v>40571</v>
      </c>
      <c r="B996">
        <f>'FINAL RESULT'!M996</f>
        <v>89</v>
      </c>
    </row>
    <row r="997" spans="1:2">
      <c r="A997">
        <f>'FINAL RESULT'!B997</f>
        <v>40571</v>
      </c>
      <c r="B997">
        <f>'FINAL RESULT'!M997</f>
        <v>62</v>
      </c>
    </row>
    <row r="998" spans="1:2">
      <c r="A998">
        <f>'FINAL RESULT'!B998</f>
        <v>40571</v>
      </c>
      <c r="B998">
        <f>'FINAL RESULT'!M998</f>
        <v>58</v>
      </c>
    </row>
    <row r="999" spans="1:2">
      <c r="A999">
        <f>'FINAL RESULT'!B999</f>
        <v>40571</v>
      </c>
      <c r="B999">
        <f>'FINAL RESULT'!M999</f>
        <v>26</v>
      </c>
    </row>
    <row r="1000" spans="1:2">
      <c r="A1000">
        <f>'FINAL RESULT'!B1000</f>
        <v>40571</v>
      </c>
      <c r="B1000">
        <f>'FINAL RESULT'!M1000</f>
        <v>23</v>
      </c>
    </row>
    <row r="1001" spans="1:2">
      <c r="A1001">
        <f>'FINAL RESULT'!B1001</f>
        <v>40572</v>
      </c>
      <c r="B1001">
        <f>'FINAL RESULT'!M1001</f>
        <v>28</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B3CAD1B-0A2B-45B3-80D6-D263B8F9C6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DATASET 1</vt:lpstr>
      <vt:lpstr>DATASET 2</vt:lpstr>
      <vt:lpstr>DATASETA  1 + 2</vt:lpstr>
      <vt:lpstr>DATASET 3</vt:lpstr>
      <vt:lpstr>FINAL RESULT</vt:lpstr>
      <vt:lpstr>PIVOT TABLE &amp; CHARTS</vt:lpstr>
      <vt:lpstr>STATISTICAL SUMMARY</vt:lpstr>
      <vt:lpstr>DASHBOARD</vt:lpstr>
      <vt:lpstr>FORECASTING</vt:lpstr>
      <vt:lpstr>ANOMALY DETECTION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2026-10-05T08:50:47Z</dcterms:created>
  <dcterms:modified xsi:type="dcterms:W3CDTF">2026-10-09T12:46:55Z</dcterms:modified>
</cp:coreProperties>
</file>